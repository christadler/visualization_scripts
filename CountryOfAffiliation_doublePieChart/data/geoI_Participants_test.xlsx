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llParticpants" sheetId="2" r:id="rId5"/>
    <sheet state="visible" name="ISCPoster_Data" sheetId="3" r:id="rId6"/>
    <sheet state="visible" name="ORFEUS_allParticipants" sheetId="4" r:id="rId7"/>
    <sheet state="visible" name="WP5Participants" sheetId="5" r:id="rId8"/>
    <sheet state="visible" name="SeisSol_ExaHyPE_WS" sheetId="6" r:id="rId9"/>
    <sheet state="visible" name="Barcelona_TsunamiGenesis" sheetId="7" r:id="rId10"/>
    <sheet state="visible" name="SDL_Trg" sheetId="8" r:id="rId11"/>
    <sheet state="visible" name="VIS_WS" sheetId="9" r:id="rId12"/>
    <sheet state="visible" name="EPOS Platform Trg - Online (12-" sheetId="10" r:id="rId13"/>
    <sheet state="visible" name="EPOS Platform Trg - EGU25" sheetId="11" r:id="rId14"/>
    <sheet state="visible" name="EPOS Platform Trg - Clermont-Fe" sheetId="12" r:id="rId15"/>
    <sheet state="visible" name="EPOS Platform Trg - S4E" sheetId="13" r:id="rId16"/>
    <sheet state="visible" name="EPOS Platform Trg - Summer Scho" sheetId="14" r:id="rId17"/>
    <sheet state="visible" name="EPOS Platform Trg - Spain" sheetId="15" r:id="rId18"/>
    <sheet state="visible" name="EPOS Platform Trg - CZ" sheetId="16" r:id="rId19"/>
    <sheet state="visible" name="AI_4_Seismology" sheetId="17" r:id="rId20"/>
    <sheet state="visible" name="Quakeworx" sheetId="18" r:id="rId21"/>
    <sheet state="visible" name="EPISODES_Hackathon" sheetId="19" r:id="rId22"/>
    <sheet state="visible" name="FAIR7" sheetId="20" r:id="rId23"/>
    <sheet state="visible" name="EPISODES_Trg" sheetId="21" r:id="rId24"/>
    <sheet state="visible" name="SLSMF" sheetId="22" r:id="rId25"/>
    <sheet state="visible" name="FAIR6" sheetId="23" r:id="rId26"/>
    <sheet state="visible" name="FAIR5" sheetId="24" r:id="rId27"/>
    <sheet state="visible" name="FAIR4" sheetId="25" r:id="rId28"/>
    <sheet state="visible" name="FAIR3" sheetId="26" r:id="rId29"/>
    <sheet state="visible" name="HySEA_L" sheetId="27" r:id="rId30"/>
    <sheet state="visible" name="SiteEffects" sheetId="28" r:id="rId31"/>
    <sheet state="visible" name="SLIP" sheetId="29" r:id="rId32"/>
    <sheet state="visible" name="EPOS Data Portal Trg (250124)" sheetId="30" r:id="rId33"/>
    <sheet state="visible" name="EPOS Platform 2026-05" sheetId="31" r:id="rId34"/>
    <sheet state="visible" name="EPOS Data Portal Trg 2 (220524)" sheetId="32" r:id="rId35"/>
    <sheet state="visible" name="EPOS Data Portal Trg 3 (161024)" sheetId="33" r:id="rId36"/>
    <sheet state="visible" name="FeedbackForms" sheetId="34" r:id="rId37"/>
    <sheet state="visible" name="EPOSMetadata" sheetId="35" r:id="rId38"/>
    <sheet state="hidden" name="EPOS_EPOSDays_140324" sheetId="36" r:id="rId39"/>
    <sheet state="hidden" name="EPOS_Serbia_280524" sheetId="37" r:id="rId40"/>
    <sheet state="hidden" name="EPOS_EGU_18042024" sheetId="38" r:id="rId41"/>
    <sheet state="hidden" name="EPOS_Corinth_221024" sheetId="39" r:id="rId42"/>
    <sheet state="visible" name="ETRiS" sheetId="40" r:id="rId43"/>
    <sheet state="visible" name="HySEA_T" sheetId="41" r:id="rId44"/>
    <sheet state="visible" name="FAIR1" sheetId="42" r:id="rId45"/>
    <sheet state="visible" name="EPISODES_WS" sheetId="43" r:id="rId46"/>
    <sheet state="visible" name="EGU_Galileo" sheetId="44" r:id="rId47"/>
    <sheet state="visible" name="FAIR2" sheetId="45" r:id="rId48"/>
    <sheet state="visible" name="SDL_WS" sheetId="46" r:id="rId49"/>
    <sheet state="visible" name="ShakeMap2" sheetId="47" r:id="rId50"/>
    <sheet state="visible" name="PyBET" sheetId="48" r:id="rId51"/>
    <sheet state="visible" name="HPS" sheetId="49" r:id="rId52"/>
    <sheet state="visible" name="Countries" sheetId="50" r:id="rId53"/>
  </sheets>
  <definedNames/>
  <calcPr/>
  <extLst>
    <ext uri="GoogleSheetsCustomDataVersion2">
      <go:sheetsCustomData xmlns:go="http://customooxmlschemas.google.com/" r:id="rId54" roundtripDataChecksum="WbVqDQIEI8XArdXVpEPElCuYN1fEJ7QeMU5nFVWVxK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
ID#AAABUaUWYrI
Jan Michálek    (2024-08-23 11:51:45)
Based on recognized female names in registration form.</t>
      </text>
    </comment>
    <comment authorId="0" ref="S4">
      <text>
        <t xml:space="preserve">======
ID#AAABUaUWYrM
Jan Michálek    (2024-08-23 11:52:37)
Countries not in Europe</t>
      </text>
    </comment>
  </commentList>
  <extLst>
    <ext uri="GoogleSheetsCustomDataVersion2">
      <go:sheetsCustomData xmlns:go="http://customooxmlschemas.google.com/" r:id="rId1" roundtripDataSignature="AMtx7mgGu2zNrml4qMH33sVT4A3MpEBXSw=="/>
    </ext>
  </extLst>
</comments>
</file>

<file path=xl/sharedStrings.xml><?xml version="1.0" encoding="utf-8"?>
<sst xmlns="http://schemas.openxmlformats.org/spreadsheetml/2006/main" count="50114" uniqueCount="4170">
  <si>
    <t>Date</t>
  </si>
  <si>
    <t>Training_Name</t>
  </si>
  <si>
    <t># Registrations</t>
  </si>
  <si>
    <t>m+f+d</t>
  </si>
  <si>
    <t># Participants</t>
  </si>
  <si>
    <t>Attend_Rate</t>
  </si>
  <si>
    <t>Male</t>
  </si>
  <si>
    <t>Female</t>
  </si>
  <si>
    <t>Diverse</t>
  </si>
  <si>
    <t>Female %</t>
  </si>
  <si>
    <t>ECS</t>
  </si>
  <si>
    <t>ECS %</t>
  </si>
  <si>
    <t>SME</t>
  </si>
  <si>
    <t>SME %</t>
  </si>
  <si>
    <t>Familar?</t>
  </si>
  <si>
    <t>Familiar? %</t>
  </si>
  <si>
    <t>FeedbackF</t>
  </si>
  <si>
    <t>FeedbackF %</t>
  </si>
  <si>
    <t>wideningC</t>
  </si>
  <si>
    <t>wideningC %</t>
  </si>
  <si>
    <t>#Scientific fields</t>
  </si>
  <si>
    <t>#Countries</t>
  </si>
  <si>
    <t>non-EU</t>
  </si>
  <si>
    <t>non-EU %</t>
  </si>
  <si>
    <t>America</t>
  </si>
  <si>
    <t>EPOSMetadata</t>
  </si>
  <si>
    <t>EPOS Data Portal Trg</t>
  </si>
  <si>
    <t>EPOS Data Portal Trg 2</t>
  </si>
  <si>
    <t>Oct-24</t>
  </si>
  <si>
    <t>EPOS Data Portal Trg 3</t>
  </si>
  <si>
    <t>Mar-2025</t>
  </si>
  <si>
    <t>EPOS Platform Trg - Online 12-03-2025</t>
  </si>
  <si>
    <t>EPOS Platform Trg - EGU25</t>
  </si>
  <si>
    <t>May-2025</t>
  </si>
  <si>
    <t>EPOS Platform Trg - Clermont-Ferrand</t>
  </si>
  <si>
    <t>EPOS Platform Trg - S4E</t>
  </si>
  <si>
    <t>Jun-2025</t>
  </si>
  <si>
    <t>EPOS Platform Trg - EPOS Summer School</t>
  </si>
  <si>
    <t>July-2025</t>
  </si>
  <si>
    <t>EPOS Platform Trg - Spain</t>
  </si>
  <si>
    <t>Sep-2025</t>
  </si>
  <si>
    <t>EPOS Platform Trg - CZ</t>
  </si>
  <si>
    <t>May-2026</t>
  </si>
  <si>
    <t>EPOS Platform Trg - EGU26</t>
  </si>
  <si>
    <t xml:space="preserve">Summary </t>
  </si>
  <si>
    <t>11 EPOS Trg</t>
  </si>
  <si>
    <t>.</t>
  </si>
  <si>
    <t>HPS-SCOPED1</t>
  </si>
  <si>
    <t>ETRiS</t>
  </si>
  <si>
    <t>HySEA_T</t>
  </si>
  <si>
    <t>HySEA_L</t>
  </si>
  <si>
    <t>PyBET</t>
  </si>
  <si>
    <t>preliminary results from feedback, survey still open</t>
  </si>
  <si>
    <t>SDL_WS</t>
  </si>
  <si>
    <t>Quakeworx</t>
  </si>
  <si>
    <t>VIS_WS</t>
  </si>
  <si>
    <t>SDL_Trg</t>
  </si>
  <si>
    <t>June 2026</t>
  </si>
  <si>
    <t>SeisSol_ExaHyPE_WS</t>
  </si>
  <si>
    <t>10 HPC Events</t>
  </si>
  <si>
    <t>FAIR1</t>
  </si>
  <si>
    <t>FAIR2</t>
  </si>
  <si>
    <t>FAIR3</t>
  </si>
  <si>
    <t>FAIR4</t>
  </si>
  <si>
    <t>FAIR5</t>
  </si>
  <si>
    <t>FAIR6</t>
  </si>
  <si>
    <t>FAIR7</t>
  </si>
  <si>
    <t>Summary</t>
  </si>
  <si>
    <t>7 FAIR Trg</t>
  </si>
  <si>
    <t>EPISODES_WS</t>
  </si>
  <si>
    <t>SiteEffects</t>
  </si>
  <si>
    <t>SLIP</t>
  </si>
  <si>
    <t>SLSMF</t>
  </si>
  <si>
    <t>May-25</t>
  </si>
  <si>
    <t>EPISODES_Trg</t>
  </si>
  <si>
    <t>Boreholes</t>
  </si>
  <si>
    <t>6 Portal Trg</t>
  </si>
  <si>
    <t>ShakeMap1</t>
  </si>
  <si>
    <t>ShakeMap2</t>
  </si>
  <si>
    <t>ShakeMap3</t>
  </si>
  <si>
    <t>3 ShakeMap WS</t>
  </si>
  <si>
    <t>Barcelona_TsunamiGenesis</t>
  </si>
  <si>
    <t>Messina_EQTsunamiWFs</t>
  </si>
  <si>
    <t>Potsdam_PTRA</t>
  </si>
  <si>
    <t>3 Geohazard WS</t>
  </si>
  <si>
    <t>March 2024</t>
  </si>
  <si>
    <t>ORFEUS_1_SMS</t>
  </si>
  <si>
    <t>ORFEUS_2_ESM</t>
  </si>
  <si>
    <t>ORFEUS_3_EIDA</t>
  </si>
  <si>
    <t>May 2024</t>
  </si>
  <si>
    <t>ORFEUS_4_Curate</t>
  </si>
  <si>
    <t>June 2024</t>
  </si>
  <si>
    <t>ORFEUS_5_EIDAWFCat.</t>
  </si>
  <si>
    <t>ORFEUS_WS_Helsinki (attendance onsite+online) - to review</t>
  </si>
  <si>
    <t>ORFEUS_6_SubMachine</t>
  </si>
  <si>
    <t>May 2025</t>
  </si>
  <si>
    <t>ORFEUS_7_AdriaArray</t>
  </si>
  <si>
    <t>ORFEUS_8_Conrad/BlackForest</t>
  </si>
  <si>
    <t>ORFEUS_WS_Athens (attendance onsite + online)</t>
  </si>
  <si>
    <t>May 2026</t>
  </si>
  <si>
    <t>ORFEUS_9_StationExpl</t>
  </si>
  <si>
    <t>ORFEUS_10_obsinfo_yasmine</t>
  </si>
  <si>
    <t>ORFEUS_WS_Istanbul</t>
  </si>
  <si>
    <t>preliminary data based on current registrations</t>
  </si>
  <si>
    <t>13 ORFEUS Events</t>
  </si>
  <si>
    <t>July 2024</t>
  </si>
  <si>
    <t>EGU Galileo Conf</t>
  </si>
  <si>
    <t>GEM-EGU SummerSchool</t>
  </si>
  <si>
    <t>70 applications for 20 seats</t>
  </si>
  <si>
    <t>EPISODES_Hackathon</t>
  </si>
  <si>
    <t>AI4Seismology</t>
  </si>
  <si>
    <t>Oct. 2025</t>
  </si>
  <si>
    <t>Geo-i SummerSchool</t>
  </si>
  <si>
    <t>GFZ_Intl_Trg_Course</t>
  </si>
  <si>
    <t>5 Schools</t>
  </si>
  <si>
    <t>Sum</t>
  </si>
  <si>
    <t>ID</t>
  </si>
  <si>
    <t>Gender</t>
  </si>
  <si>
    <t>Affiliation</t>
  </si>
  <si>
    <t>Country of Affiliation</t>
  </si>
  <si>
    <t>Are you an Early Career Scientist?</t>
  </si>
  <si>
    <t>Do you work in industry, a Start-up or Small and Medium Enterprise?</t>
  </si>
  <si>
    <t>What is your scientific expertise? (Multiple Choice)</t>
  </si>
  <si>
    <t>Scientific expertise - Other(s):</t>
  </si>
  <si>
    <t>Have you used this installation before?</t>
  </si>
  <si>
    <t>Registration date</t>
  </si>
  <si>
    <t>Registration state</t>
  </si>
  <si>
    <t>Training</t>
  </si>
  <si>
    <t>Events</t>
  </si>
  <si>
    <t>Countries</t>
  </si>
  <si>
    <t>No_Countries</t>
  </si>
  <si>
    <t>Category</t>
  </si>
  <si>
    <t>Country</t>
  </si>
  <si>
    <t>IPGP</t>
  </si>
  <si>
    <t>France</t>
  </si>
  <si>
    <t>Yes</t>
  </si>
  <si>
    <t>No</t>
  </si>
  <si>
    <t>Seismology</t>
  </si>
  <si>
    <t>Sep 29, 2023, 11:59 AM</t>
  </si>
  <si>
    <t>Completed</t>
  </si>
  <si>
    <t>Algeria</t>
  </si>
  <si>
    <t>Africa</t>
  </si>
  <si>
    <t>EMSO ERIC</t>
  </si>
  <si>
    <t>Italy</t>
  </si>
  <si>
    <t>Marine Sciences</t>
  </si>
  <si>
    <t>Sep 29, 2023, 11:05 AM</t>
  </si>
  <si>
    <t>ETRIS</t>
  </si>
  <si>
    <t>Cameroon</t>
  </si>
  <si>
    <t>Asia</t>
  </si>
  <si>
    <t>CNRS</t>
  </si>
  <si>
    <t>Geohazard</t>
  </si>
  <si>
    <t>Data manager</t>
  </si>
  <si>
    <t>Sep 28, 2023, 3:09 PM</t>
  </si>
  <si>
    <t>Turkey</t>
  </si>
  <si>
    <t>Congo - Kinshasa</t>
  </si>
  <si>
    <t>Middle East</t>
  </si>
  <si>
    <t>CNRS - OPGC</t>
  </si>
  <si>
    <t>Engineering</t>
  </si>
  <si>
    <t>Sep 28, 2023, 3:32 PM</t>
  </si>
  <si>
    <t>New Zealand</t>
  </si>
  <si>
    <t>Ethiopia</t>
  </si>
  <si>
    <t>Middle/South America</t>
  </si>
  <si>
    <t>ISTerre</t>
  </si>
  <si>
    <t>Sep 28, 2023, 1:59 PM</t>
  </si>
  <si>
    <t>Germany</t>
  </si>
  <si>
    <t>Ghana</t>
  </si>
  <si>
    <t>Australia</t>
  </si>
  <si>
    <t>Istituto Nazionale di Geofisica e Vulcanologia</t>
  </si>
  <si>
    <t>Geohazard; Tsunami</t>
  </si>
  <si>
    <t>Sep 28, 2023, 1:27 PM</t>
  </si>
  <si>
    <t>Finland</t>
  </si>
  <si>
    <t>Malawi</t>
  </si>
  <si>
    <t>US+Canada</t>
  </si>
  <si>
    <t>Ingv</t>
  </si>
  <si>
    <t>Computer Science</t>
  </si>
  <si>
    <t>Oct 13, 2023, 5:54 PM</t>
  </si>
  <si>
    <t>Romania</t>
  </si>
  <si>
    <t>Morocco</t>
  </si>
  <si>
    <t>EU</t>
  </si>
  <si>
    <t>Boğaziçi University- KOERI</t>
  </si>
  <si>
    <t>Seismology; Tsunami</t>
  </si>
  <si>
    <t>Sep 28, 2023, 2:23 PM</t>
  </si>
  <si>
    <t>Mozambique</t>
  </si>
  <si>
    <t>EU Widening Countries</t>
  </si>
  <si>
    <t>CINECA</t>
  </si>
  <si>
    <t>Other</t>
  </si>
  <si>
    <t>Oct 5, 2023, 10:25 AM</t>
  </si>
  <si>
    <t>Switzerland</t>
  </si>
  <si>
    <t>Nigeria</t>
  </si>
  <si>
    <t>EU Associated Countries</t>
  </si>
  <si>
    <t>WSP</t>
  </si>
  <si>
    <t>Engineering; Seismology</t>
  </si>
  <si>
    <t>Oct 16, 2023, 8:48 PM</t>
  </si>
  <si>
    <t>United Kingdom</t>
  </si>
  <si>
    <t>Uganda</t>
  </si>
  <si>
    <t>LMU - Dept. of Geophysics</t>
  </si>
  <si>
    <t>Sep 29, 2023, 11:31 AM</t>
  </si>
  <si>
    <t>Belgium</t>
  </si>
  <si>
    <t>Zimbabwe</t>
  </si>
  <si>
    <t>EU Percentage</t>
  </si>
  <si>
    <t>ISPRA</t>
  </si>
  <si>
    <t>Sep 28, 2023, 3:15 PM</t>
  </si>
  <si>
    <t>Spain</t>
  </si>
  <si>
    <t>China</t>
  </si>
  <si>
    <t>University of Helsinki</t>
  </si>
  <si>
    <t>Computer Science; Engineering; Seismology</t>
  </si>
  <si>
    <t>Seismic ambient noise</t>
  </si>
  <si>
    <t>Oct 16, 2023, 10:36 AM</t>
  </si>
  <si>
    <t>HPS1</t>
  </si>
  <si>
    <t>Iceland</t>
  </si>
  <si>
    <t>Hongkong</t>
  </si>
  <si>
    <t>National Institute for Earth Physics</t>
  </si>
  <si>
    <t>Oct 16, 2023, 3:53 PM</t>
  </si>
  <si>
    <t>Greece</t>
  </si>
  <si>
    <t>Indonesia</t>
  </si>
  <si>
    <t>National Computational Infrastructure</t>
  </si>
  <si>
    <t>Metadata, repository administration</t>
  </si>
  <si>
    <t>Sep 29, 2023, 12:19 AM</t>
  </si>
  <si>
    <t>Norway</t>
  </si>
  <si>
    <t>Japan</t>
  </si>
  <si>
    <t>ETH Zurich</t>
  </si>
  <si>
    <t>Geohazard; Seismology</t>
  </si>
  <si>
    <t>Sep 28, 2023, 3:18 PM</t>
  </si>
  <si>
    <t>Croatia</t>
  </si>
  <si>
    <t>Kyrgyzstan</t>
  </si>
  <si>
    <t>EPOS ERIC</t>
  </si>
  <si>
    <t>Energy Transformation/Storage; Engineering</t>
  </si>
  <si>
    <t>Oct 7, 2023, 11:52 PM</t>
  </si>
  <si>
    <t>Poland</t>
  </si>
  <si>
    <t>Malaysia</t>
  </si>
  <si>
    <t>British Geological Survey/University of Edinburgh</t>
  </si>
  <si>
    <t>Computer Science; Engineering</t>
  </si>
  <si>
    <t>Sep 29, 2023, 3:31 PM</t>
  </si>
  <si>
    <t>Portugal</t>
  </si>
  <si>
    <t>Maldives</t>
  </si>
  <si>
    <t>GFZ Potsdam</t>
  </si>
  <si>
    <t>Sep 28, 2023, 1:09 PM</t>
  </si>
  <si>
    <t>EPOS_3</t>
  </si>
  <si>
    <t>Bulgaria</t>
  </si>
  <si>
    <t>Philippines</t>
  </si>
  <si>
    <t>ROB</t>
  </si>
  <si>
    <t>Computer Science; Solid Earth</t>
  </si>
  <si>
    <t>Oct 4, 2023, 9:54 AM</t>
  </si>
  <si>
    <t>Iran</t>
  </si>
  <si>
    <t>Singapore</t>
  </si>
  <si>
    <t>CSIC</t>
  </si>
  <si>
    <t>Atmospheric Physics; Computer Science; Geohazard; Solid Earth; Volcanology</t>
  </si>
  <si>
    <t>Sep 28, 2023, 2:58 PM</t>
  </si>
  <si>
    <t>Netherlands</t>
  </si>
  <si>
    <t>South Korea</t>
  </si>
  <si>
    <t>Icelandic Meteorological Office</t>
  </si>
  <si>
    <t>Solid Earth; Volcanology</t>
  </si>
  <si>
    <t>geodesy</t>
  </si>
  <si>
    <t>Oct 3, 2023, 3:09 PM</t>
  </si>
  <si>
    <t>ORFEUS_unique</t>
  </si>
  <si>
    <t>Taiwan</t>
  </si>
  <si>
    <t>Environmental Protection; Geohazard</t>
  </si>
  <si>
    <t>Oct 19, 2023, 10:05 AM</t>
  </si>
  <si>
    <t>Canada</t>
  </si>
  <si>
    <t>United Arab Emirates</t>
  </si>
  <si>
    <t>Aristotle University of Thessaloniki - Dpt of Geophysics</t>
  </si>
  <si>
    <t>Oct 13, 2023, 12:50 PM</t>
  </si>
  <si>
    <t>Hackathon1</t>
  </si>
  <si>
    <t>United States</t>
  </si>
  <si>
    <t>Vietnam</t>
  </si>
  <si>
    <t>Atmospheric Physics; Seismology</t>
  </si>
  <si>
    <t>Oct 10, 2023, 2:01 PM</t>
  </si>
  <si>
    <t>EPOS_Trg_CZ</t>
  </si>
  <si>
    <t>Albania</t>
  </si>
  <si>
    <t>associated countries</t>
  </si>
  <si>
    <t>University of Grenoble Alpes</t>
  </si>
  <si>
    <t>Engineering; Geohazard; Seismology</t>
  </si>
  <si>
    <t>Sep 29, 2023, 10:48 AM</t>
  </si>
  <si>
    <t>EPOS_Trg_Spain</t>
  </si>
  <si>
    <t>Malta</t>
  </si>
  <si>
    <t>Bosnia and Herzegovina</t>
  </si>
  <si>
    <t>NORSAR</t>
  </si>
  <si>
    <t>Oct 9, 2023, 3:36 PM</t>
  </si>
  <si>
    <t>EPOS_SummerSchool</t>
  </si>
  <si>
    <t>Bangladesh</t>
  </si>
  <si>
    <t>Universidad de Málaga</t>
  </si>
  <si>
    <t>Computer Science; Geohazard; Tsunami</t>
  </si>
  <si>
    <t>Oct 4, 2023, 5:41 PM</t>
  </si>
  <si>
    <t>EPOSTrg_S4E</t>
  </si>
  <si>
    <t>Pakistan</t>
  </si>
  <si>
    <t>Israel</t>
  </si>
  <si>
    <t>Geosciences Barcelona- CSIC</t>
  </si>
  <si>
    <t>Atmospheric Physics; Computer Science; Geohazard; Volcanology</t>
  </si>
  <si>
    <t>Sep 28, 2023, 3:59 PM</t>
  </si>
  <si>
    <t>EPOSTrg_France</t>
  </si>
  <si>
    <t>India</t>
  </si>
  <si>
    <t>Montenegro</t>
  </si>
  <si>
    <t>Atmospheric Physics</t>
  </si>
  <si>
    <t>Research infrastructure coordination</t>
  </si>
  <si>
    <t>Sep 28, 2023, 1:53 PM</t>
  </si>
  <si>
    <t>EPOSTrg_EGU25</t>
  </si>
  <si>
    <t>Egypt</t>
  </si>
  <si>
    <t>Computer Science; Seismology</t>
  </si>
  <si>
    <t>Glaciology</t>
  </si>
  <si>
    <t>Oct 3, 2023, 4:03 PM</t>
  </si>
  <si>
    <t>EPOSTrg_Online25</t>
  </si>
  <si>
    <t>Nepal</t>
  </si>
  <si>
    <t>North Macedonia</t>
  </si>
  <si>
    <t>Federal Institute for Geosciences and Natural Resources (BGR)</t>
  </si>
  <si>
    <t>infrasound</t>
  </si>
  <si>
    <t>Sep 29, 2023, 9:27 AM</t>
  </si>
  <si>
    <t>Università degli Studi di Firenze</t>
  </si>
  <si>
    <t>Atmospheric Physics; Computer Science; Geohazard; Seismology; Solid Earth; Tsunami; Volcanology</t>
  </si>
  <si>
    <t>Sep 29, 2023, 10:40 AM</t>
  </si>
  <si>
    <t>Serbia</t>
  </si>
  <si>
    <t>Computer Science; Seismology; Solid Earth</t>
  </si>
  <si>
    <t>Oct 16, 2023, 1:22 PM</t>
  </si>
  <si>
    <t>Geohazard_WS1</t>
  </si>
  <si>
    <t>Mexico</t>
  </si>
  <si>
    <t>Tunisia</t>
  </si>
  <si>
    <t>GFZ</t>
  </si>
  <si>
    <t>Computer Science; Engineering; Geohazard; Seismology</t>
  </si>
  <si>
    <t>Sep 28, 2023, 1:00 PM</t>
  </si>
  <si>
    <t>Peru</t>
  </si>
  <si>
    <t>Seismologist</t>
  </si>
  <si>
    <t>Seismology; Solid Earth</t>
  </si>
  <si>
    <t>Oct 15, 2023, 9:49 PM</t>
  </si>
  <si>
    <t>Ukraine</t>
  </si>
  <si>
    <t>University of Potsdam</t>
  </si>
  <si>
    <t>Sep 28, 2023, 1:47 PM</t>
  </si>
  <si>
    <t>DT-GEO / UKRI-BGS</t>
  </si>
  <si>
    <t>Sep 28, 2023, 3:52 PM</t>
  </si>
  <si>
    <t>Andorra</t>
  </si>
  <si>
    <t>Europe</t>
  </si>
  <si>
    <t>National and Kapodistrian University of Athens</t>
  </si>
  <si>
    <t>Oct 18, 2023, 8:50 PM</t>
  </si>
  <si>
    <t>Austria</t>
  </si>
  <si>
    <t>Atmospheric Physics; Computer Science; Environmental Protection; Energy Transformation/Storage; Engineering; Geohazard; Marine Sciences; Seismology; Solid Earth; Tsunami; Volcanology</t>
  </si>
  <si>
    <t>Sep 28, 2023, 2:11 PM</t>
  </si>
  <si>
    <t>Institute of Geophysics PAS</t>
  </si>
  <si>
    <t>Geohazard; Solid Earth</t>
  </si>
  <si>
    <t>Oct 19, 2023, 10:01 AM</t>
  </si>
  <si>
    <t>Denmark</t>
  </si>
  <si>
    <t>INGV</t>
  </si>
  <si>
    <t>Historical Seismology, Open Science, Metadata</t>
  </si>
  <si>
    <t>Oct 13, 2023, 5:49 PM</t>
  </si>
  <si>
    <t>Trinidad &amp; Tobago</t>
  </si>
  <si>
    <t>NGI</t>
  </si>
  <si>
    <t>Sep 28, 2023, 5:35 PM</t>
  </si>
  <si>
    <t>INCD</t>
  </si>
  <si>
    <t>Computer Science; Marine Sciences</t>
  </si>
  <si>
    <t>Oct 18, 2023, 4:54 PM</t>
  </si>
  <si>
    <t>Colombia</t>
  </si>
  <si>
    <t>Universidad de Málaga (UMA)</t>
  </si>
  <si>
    <t>Tsunami</t>
  </si>
  <si>
    <t>Numerical Modeling</t>
  </si>
  <si>
    <t>Sep 28, 2023, 3:37 PM</t>
  </si>
  <si>
    <t>Hungary</t>
  </si>
  <si>
    <t>Ireland</t>
  </si>
  <si>
    <t>Computer Science; Geohazard; Solid Earth; Tsunami</t>
  </si>
  <si>
    <t>Sep 28, 2023, 3:19 PM</t>
  </si>
  <si>
    <t>Institute of Geophysics Polish Academy of Sciences</t>
  </si>
  <si>
    <t>Oct 2, 2023, 5:02 PM</t>
  </si>
  <si>
    <t>Saudi Arabia</t>
  </si>
  <si>
    <t>Luxembourg</t>
  </si>
  <si>
    <t>University of Firenze</t>
  </si>
  <si>
    <t>Sep 28, 2023, 4:55 PM</t>
  </si>
  <si>
    <t>PLOCAN</t>
  </si>
  <si>
    <t>Engineering; Marine Sciences</t>
  </si>
  <si>
    <t>Oct 2, 2023, 5:34 PM</t>
  </si>
  <si>
    <t>Cyprus</t>
  </si>
  <si>
    <t>University of Bergen</t>
  </si>
  <si>
    <t>Geohazard; Seismology; Solid Earth</t>
  </si>
  <si>
    <t>Sep 28, 2023, 3:54 PM</t>
  </si>
  <si>
    <t>Chile</t>
  </si>
  <si>
    <t>spain</t>
  </si>
  <si>
    <t>Royal observatory of Belgium</t>
  </si>
  <si>
    <t>Oct 4, 2023, 9:50 AM</t>
  </si>
  <si>
    <t>Ecuador</t>
  </si>
  <si>
    <t>Sweden</t>
  </si>
  <si>
    <t>NIEP</t>
  </si>
  <si>
    <t>Oct 16, 2023, 11:28 AM</t>
  </si>
  <si>
    <t>Computer Science; Solid Earth; Volcanology</t>
  </si>
  <si>
    <t>Oct 2, 2023, 1:28 PM</t>
  </si>
  <si>
    <t>Barcelona Supercomputing Center</t>
  </si>
  <si>
    <t>computational seismology</t>
  </si>
  <si>
    <t>Sep 29, 2023, 9:14 AM</t>
  </si>
  <si>
    <t>Environmental Protection; Marine Sciences</t>
  </si>
  <si>
    <t>Czechia</t>
  </si>
  <si>
    <t>INGV OV</t>
  </si>
  <si>
    <t>Volcanology</t>
  </si>
  <si>
    <t>Oct 16, 2023, 1:20 PM</t>
  </si>
  <si>
    <t>Naples Federico II</t>
  </si>
  <si>
    <t>Oct 6, 2023, 8:37 PM</t>
  </si>
  <si>
    <t>Oct 19, 2023, 10:06 AM</t>
  </si>
  <si>
    <t>Costa Rica</t>
  </si>
  <si>
    <t>PLOCAN -Plataforma Oceánica de Canarias</t>
  </si>
  <si>
    <t>bioacoustics, biodiversity</t>
  </si>
  <si>
    <t>Oct 2, 2023, 4:00 PM</t>
  </si>
  <si>
    <t>Palestine</t>
  </si>
  <si>
    <t>Computer Science; Geohazard; Seismology</t>
  </si>
  <si>
    <t>geo-information</t>
  </si>
  <si>
    <t>Oct 12, 2023, 11:12 AM</t>
  </si>
  <si>
    <t>Slovenia</t>
  </si>
  <si>
    <t>Sep 29, 2023, 11:17 AM</t>
  </si>
  <si>
    <t>Bolivia</t>
  </si>
  <si>
    <t>Solid Earth</t>
  </si>
  <si>
    <t>Oct 9, 2023, 3:57 PM</t>
  </si>
  <si>
    <t>Brazil</t>
  </si>
  <si>
    <t>Physics</t>
  </si>
  <si>
    <t>Oct 18, 2023, 3:07 PM</t>
  </si>
  <si>
    <t>NATIONAL OBSERVATORY OF ATHENS</t>
  </si>
  <si>
    <t>Earthquake analyst with a degree in Geology and geoenvironment</t>
  </si>
  <si>
    <t>Oct 11, 2023, 6:46 AM</t>
  </si>
  <si>
    <t>NIGGG-BAS</t>
  </si>
  <si>
    <t>Engineering; Geohazard; Solid Earth</t>
  </si>
  <si>
    <t>Geodesy</t>
  </si>
  <si>
    <t>Oct 13, 2023, 4:55 PM</t>
  </si>
  <si>
    <t>Oct 18, 2023, 12:51 PM</t>
  </si>
  <si>
    <t>NOA</t>
  </si>
  <si>
    <t>Oct 12, 2023, 7:16 PM</t>
  </si>
  <si>
    <t>unknown</t>
  </si>
  <si>
    <t>Honduras</t>
  </si>
  <si>
    <t>Oct 17, 2023, 11:11 AM</t>
  </si>
  <si>
    <t>Oct 5, 2023, 11:24 AM</t>
  </si>
  <si>
    <t>Nicaragua</t>
  </si>
  <si>
    <t>GEOFON - GFZ</t>
  </si>
  <si>
    <t>Oct 13, 2023, 9:05 AM</t>
  </si>
  <si>
    <t>Paraguay</t>
  </si>
  <si>
    <t>Oct 5, 2023, 10:01 AM</t>
  </si>
  <si>
    <t>Sep 28, 2023, 1:54 PM</t>
  </si>
  <si>
    <t>Puerto Rico</t>
  </si>
  <si>
    <t>University of Tehran</t>
  </si>
  <si>
    <t>Computer Science; Environmental Protection; Engineering</t>
  </si>
  <si>
    <t>Oct 13, 2023, 10:49 PM</t>
  </si>
  <si>
    <t>Istituto Nazionale di Geofisica e Vulcanologia, Osservatorio Vesuviano (INGV,OV)</t>
  </si>
  <si>
    <t>Oct 16, 2023, 3:22 PM</t>
  </si>
  <si>
    <t>Venezuela</t>
  </si>
  <si>
    <t>Sep 29, 2023, 10:51 AM</t>
  </si>
  <si>
    <t>French Polynesia</t>
  </si>
  <si>
    <t>Oceania</t>
  </si>
  <si>
    <t>ETHZ</t>
  </si>
  <si>
    <t>Sep 28, 2023, 3:05 PM</t>
  </si>
  <si>
    <t>outermost region</t>
  </si>
  <si>
    <t>Politecnico di Torino</t>
  </si>
  <si>
    <t>Energy Transformation/Storage; Engineering; Geohazard</t>
  </si>
  <si>
    <t>Petroleum engineering</t>
  </si>
  <si>
    <t>Oct 19, 2023, 9:45 PM</t>
  </si>
  <si>
    <t>U.S. + Canada</t>
  </si>
  <si>
    <t>Oct 2, 2023, 10:59 AM</t>
  </si>
  <si>
    <t>ISTERRE</t>
  </si>
  <si>
    <t>Oct 11, 2023, 4:47 PM</t>
  </si>
  <si>
    <t>Dr. Engineering Geologist NTUA</t>
  </si>
  <si>
    <t>Environmental Protection; Engineering; Geohazard</t>
  </si>
  <si>
    <t>Landslides, Risk Assessment</t>
  </si>
  <si>
    <t>Sep 28, 2023, 2:20 PM</t>
  </si>
  <si>
    <t>widening countries</t>
  </si>
  <si>
    <t>Sep 28, 2023, 4:41 PM</t>
  </si>
  <si>
    <t>TU Delft</t>
  </si>
  <si>
    <t>Energy Transformation/Storage</t>
  </si>
  <si>
    <t>Geophysics</t>
  </si>
  <si>
    <t>Oct 12, 2023, 10:09 AM</t>
  </si>
  <si>
    <t>Seismology; Solid Earth; Volcanology</t>
  </si>
  <si>
    <t>Oct 16, 2023, 1:25 PM</t>
  </si>
  <si>
    <t>VLIZ</t>
  </si>
  <si>
    <t>Geohazard; Marine Sciences; Tsunami</t>
  </si>
  <si>
    <t>Oct 5, 2023, 10:18 AM</t>
  </si>
  <si>
    <t>Sep 28, 2023, 1:08 PM</t>
  </si>
  <si>
    <t>National Institute of Oceanography and Applied Geophysics - OGS</t>
  </si>
  <si>
    <t>Oct 13, 2023, 9:28 AM</t>
  </si>
  <si>
    <t>Oct 18, 2023, 11:31 AM</t>
  </si>
  <si>
    <t>Institute of Earth Science,Academia Sinica</t>
  </si>
  <si>
    <t>Engineering; Geohazard; Seismology; Solid Earth</t>
  </si>
  <si>
    <t>Oct 13, 2023, 12:23 AM</t>
  </si>
  <si>
    <t>BSC</t>
  </si>
  <si>
    <t>Oct 19, 2023, 10:11 AM</t>
  </si>
  <si>
    <t>International Institute of Earthquake Engineering and Seismology</t>
  </si>
  <si>
    <t>Engineering; Seismology; Other</t>
  </si>
  <si>
    <t>Vulnerability and Risk Assessment of Buildings</t>
  </si>
  <si>
    <t>Oct 12, 2023, 4:05 PM</t>
  </si>
  <si>
    <t>Postdoctoral fellow-Department of Civil Engineering</t>
  </si>
  <si>
    <t>Oct 12, 2023, 4:57 PM</t>
  </si>
  <si>
    <t>Sep 28, 2023, 6:52 PM</t>
  </si>
  <si>
    <t>Trupt Technology Inc.</t>
  </si>
  <si>
    <t>Engineering; Geohazard</t>
  </si>
  <si>
    <t>Oct 17, 2023, 9:20 AM</t>
  </si>
  <si>
    <t>London Resilience Group</t>
  </si>
  <si>
    <t>Resilience Planning</t>
  </si>
  <si>
    <t>Oct 26, 2023, 11:03 AM</t>
  </si>
  <si>
    <t>University of Nebraska-Lincoln</t>
  </si>
  <si>
    <t>Oct 11, 2023, 1:24 AM</t>
  </si>
  <si>
    <t>Nagoya University</t>
  </si>
  <si>
    <t>Nov 2, 2023, 3:38 PM</t>
  </si>
  <si>
    <t>L-Universita ta' Malta</t>
  </si>
  <si>
    <r>
      <rPr>
        <rFont val="Calibri"/>
        <color rgb="FF000000"/>
        <sz val="11.0"/>
      </rPr>
      <t xml:space="preserve">Seismology; </t>
    </r>
    <r>
      <rPr>
        <rFont val="Calibri"/>
        <b/>
        <color rgb="FF000000"/>
        <sz val="11.0"/>
      </rPr>
      <t>Solid Earth</t>
    </r>
  </si>
  <si>
    <t>Sep 28, 2023, 2:00 PM</t>
  </si>
  <si>
    <t>The University of Edinburgh</t>
  </si>
  <si>
    <t>Sep 28, 2023, 2:42 PM</t>
  </si>
  <si>
    <t>Khulna University</t>
  </si>
  <si>
    <t>Social Science</t>
  </si>
  <si>
    <t>Oct 12, 2023, 3:26 AM</t>
  </si>
  <si>
    <t>Sharif University of Technology</t>
  </si>
  <si>
    <t>Engineering; Seismology; Tsunami</t>
  </si>
  <si>
    <t>Oct 11, 2023, 5:38 AM</t>
  </si>
  <si>
    <t>ZAC Engineers</t>
  </si>
  <si>
    <t>Oct 11, 2023, 9:45 PM</t>
  </si>
  <si>
    <t>Senior expert, Iran nuclear regulatory authority</t>
  </si>
  <si>
    <t>Engineering; Geohazard; Other</t>
  </si>
  <si>
    <t>Structural engineer</t>
  </si>
  <si>
    <t>Oct 10, 2023, 7:22 PM</t>
  </si>
  <si>
    <t>Petroleum University of Technology</t>
  </si>
  <si>
    <t>Oct 10, 2023, 10:29 PM</t>
  </si>
  <si>
    <t>University of Bristol</t>
  </si>
  <si>
    <t>Oct 22, 2023, 5:14 PM</t>
  </si>
  <si>
    <t>Instituto Português do Mar e da Atmosfera</t>
  </si>
  <si>
    <t>Oct 20, 2023, 3:31 PM</t>
  </si>
  <si>
    <t>PhD student</t>
  </si>
  <si>
    <t>Oct 11, 2023, 2:37 AM</t>
  </si>
  <si>
    <t>Aristotle University of Thessaloniki</t>
  </si>
  <si>
    <t>Oct 11, 2023, 9:31 AM</t>
  </si>
  <si>
    <t>UCL</t>
  </si>
  <si>
    <t>Health and Racial Justice, Urban Health</t>
  </si>
  <si>
    <t>Oct 14, 2023, 11:05 PM</t>
  </si>
  <si>
    <t>Amirkabir University of Technology</t>
  </si>
  <si>
    <t>Uncertainty Quantification</t>
  </si>
  <si>
    <t>Oct 11, 2023, 10:41 AM</t>
  </si>
  <si>
    <t>Sep 29, 2023, 12:00 PM</t>
  </si>
  <si>
    <t>CERN</t>
  </si>
  <si>
    <t>Nov 4, 2023, 8:10 PM</t>
  </si>
  <si>
    <t>Seismic hazard and seismic risk assessment</t>
  </si>
  <si>
    <t>Nov 6, 2023, 10:47 AM</t>
  </si>
  <si>
    <t>Seingim company</t>
  </si>
  <si>
    <t>Oct 11, 2023, 8:33 AM</t>
  </si>
  <si>
    <t>Nov 6, 2023, 9:20 AM</t>
  </si>
  <si>
    <t>IIT MANDI</t>
  </si>
  <si>
    <t>Oct 10, 2023, 7:50 PM</t>
  </si>
  <si>
    <t>National research institute of Astronomy and Geophysics</t>
  </si>
  <si>
    <t>Oct 14, 2023, 11:14 AM</t>
  </si>
  <si>
    <t>Department Ferdowsi university of Mashhad</t>
  </si>
  <si>
    <t>Computer Science; Engineering; Geohazard</t>
  </si>
  <si>
    <t>Oct 12, 2023, 11:21 AM</t>
  </si>
  <si>
    <t>University College London</t>
  </si>
  <si>
    <t>Oct 4, 2023, 12:32 PM</t>
  </si>
  <si>
    <t>Oct 17, 2023, 2:43 PM</t>
  </si>
  <si>
    <t>IIT Roorkee</t>
  </si>
  <si>
    <t>Oct 11, 2023, 9:05 PM</t>
  </si>
  <si>
    <t>Thapathali Campus, Institute of Engineering, Tribhuvan University</t>
  </si>
  <si>
    <t>Oct 18, 2023, 7:50 PM</t>
  </si>
  <si>
    <t>Golestan University</t>
  </si>
  <si>
    <t>Eng.</t>
  </si>
  <si>
    <t>Oct 24, 2023, 7:59 PM</t>
  </si>
  <si>
    <t>Epoka University</t>
  </si>
  <si>
    <t>Structural engineering</t>
  </si>
  <si>
    <t>Oct 14, 2023, 1:07 PM</t>
  </si>
  <si>
    <t>Nanyang Technological University Singapore</t>
  </si>
  <si>
    <t>Environmental Protection; Geohazard; Tsunami</t>
  </si>
  <si>
    <t>Disaster Risk Management</t>
  </si>
  <si>
    <t>Nov 6, 2023, 8:58 AM</t>
  </si>
  <si>
    <t>ERN</t>
  </si>
  <si>
    <t>Engineering; Geohazard; Seismology; Other</t>
  </si>
  <si>
    <t>Hydrometeorological</t>
  </si>
  <si>
    <t>Oct 16, 2023, 8:24 PM</t>
  </si>
  <si>
    <t>Universidad Católica San Pablo</t>
  </si>
  <si>
    <t>Oct 14, 2023, 9:27 PM</t>
  </si>
  <si>
    <t>Oct 20, 2023, 1:08 PM</t>
  </si>
  <si>
    <t>National Technical University of Athens</t>
  </si>
  <si>
    <t>Oct 18, 2023, 12:12 PM</t>
  </si>
  <si>
    <t>Boğaziçi University</t>
  </si>
  <si>
    <t>Oct 10, 2023, 7:48 PM</t>
  </si>
  <si>
    <t>Institute of Geosciences</t>
  </si>
  <si>
    <t>Nov 3, 2023, 10:59 AM</t>
  </si>
  <si>
    <t>Beijing Normal University</t>
  </si>
  <si>
    <t>Geography</t>
  </si>
  <si>
    <t>Oct 9, 2023, 1:15 AM</t>
  </si>
  <si>
    <t>Aon Singapore Center For Innovation, Strategy and Management Pte Ltd</t>
  </si>
  <si>
    <t>Reinsurance</t>
  </si>
  <si>
    <t>Nov 6, 2023, 6:56 AM</t>
  </si>
  <si>
    <t>Universidade do Minho</t>
  </si>
  <si>
    <t>Large scale assessment; Seismic vulnerability; Masonry aggregate</t>
  </si>
  <si>
    <t>Oct 11, 2023, 10:38 AM</t>
  </si>
  <si>
    <t>Oct 5, 2023, 2:04 PM</t>
  </si>
  <si>
    <t>Nanyang Technological University</t>
  </si>
  <si>
    <t>Disaster risk analysis</t>
  </si>
  <si>
    <t>Oct 16, 2023, 9:13 AM</t>
  </si>
  <si>
    <t>Comp. Science - High Performance Computing</t>
  </si>
  <si>
    <t>Sep 22, 2023, 12:35 PM</t>
  </si>
  <si>
    <t>IMPACT Initiatives</t>
  </si>
  <si>
    <t>Geohazard; Volcanology; Other</t>
  </si>
  <si>
    <t>Climatic hazards, remote sensing, DRR</t>
  </si>
  <si>
    <t>Oct 14, 2023, 2:12 PM</t>
  </si>
  <si>
    <t>Oct 11, 2023, 5:27 PM</t>
  </si>
  <si>
    <t>Sep 28, 2023, 3:16 PM</t>
  </si>
  <si>
    <t>Technical University of Civil Engineering of Bucharest; Military Technical Academy Ferdinand I, Bucharest</t>
  </si>
  <si>
    <t>Oct 19, 2023, 1:15 PM</t>
  </si>
  <si>
    <t>IPMA</t>
  </si>
  <si>
    <t>Oct 23, 2023, 10:22 AM</t>
  </si>
  <si>
    <t>Western Sydney University</t>
  </si>
  <si>
    <t>Oct 11, 2023, 2:16 AM</t>
  </si>
  <si>
    <t>IIEST Shibpur</t>
  </si>
  <si>
    <t>Engineering; Geohazard; Seismology; Tsunami</t>
  </si>
  <si>
    <t>Oct 10, 2023, 10:02 PM</t>
  </si>
  <si>
    <t>Environmental Protection</t>
  </si>
  <si>
    <t>Oct 9, 2023, 9:51 PM</t>
  </si>
  <si>
    <t>Loughborough University</t>
  </si>
  <si>
    <t>Engineering; Other</t>
  </si>
  <si>
    <t>Urban Studies and Disaster Studies</t>
  </si>
  <si>
    <t>Oct 12, 2023, 10:00 AM</t>
  </si>
  <si>
    <t>University</t>
  </si>
  <si>
    <t>Engineering; Geohazard; Seismology; Volcanology</t>
  </si>
  <si>
    <t>Oct 10, 2023, 10:37 PM</t>
  </si>
  <si>
    <t>Geological Survey of Italy - ISPRA</t>
  </si>
  <si>
    <t>Geohazard; Seismology; Tsunami</t>
  </si>
  <si>
    <t>Oct 20, 2023, 1:48 PM</t>
  </si>
  <si>
    <t>AXA XL</t>
  </si>
  <si>
    <t>Oct 24, 2023, 5:01 PM</t>
  </si>
  <si>
    <t>UBC</t>
  </si>
  <si>
    <t>Oct 10, 2023, 8:56 PM</t>
  </si>
  <si>
    <t>Oct 30, 2023, 4:05 PM</t>
  </si>
  <si>
    <t>Engineering; Marine Sciences; Tsunami</t>
  </si>
  <si>
    <t>Oct 22, 2023, 1:18 PM</t>
  </si>
  <si>
    <t>Xavier University - Ateneo de Cagayn</t>
  </si>
  <si>
    <t>Oct 18, 2023, 6:46 AM</t>
  </si>
  <si>
    <t>Gallagher Re</t>
  </si>
  <si>
    <t>Engineering; Geohazard; Seismology; Tsunami; Volcanology</t>
  </si>
  <si>
    <t>Earthquake Expert</t>
  </si>
  <si>
    <t>Oct 16, 2023, 9:59 AM</t>
  </si>
  <si>
    <t>ICRC</t>
  </si>
  <si>
    <t>Oct 12, 2023, 11:00 PM</t>
  </si>
  <si>
    <t>National Institute of Oceanography and Applied Geophysics</t>
  </si>
  <si>
    <t>Oct 14, 2023, 10:51 AM</t>
  </si>
  <si>
    <t>Oct 27, 2023, 9:24 PM</t>
  </si>
  <si>
    <t>Research Assistant</t>
  </si>
  <si>
    <t>Oct 14, 2023, 9:21 PM</t>
  </si>
  <si>
    <t>Shiraz University</t>
  </si>
  <si>
    <t>Oct 18, 2023, 10:09 AM</t>
  </si>
  <si>
    <t>Assistant professor, international institute of earthquake engineering and seismology</t>
  </si>
  <si>
    <t>Numerical simulation</t>
  </si>
  <si>
    <t>Nov 6, 2023, 2:11 PM</t>
  </si>
  <si>
    <t>GFZ-Potsdam</t>
  </si>
  <si>
    <t>Seismic risk assessment, Exposure modelling</t>
  </si>
  <si>
    <t>Oct 4, 2023, 10:32 AM</t>
  </si>
  <si>
    <t>Marquette University</t>
  </si>
  <si>
    <t>Oct 11, 2023, 12:15 AM</t>
  </si>
  <si>
    <t>Oct 28, 2023, 9:01 AM</t>
  </si>
  <si>
    <t>Earth Observatory of Singapore, Nanyang Technological University</t>
  </si>
  <si>
    <t>Oct 12, 2023, 4:30 AM</t>
  </si>
  <si>
    <t>Norwegian Geotechnical Institute</t>
  </si>
  <si>
    <t>Energy Transformation/Storage; Geohazard; Seismology</t>
  </si>
  <si>
    <t>Oct 27, 2023, 2:35 PM</t>
  </si>
  <si>
    <t>University of the West of England (UWE Bristol)</t>
  </si>
  <si>
    <t>Oct 12, 2023, 1:38 AM</t>
  </si>
  <si>
    <t>International Islamic University Malaysia</t>
  </si>
  <si>
    <t>Earthquake Engineering</t>
  </si>
  <si>
    <t>Oct 11, 2023, 5:54 AM</t>
  </si>
  <si>
    <t>Badan Meteorologi Klimatologi dan Geofisika</t>
  </si>
  <si>
    <t>Geohazard; Seismology; Solid Earth; Tsunami</t>
  </si>
  <si>
    <t>Oct 11, 2023, 6:15 AM</t>
  </si>
  <si>
    <t>Ingegnery student</t>
  </si>
  <si>
    <t>Oct 14, 2023, 5:33 PM</t>
  </si>
  <si>
    <t>geological survey of isral</t>
  </si>
  <si>
    <t>geological risk assesment</t>
  </si>
  <si>
    <t>Nov 6, 2023, 9:00 AM</t>
  </si>
  <si>
    <t>Nov 6, 2023, 9:29 AM</t>
  </si>
  <si>
    <t>Disaster Risk Assessment</t>
  </si>
  <si>
    <t>Oct 11, 2023, 4:23 PM</t>
  </si>
  <si>
    <t>earthquake engineering</t>
  </si>
  <si>
    <t>Oct 9, 2023, 5:12 PM</t>
  </si>
  <si>
    <t>Oct 14, 2023, 2:48 PM</t>
  </si>
  <si>
    <t>Computer Science; Engineering; Seismology; Tsunami</t>
  </si>
  <si>
    <t>Community Resilience</t>
  </si>
  <si>
    <t>Oct 10, 2023, 11:00 PM</t>
  </si>
  <si>
    <t>Sep 29, 2023, 10:49 AM</t>
  </si>
  <si>
    <t>Oct 9, 2023, 3:37 PM</t>
  </si>
  <si>
    <t>University of Naples Federico II</t>
  </si>
  <si>
    <t>Oct 20, 2023, 11:35 PM</t>
  </si>
  <si>
    <t>Queen Mary University of London</t>
  </si>
  <si>
    <t>Environmental Protection; Other</t>
  </si>
  <si>
    <t>Climate Finance and Economics</t>
  </si>
  <si>
    <t>Oct 11, 2023, 5:51 PM</t>
  </si>
  <si>
    <t>İTÜ</t>
  </si>
  <si>
    <t>Seismic HaZard</t>
  </si>
  <si>
    <t>Oct 17, 2023, 10:10 AM</t>
  </si>
  <si>
    <t>RMSI</t>
  </si>
  <si>
    <t>Engineering; Geohazard; Seismology; Solid Earth; Tsunami; Other</t>
  </si>
  <si>
    <t>Oct 12, 2023, 9:41 PM</t>
  </si>
  <si>
    <t>UCL and Gallagher Re</t>
  </si>
  <si>
    <t>Oct 10, 2023, 9:16 PM</t>
  </si>
  <si>
    <t>Texas A&amp;M University</t>
  </si>
  <si>
    <t>Oct 17, 2023, 1:05 AM</t>
  </si>
  <si>
    <t>Doctoral Student</t>
  </si>
  <si>
    <t>Water and Climate</t>
  </si>
  <si>
    <t>Nov 2, 2023, 12:07 PM</t>
  </si>
  <si>
    <t>NIST</t>
  </si>
  <si>
    <t>Oct 11, 2023, 12:51 AM</t>
  </si>
  <si>
    <t>Universite Grenoble Alpea</t>
  </si>
  <si>
    <t>Oct 10, 2023, 7:25 PM</t>
  </si>
  <si>
    <t>AxA XL</t>
  </si>
  <si>
    <t>Oct 16, 2023, 12:58 PM</t>
  </si>
  <si>
    <t>PhD Student</t>
  </si>
  <si>
    <t>Hazards and health risks</t>
  </si>
  <si>
    <t>Oct 11, 2023, 5:10 PM</t>
  </si>
  <si>
    <t>Student</t>
  </si>
  <si>
    <t>Wildfire</t>
  </si>
  <si>
    <t>Oct 11, 2023, 6:09 PM</t>
  </si>
  <si>
    <t>Indian Institute of Technology (IIT) Guwahati.</t>
  </si>
  <si>
    <t>Remote Sensing &amp; GIS for Natural Hazards &amp; Disaster Risk Management.</t>
  </si>
  <si>
    <t>Oct 18, 2023, 11:02 PM</t>
  </si>
  <si>
    <t>IRDR, UCL</t>
  </si>
  <si>
    <t>Oct 5, 2023, 3:07 PM</t>
  </si>
  <si>
    <t>SVP</t>
  </si>
  <si>
    <t>Insurance catastrophe modeling</t>
  </si>
  <si>
    <t>Oct 14, 2023, 12:11 PM</t>
  </si>
  <si>
    <t>JAIST University</t>
  </si>
  <si>
    <t>Computer Science; Tsunami; Volcanology</t>
  </si>
  <si>
    <t>Oct 10, 2023, 11:25 PM</t>
  </si>
  <si>
    <t>Structural Engineer</t>
  </si>
  <si>
    <t>Structural Design</t>
  </si>
  <si>
    <t>Oct 11, 2023, 7:07 AM</t>
  </si>
  <si>
    <t>Senior Analyst</t>
  </si>
  <si>
    <t>Oct 16, 2023, 10:33 AM</t>
  </si>
  <si>
    <t>UNRA</t>
  </si>
  <si>
    <t>Nov 6, 2023, 9:15 AM</t>
  </si>
  <si>
    <t>Pulchowk Campus</t>
  </si>
  <si>
    <t>Oct 14, 2023, 5:11 PM</t>
  </si>
  <si>
    <t>Politecnico di Milano</t>
  </si>
  <si>
    <t>Oct 5, 2023, 7:04 PM</t>
  </si>
  <si>
    <t>Arak University of Technology</t>
  </si>
  <si>
    <t>Structural reliability</t>
  </si>
  <si>
    <t>Oct 11, 2023, 10:00 PM</t>
  </si>
  <si>
    <t>Centre for Development Studies, Thiruvananthapuram, India</t>
  </si>
  <si>
    <t>Economics</t>
  </si>
  <si>
    <t>Oct 11, 2023, 5:21 PM</t>
  </si>
  <si>
    <t>Indian institute of Technology Mandi</t>
  </si>
  <si>
    <t>Oct 10, 2023, 7:56 PM</t>
  </si>
  <si>
    <t>Purbanchal University</t>
  </si>
  <si>
    <t>Oct 10, 2023, 7:36 PM</t>
  </si>
  <si>
    <t>Tohoku University</t>
  </si>
  <si>
    <t>Engineering; Geohazard; Tsunami</t>
  </si>
  <si>
    <t>Oct 24, 2023, 8:25 AM</t>
  </si>
  <si>
    <t>PhD Research Scholar</t>
  </si>
  <si>
    <t>Oct 27, 2023, 1:22 PM</t>
  </si>
  <si>
    <t>Atmospheric Physics; Computer Science; Environmental Protection; Engineering; Geohazard; Marine Sciences; Seismology; Solid Earth; Tsunami; Volcanology</t>
  </si>
  <si>
    <t>Sep 28, 2023, 2:13 PM</t>
  </si>
  <si>
    <t>Tohoku University and UCL</t>
  </si>
  <si>
    <t>Oct 19, 2023, 7:51 AM</t>
  </si>
  <si>
    <t>Mr</t>
  </si>
  <si>
    <t>Atmospheric Physics; Engineering</t>
  </si>
  <si>
    <t>Oct 13, 2023, 10:41 AM</t>
  </si>
  <si>
    <t>Oct 19, 2023, 6:15 PM</t>
  </si>
  <si>
    <t>Landslide modelling</t>
  </si>
  <si>
    <t>Oct 23, 2023, 6:47 PM</t>
  </si>
  <si>
    <t>Xavier University - Ateneo de Cagayan</t>
  </si>
  <si>
    <t>disaster risk and resilience</t>
  </si>
  <si>
    <t>Oct 18, 2023, 5:45 AM</t>
  </si>
  <si>
    <t>Oct 12, 2023, 6:11 AM</t>
  </si>
  <si>
    <t>Geohazard; Solid Earth; Tsunami</t>
  </si>
  <si>
    <t>Oct 23, 2023, 2:22 PM</t>
  </si>
  <si>
    <t>Oct 2, 2023, 1:07 AM</t>
  </si>
  <si>
    <t>Natural Hazards; Risk Analysis; Climate Change Impact Modelling; Human Migration and Displacement</t>
  </si>
  <si>
    <t>Oct 11, 2023, 5:12 PM</t>
  </si>
  <si>
    <t>GEM Foundation</t>
  </si>
  <si>
    <t>Nov 3, 2023, 9:37 AM</t>
  </si>
  <si>
    <t>Large scale assessment; Seismic vulnerability</t>
  </si>
  <si>
    <t>Oct 11, 2023, 10:39 AM</t>
  </si>
  <si>
    <t>RA at SUT</t>
  </si>
  <si>
    <t>Computer Science; Engineering; Seismology; Other</t>
  </si>
  <si>
    <t>Structural Reliability, Steel Structures</t>
  </si>
  <si>
    <t>Oct 10, 2023, 9:28 PM</t>
  </si>
  <si>
    <t>Nov 6, 2023, 9:34 AM</t>
  </si>
  <si>
    <t>MSc student</t>
  </si>
  <si>
    <t>Oct 11, 2023, 12:16 AM</t>
  </si>
  <si>
    <t>Earth Observatory of Singapore</t>
  </si>
  <si>
    <t>Geohazard; Volcanology</t>
  </si>
  <si>
    <t>Oct 12, 2023, 2:11 PM</t>
  </si>
  <si>
    <t>IIEES</t>
  </si>
  <si>
    <t>Nov 2, 2023, 10:07 PM</t>
  </si>
  <si>
    <t>Florida International University</t>
  </si>
  <si>
    <t>Hurricane Winds</t>
  </si>
  <si>
    <t>Oct 14, 2023, 2:02 AM</t>
  </si>
  <si>
    <t>No specific affiliation</t>
  </si>
  <si>
    <t>Probabilistic Seismic Hazard Analysis</t>
  </si>
  <si>
    <t>Oct 20, 2023, 4:23 PM</t>
  </si>
  <si>
    <t>Gem</t>
  </si>
  <si>
    <t>Nov 4, 2023, 3:02 PM</t>
  </si>
  <si>
    <t>Oct 2, 2023, 1:49 PM</t>
  </si>
  <si>
    <t>Oct 16, 2023, 12:29 PM</t>
  </si>
  <si>
    <t>Oct 11, 2023, 7:14 AM</t>
  </si>
  <si>
    <t>Uganda National Roads Authority and Avoidable Deaths network</t>
  </si>
  <si>
    <t>Oct 12, 2023, 3:17 PM</t>
  </si>
  <si>
    <t>Nov 3, 2023, 11:43 AM</t>
  </si>
  <si>
    <t>Institute of Marine Sciences-University of Barcelona</t>
  </si>
  <si>
    <t>Oct 2, 2023, 9:00 AM</t>
  </si>
  <si>
    <t>GFZ German Research Centre for Geosciences</t>
  </si>
  <si>
    <t>Oct 5, 2023, 9:33 AM</t>
  </si>
  <si>
    <t>Federico II</t>
  </si>
  <si>
    <t>Oct 21, 2023, 11:15 AM</t>
  </si>
  <si>
    <t>The Geological Survey of Israel</t>
  </si>
  <si>
    <t>Nov 5, 2023, 6:10 PM</t>
  </si>
  <si>
    <t>Foreranger</t>
  </si>
  <si>
    <t>Sustainability Finance</t>
  </si>
  <si>
    <t>Oct 29, 2023, 5:54 PM</t>
  </si>
  <si>
    <t>PhD in Babol Noshirvani University of Technology</t>
  </si>
  <si>
    <t>Oct 1, 2023, 9:25 PM</t>
  </si>
  <si>
    <t>Geohazard; Other</t>
  </si>
  <si>
    <t>Geo-information</t>
  </si>
  <si>
    <t>Oct 4, 2023, 10:10 AM</t>
  </si>
  <si>
    <t>Kingsdale Foundation School</t>
  </si>
  <si>
    <t>Mathematics</t>
  </si>
  <si>
    <t>Oct 31, 2023, 12:31 AM</t>
  </si>
  <si>
    <t>Xavier University Ateneo de Cagayan</t>
  </si>
  <si>
    <t>Oct 20, 2023, 3:56 PM</t>
  </si>
  <si>
    <t>Cranfield University</t>
  </si>
  <si>
    <t>Oct 12, 2023, 11:28 AM</t>
  </si>
  <si>
    <t>Bogazici University</t>
  </si>
  <si>
    <t>Oct 17, 2023, 9:04 AM</t>
  </si>
  <si>
    <t>Middle East Technical University</t>
  </si>
  <si>
    <t>Energy Transformation/Storage; Engineering; Tsunami</t>
  </si>
  <si>
    <t>Oct 22, 2023, 1:29 PM</t>
  </si>
  <si>
    <t>student</t>
  </si>
  <si>
    <t>Computer Science; Environmental Protection; Marine Sciences; Tsunami</t>
  </si>
  <si>
    <t>Oct 20, 2023, 1:02 PM</t>
  </si>
  <si>
    <t>Catastrophe risk</t>
  </si>
  <si>
    <t>Oct 16, 2023, 9:55 AM</t>
  </si>
  <si>
    <t>University of Birmingham</t>
  </si>
  <si>
    <t>Environmental health and risk management</t>
  </si>
  <si>
    <t>Oct 11, 2023, 5:59 PM</t>
  </si>
  <si>
    <t>National Institute of Geophysics, Geodesy and Geography - Bulgarian Academy of Sciences</t>
  </si>
  <si>
    <t>Engineering; Geohazard; Marine Sciences; Solid Earth; Tsunami; Other</t>
  </si>
  <si>
    <t>Oct 20, 2023, 2:01 PM</t>
  </si>
  <si>
    <t>Colombian Geological Survey</t>
  </si>
  <si>
    <t>Nov 4, 2023, 3:10 PM</t>
  </si>
  <si>
    <t>IIUNAM</t>
  </si>
  <si>
    <t>Oct 17, 2023, 12:19 AM</t>
  </si>
  <si>
    <t>-</t>
  </si>
  <si>
    <t>Oct 26, 2023, 1:02 AM</t>
  </si>
  <si>
    <t>ECN</t>
  </si>
  <si>
    <t>Oct 22, 2023, 5:39 PM</t>
  </si>
  <si>
    <t>CDM Smith</t>
  </si>
  <si>
    <t>Oct 13, 2023, 2:19 PM</t>
  </si>
  <si>
    <t>Nov 6, 2023, 2:48 PM</t>
  </si>
  <si>
    <t>Department of Civil Engineering, Graduate School of Engineering, Tohoku University</t>
  </si>
  <si>
    <t>Oct 16, 2023, 3:17 AM</t>
  </si>
  <si>
    <t>Budapest University of Technology and Economics</t>
  </si>
  <si>
    <t>Environmental Protection; Engineering; Seismology</t>
  </si>
  <si>
    <t>Oct 10, 2023, 1:24 PM</t>
  </si>
  <si>
    <t>IUSS Pavia</t>
  </si>
  <si>
    <t>Engineering; Geohazard; Tsunami; Other</t>
  </si>
  <si>
    <t>Flood catastrophe modelling</t>
  </si>
  <si>
    <t>Oct 18, 2023, 8:03 PM</t>
  </si>
  <si>
    <t>School of Civil Engineering, College of Engineering, University of Tehran,Tehran, Iran</t>
  </si>
  <si>
    <t>Nov 6, 2023, 6:50 PM</t>
  </si>
  <si>
    <t>Babol Noshirvani university of technology</t>
  </si>
  <si>
    <t>Oct 11, 2023, 8:44 PM</t>
  </si>
  <si>
    <t>Babol Noshirvani University of Technology</t>
  </si>
  <si>
    <t>Oct 11, 2023, 1:17 AM</t>
  </si>
  <si>
    <t>National University of Sciences and Technology</t>
  </si>
  <si>
    <t>Disaster Risk Reduction and Climate Change</t>
  </si>
  <si>
    <t>Oct 23, 2023, 9:17 AM</t>
  </si>
  <si>
    <t>AUTH</t>
  </si>
  <si>
    <t>Oct 11, 2023, 3:47 PM</t>
  </si>
  <si>
    <t>Oct 25, 2023, 11:24 AM</t>
  </si>
  <si>
    <t>European Centre for Training and Research in Earthquake Engineering (EUCENTRE)</t>
  </si>
  <si>
    <t>Oct 10, 2023, 7:35 PM</t>
  </si>
  <si>
    <t>Research Scholar</t>
  </si>
  <si>
    <t>Nov 7, 2023, 9:16 AM</t>
  </si>
  <si>
    <t>Oct 23, 2023, 8:36 PM</t>
  </si>
  <si>
    <t>Oct 27, 2023, 7:05 PM</t>
  </si>
  <si>
    <t>Sep 28, 2023, 2:01 PM</t>
  </si>
  <si>
    <t>Oct 28, 2023, 8:57 AM</t>
  </si>
  <si>
    <t>Nov 1, 2023, 1:00 PM</t>
  </si>
  <si>
    <t>Senior Lecturer in Civil Engineering</t>
  </si>
  <si>
    <t>Oct 11, 2023, 11:53 AM</t>
  </si>
  <si>
    <t>Graduated in : engineering in natural disasters</t>
  </si>
  <si>
    <t>Computer Science; Environmental Protection; Engineering; Geohazard; Tsunami</t>
  </si>
  <si>
    <t>Oct 13, 2023, 9:25 PM</t>
  </si>
  <si>
    <t>university of mohaghegh Ardabili</t>
  </si>
  <si>
    <t>Oct 14, 2023, 2:22 PM</t>
  </si>
  <si>
    <t>Ss. Cyril and Methodius University in Skopje, Institute of Earthquake Engineering and Engineering Seismology (IZIIS)</t>
  </si>
  <si>
    <t>Oct 13, 2023, 5:47 PM</t>
  </si>
  <si>
    <t>Nov 3, 2023, 11:16 AM</t>
  </si>
  <si>
    <t>Catastrophe Risk Researcher</t>
  </si>
  <si>
    <t>Nov 6, 2023, 4:15 AM</t>
  </si>
  <si>
    <t>Working Professional</t>
  </si>
  <si>
    <t>Nov 1, 2023, 12:55 PM</t>
  </si>
  <si>
    <t>Bechtel corporation</t>
  </si>
  <si>
    <t>Oct 10, 2023, 10:20 PM</t>
  </si>
  <si>
    <t>Ph.D. Candidate, Department of civil Engineering, Faculty of Technical and Engineering, University of Qom</t>
  </si>
  <si>
    <t>Oct 11, 2023, 11:37 PM</t>
  </si>
  <si>
    <t>_</t>
  </si>
  <si>
    <t>Oct 10, 2023, 11:23 PM</t>
  </si>
  <si>
    <t>University of Zaragoza</t>
  </si>
  <si>
    <t>Oct 11, 2023, 12:53 PM</t>
  </si>
  <si>
    <t>METU</t>
  </si>
  <si>
    <t>Oct 31, 2023, 8:12 PM</t>
  </si>
  <si>
    <t>GCU/ UCL</t>
  </si>
  <si>
    <t>Climate change</t>
  </si>
  <si>
    <t>Oct 9, 2023, 4:44 PM</t>
  </si>
  <si>
    <t>Probabilistic Seismic Assessment</t>
  </si>
  <si>
    <t>Oct 23, 2023, 12:34 PM</t>
  </si>
  <si>
    <t>PhD Student, Civil Engineering Department, Ozyegin University</t>
  </si>
  <si>
    <t>Oct 16, 2023, 5:11 PM</t>
  </si>
  <si>
    <t>NA</t>
  </si>
  <si>
    <t>DRR</t>
  </si>
  <si>
    <t>Oct 9, 2023, 10:35 PM</t>
  </si>
  <si>
    <t>Tokyo Institute of Technology</t>
  </si>
  <si>
    <t>Environmental Protection; Engineering; Geohazard; Tsunami</t>
  </si>
  <si>
    <t>Oct 13, 2023, 3:04 AM</t>
  </si>
  <si>
    <t>Ministry of Village, Disadvantaged Region, and Transmigration - Government of Republic of Indonesia</t>
  </si>
  <si>
    <t>Oceanography</t>
  </si>
  <si>
    <t>Oct 17, 2023, 3:53 PM</t>
  </si>
  <si>
    <t>Earthquake Engineering , Seismice Hazard Analysis, Nonlinear Analysis</t>
  </si>
  <si>
    <t>Oct 10, 2023, 6:53 PM</t>
  </si>
  <si>
    <t>Isterre</t>
  </si>
  <si>
    <t>Oct 10, 2023, 7:38 PM</t>
  </si>
  <si>
    <t>International Institute of Earthquake Engineering and Seismology (IIEES)</t>
  </si>
  <si>
    <t>Nov 5, 2023, 1:05 PM</t>
  </si>
  <si>
    <t>Computer Science; Seismology; Solid Earth; Tsunami; Other</t>
  </si>
  <si>
    <t>Sep 25, 2023, 5:11 PM</t>
  </si>
  <si>
    <t>Dr.</t>
  </si>
  <si>
    <t>Oct 14, 2023, 11:39 AM</t>
  </si>
  <si>
    <t>Oct 16, 2023, 10:49 AM</t>
  </si>
  <si>
    <t>Oct 16, 2023, 10:50 AM</t>
  </si>
  <si>
    <t>PhD student of Civil Engineering</t>
  </si>
  <si>
    <t>Nov 3, 2023, 2:04 PM</t>
  </si>
  <si>
    <t>University College London (UCL)</t>
  </si>
  <si>
    <t>Humanitarianism</t>
  </si>
  <si>
    <t>KAUST</t>
  </si>
  <si>
    <t>Oct 11, 2023, 5:34 PM</t>
  </si>
  <si>
    <t>Oct 25, 2023, 11:08 AM</t>
  </si>
  <si>
    <t>Sep 28, 2023, 2:21 PM</t>
  </si>
  <si>
    <t>Dr. Engineering Geologist NTUA, Greece</t>
  </si>
  <si>
    <t>Landslides, Rsk Assessment</t>
  </si>
  <si>
    <t>Oct 4, 2023, 12:14 PM</t>
  </si>
  <si>
    <t>Oct 30, 2023, 4:01 PM</t>
  </si>
  <si>
    <t>Obayashi corporation</t>
  </si>
  <si>
    <t>Oct 17, 2023, 3:05 AM</t>
  </si>
  <si>
    <t>BRGM, F-45060 Orléans, France</t>
  </si>
  <si>
    <t>Oct 4, 2023, 10:07 AM</t>
  </si>
  <si>
    <t>National and Kapodistrian Univeristy of Athens</t>
  </si>
  <si>
    <t>Earthquake and Tsunami Scientist</t>
  </si>
  <si>
    <t>Oct 23, 2023, 4:37 AM</t>
  </si>
  <si>
    <t>N/A</t>
  </si>
  <si>
    <t>Oct 13, 2023, 7:28 PM</t>
  </si>
  <si>
    <t>Zurich Insurance</t>
  </si>
  <si>
    <t>Nov 2, 2023, 3:49 PM</t>
  </si>
  <si>
    <t>Oct 14, 2023, 7:15 PM</t>
  </si>
  <si>
    <t>Instittuto Português do Mar e da Atmosfera</t>
  </si>
  <si>
    <t>Oct 20, 2023, 3:37 PM</t>
  </si>
  <si>
    <t>Sep 28, 2023, 4:43 PM</t>
  </si>
  <si>
    <t>Unipungue (Pungue University)</t>
  </si>
  <si>
    <t>Oct 11, 2023, 6:23 PM</t>
  </si>
  <si>
    <t>INDIAN INSTITUTE OF TECHNOLOGY ROORKEE</t>
  </si>
  <si>
    <t>Oct 12, 2023, 9:06 AM</t>
  </si>
  <si>
    <t>University of Pisa</t>
  </si>
  <si>
    <t>Oct 14, 2023, 2:23 PM</t>
  </si>
  <si>
    <t>Risk and Disaster Reduction</t>
  </si>
  <si>
    <t>Nov 5, 2023, 9:00 PM</t>
  </si>
  <si>
    <t>gfz</t>
  </si>
  <si>
    <t>Science Management</t>
  </si>
  <si>
    <t>Sep 22, 2023, 2:57 PM</t>
  </si>
  <si>
    <t>Oct 16, 2023, 5:04 PM</t>
  </si>
  <si>
    <t>Oct 6, 2023, 6:22 PM</t>
  </si>
  <si>
    <t>Frederick research center</t>
  </si>
  <si>
    <t>Oct 14, 2023, 1:47 PM</t>
  </si>
  <si>
    <t>Oct 13, 2023, 12:25 AM</t>
  </si>
  <si>
    <t>Nov 6, 2023, 8:42 AM</t>
  </si>
  <si>
    <t>risk and disaster science</t>
  </si>
  <si>
    <t>Oct 5, 2023, 2:10 PM</t>
  </si>
  <si>
    <t>landslide early warning</t>
  </si>
  <si>
    <t>Oct 23, 2023, 7:37 PM</t>
  </si>
  <si>
    <t>Shahid Rajaee University</t>
  </si>
  <si>
    <t>Oct 27, 2023, 3:14 PM</t>
  </si>
  <si>
    <t>Intetnational Islamic University Malaysia</t>
  </si>
  <si>
    <t>Nov 7, 2023, 3:45 AM</t>
  </si>
  <si>
    <t>Seismology; Other</t>
  </si>
  <si>
    <t>Geology and Seismic hazard assessment</t>
  </si>
  <si>
    <t>University of Trieste</t>
  </si>
  <si>
    <t>Apr 5, 2024, 12:39 AM</t>
  </si>
  <si>
    <t>LMU</t>
  </si>
  <si>
    <t>Apr 16, 2024, 3:08 PM</t>
  </si>
  <si>
    <t>Shoa</t>
  </si>
  <si>
    <t>Apr 12, 2024, 12:27 AM</t>
  </si>
  <si>
    <t>Post-Doc</t>
  </si>
  <si>
    <t>Apr 5, 2024, 2:33 PM</t>
  </si>
  <si>
    <t>Université Côte d'Azur, Universidad de Alcalá</t>
  </si>
  <si>
    <t>Energy Transformation/Storage; Engineering; Marine Sciences</t>
  </si>
  <si>
    <t>ocean-bottom instrumentation</t>
  </si>
  <si>
    <t>Apr 20, 2024, 2:55 PM</t>
  </si>
  <si>
    <t>Engineer</t>
  </si>
  <si>
    <t>Apr 4, 2024, 11:40 PM</t>
  </si>
  <si>
    <t>Apr 5, 2024, 6:29 AM</t>
  </si>
  <si>
    <t>Apr 5, 2024, 2:34 PM</t>
  </si>
  <si>
    <t>n/a</t>
  </si>
  <si>
    <r>
      <rPr>
        <rFont val="Calibri"/>
        <color rgb="FF000000"/>
        <sz val="11.0"/>
      </rPr>
      <t xml:space="preserve">Geohazard; Seismology; </t>
    </r>
    <r>
      <rPr>
        <rFont val="Calibri"/>
        <b/>
        <color rgb="FF000000"/>
        <sz val="11.0"/>
      </rPr>
      <t>Solid Earth</t>
    </r>
  </si>
  <si>
    <t>Mar 21, 2024, 11:12 AM</t>
  </si>
  <si>
    <t>Mar 20, 2024, 9:21 AM</t>
  </si>
  <si>
    <t>None</t>
  </si>
  <si>
    <t>Apr 8, 2024, 5:50 PM</t>
  </si>
  <si>
    <t>Istituto Nazionale di Oceanografia e Geofisica Sperimentale (OGS)</t>
  </si>
  <si>
    <t>Earthquake and Tsunami Hazard Assessment</t>
  </si>
  <si>
    <t>Apr 6, 2024, 8:55 PM</t>
  </si>
  <si>
    <t>Geological survey of israel</t>
  </si>
  <si>
    <t>Mar 31, 2024, 12:38 PM</t>
  </si>
  <si>
    <t>Instituto Geográfico Nacional</t>
  </si>
  <si>
    <t>Apr 5, 2024, 2:52 PM</t>
  </si>
  <si>
    <t>IH Cantabria</t>
  </si>
  <si>
    <t>Marine Sciences; Tsunami</t>
  </si>
  <si>
    <t>Apr 22, 2024, 3:23 PM</t>
  </si>
  <si>
    <t>IHCantabria</t>
  </si>
  <si>
    <t>Beach morphodynamics</t>
  </si>
  <si>
    <t>Apr 24, 2024, 10:50 AM</t>
  </si>
  <si>
    <t>Apr 5, 2024, 3:40 PM</t>
  </si>
  <si>
    <t>Universidad Andres Bello</t>
  </si>
  <si>
    <t>Computer Science; Geohazard; Marine Sciences; Seismology; Solid Earth; Tsunami; Volcanology</t>
  </si>
  <si>
    <t>Apr 6, 2024, 12:44 AM</t>
  </si>
  <si>
    <t>ESPOL</t>
  </si>
  <si>
    <t>Computer Science; Engineering; Geohazard; Marine Sciences; Tsunami; Volcanology</t>
  </si>
  <si>
    <t>ocean engineering</t>
  </si>
  <si>
    <t>Apr 5, 2024, 9:33 PM</t>
  </si>
  <si>
    <t>UMA</t>
  </si>
  <si>
    <t>Apr 23, 2024, 4:00 PM</t>
  </si>
  <si>
    <t>Cigiden</t>
  </si>
  <si>
    <t>Apr 8, 2024, 9:25 PM</t>
  </si>
  <si>
    <t>Pontificia Universidad Católica de Valparaíso</t>
  </si>
  <si>
    <t>Apr 15, 2024, 5:43 PM</t>
  </si>
  <si>
    <t>Escuela Superior Politécnica del Litoral</t>
  </si>
  <si>
    <t>Environmental Protection; Engineering; Marine Sciences; Tsunami</t>
  </si>
  <si>
    <t>Apr 5, 2024, 7:54 PM</t>
  </si>
  <si>
    <t>Meteorology, Climatology and Geophysics Agency of Indonesia</t>
  </si>
  <si>
    <t>Computer Science; Geohazard; Seismology; Tsunami</t>
  </si>
  <si>
    <t>Apr 22, 2024, 3:10 AM</t>
  </si>
  <si>
    <t>NED University of Engineering and Technology</t>
  </si>
  <si>
    <t>Engineering; Tsunami</t>
  </si>
  <si>
    <t>Mathematics and coastal engineering</t>
  </si>
  <si>
    <t>Apr 22, 2024, 6:46 AM</t>
  </si>
  <si>
    <t>Apr 8, 2024, 10:18 PM</t>
  </si>
  <si>
    <t>Grupo de Emergencias de Andalucia (GREA) - Junta de Andalucia</t>
  </si>
  <si>
    <t>Apr 10, 2024, 1:17 PM</t>
  </si>
  <si>
    <t>UNIVERSITY OF NAPLES FEDERICO II</t>
  </si>
  <si>
    <t>Edanya Group</t>
  </si>
  <si>
    <t>Apr 23, 2024, 11:06 AM</t>
  </si>
  <si>
    <t>Apr 6, 2024, 9:03 AM</t>
  </si>
  <si>
    <t>Instituto de Ciencias del Mar - CSIC</t>
  </si>
  <si>
    <t>Geohazard; Marine Sciences; Solid Earth; Tsunami</t>
  </si>
  <si>
    <t>Active tectonics and associated geogazards</t>
  </si>
  <si>
    <t>Apr 5, 2024, 3:06 PM</t>
  </si>
  <si>
    <t>Universidad Continental</t>
  </si>
  <si>
    <t>Computer Science; Tsunami</t>
  </si>
  <si>
    <t>Apr 5, 2024, 12:41 AM</t>
  </si>
  <si>
    <t>TERC University of Hormozgan</t>
  </si>
  <si>
    <t>Apr 6, 2024, 8:04 PM</t>
  </si>
  <si>
    <t>International institute of earthquake engineering and seismology</t>
  </si>
  <si>
    <t>Apr 2, 2024, 10:41 PM</t>
  </si>
  <si>
    <t>Dinámica Costera</t>
  </si>
  <si>
    <t>Apr 4, 2024, 11:46 PM</t>
  </si>
  <si>
    <t>Mar 31, 2024, 12:33 PM</t>
  </si>
  <si>
    <t>BMKG</t>
  </si>
  <si>
    <r>
      <rPr>
        <rFont val="Calibri"/>
        <color rgb="FF000000"/>
        <sz val="11.0"/>
      </rPr>
      <t xml:space="preserve">Geohazard; Seismology; Solid Earth; Tsunami; </t>
    </r>
    <r>
      <rPr>
        <rFont val="Calibri"/>
        <b/>
        <color rgb="FF000000"/>
        <sz val="11.0"/>
      </rPr>
      <t>Volcanology</t>
    </r>
  </si>
  <si>
    <t>Geology</t>
  </si>
  <si>
    <t>Apr 22, 2024, 4:35 AM</t>
  </si>
  <si>
    <t>SHOA</t>
  </si>
  <si>
    <t>Apr 5, 2024, 1:30 PM</t>
  </si>
  <si>
    <t>GeoSphere Austria</t>
  </si>
  <si>
    <r>
      <rPr>
        <rFont val="Calibri"/>
        <b/>
        <color rgb="FF000000"/>
        <sz val="11.0"/>
      </rPr>
      <t>Atmospheric Physics</t>
    </r>
    <r>
      <rPr>
        <rFont val="Calibri"/>
        <color rgb="FF000000"/>
        <sz val="11.0"/>
      </rPr>
      <t>; Geohazard; Seismology</t>
    </r>
  </si>
  <si>
    <t>Mar 20, 2024, 2:40 PM</t>
  </si>
  <si>
    <t>Marine Sciences; Seismology</t>
  </si>
  <si>
    <t>Mar 21, 2024, 1:42 PM</t>
  </si>
  <si>
    <t>Geophysicist</t>
  </si>
  <si>
    <t>Apr 8, 2024, 10:42 AM</t>
  </si>
  <si>
    <t>NIEP ROMANIA</t>
  </si>
  <si>
    <t>Apr 8, 2024, 11:51 AM</t>
  </si>
  <si>
    <t>ICM, CSIC</t>
  </si>
  <si>
    <t>Geohazard; Marine Sciences; Solid Earth</t>
  </si>
  <si>
    <t>Seismic tomography, dynamics rupture modelling</t>
  </si>
  <si>
    <t>Apr 5, 2024, 10:16 AM</t>
  </si>
  <si>
    <t>Apr 8, 2024, 9:28 PM</t>
  </si>
  <si>
    <t>Chilean association of port and coastal engineering</t>
  </si>
  <si>
    <t>Apr 7, 2024, 5:36 PM</t>
  </si>
  <si>
    <t>Universidad Catolica de la Santisima Concepcion</t>
  </si>
  <si>
    <t>Apr 6, 2024, 4:55 PM</t>
  </si>
  <si>
    <t>Geohazard; Tsunami; Other</t>
  </si>
  <si>
    <t>Floods</t>
  </si>
  <si>
    <t>Apr 6, 2024, 9:47 AM</t>
  </si>
  <si>
    <t>Maths</t>
  </si>
  <si>
    <t>Apr 9, 2024, 9:23 PM</t>
  </si>
  <si>
    <t>Institute of Geophysics, University of Tehran</t>
  </si>
  <si>
    <t>Engineering; Geohazard; Marine Sciences; Seismology; Tsunami; Volcanology</t>
  </si>
  <si>
    <t>Apr 6, 2024, 11:11 AM</t>
  </si>
  <si>
    <t>Lehigh University</t>
  </si>
  <si>
    <t>Apr 5, 2024, 2:53 PM</t>
  </si>
  <si>
    <t>University of Malaga</t>
  </si>
  <si>
    <t>Apr 24, 2024, 9:32 AM</t>
  </si>
  <si>
    <t>IGN</t>
  </si>
  <si>
    <t>Apr 8, 2024, 12:19 PM</t>
  </si>
  <si>
    <t>Escuela Superior Politecnica Politecnica del Litoral</t>
  </si>
  <si>
    <t>Apr 5, 2024, 9:29 PM</t>
  </si>
  <si>
    <t>Apr 23, 2024, 7:52 AM</t>
  </si>
  <si>
    <t>Universidad de Zaragoza</t>
  </si>
  <si>
    <t>Apr 6, 2024, 6:29 PM</t>
  </si>
  <si>
    <t>UNINA</t>
  </si>
  <si>
    <t>Apr 2, 2024, 10:30 PM</t>
  </si>
  <si>
    <t>KOERI</t>
  </si>
  <si>
    <t>Apr 5, 2024, 10:21 AM</t>
  </si>
  <si>
    <t>Apr 5, 2024, 11:50 PM</t>
  </si>
  <si>
    <t>Apr 2, 2024, 3:59 PM</t>
  </si>
  <si>
    <t>Apr 12, 2024, 2:10 AM</t>
  </si>
  <si>
    <t>Apr 10, 2024, 1:35 PM</t>
  </si>
  <si>
    <t>Institut de Ciències del Mar (ICM-CSIC)</t>
  </si>
  <si>
    <t>Apr 8, 2024, 10:38 AM</t>
  </si>
  <si>
    <t>Apr 5, 2024, 4:17 PM</t>
  </si>
  <si>
    <t>Apr 23, 2024, 12:42 PM</t>
  </si>
  <si>
    <t>Institute for risk and disaster reduction, University College London</t>
  </si>
  <si>
    <t>Apr 5, 2024, 3:43 PM</t>
  </si>
  <si>
    <t>Engineering; Geohazard; Seismology; Solid Earth; Tsunami</t>
  </si>
  <si>
    <t>Geodesy, GIS, Urban Planning</t>
  </si>
  <si>
    <t>Mar 25, 2024, 6:22 AM</t>
  </si>
  <si>
    <t>Mar 11, 2024, 12:27 PM</t>
  </si>
  <si>
    <t>Apr 16, 2024, 3:28 PM</t>
  </si>
  <si>
    <t>CEB-University of Minho</t>
  </si>
  <si>
    <t>Health</t>
  </si>
  <si>
    <t>Mar 1, 2024, 6:10 PM</t>
  </si>
  <si>
    <t>Royal Observatory of Belgium</t>
  </si>
  <si>
    <t>Computer Science; Solid Earth; Other</t>
  </si>
  <si>
    <t>Apr 5, 2024, 4:29 PM</t>
  </si>
  <si>
    <t>INL</t>
  </si>
  <si>
    <t>Support to Project Management</t>
  </si>
  <si>
    <t>Mar 18, 2024, 2:44 PM</t>
  </si>
  <si>
    <t>Apr 5, 2024, 2:23 PM</t>
  </si>
  <si>
    <t>INFN-LNS</t>
  </si>
  <si>
    <t>Feb 19, 2024, 9:31 AM</t>
  </si>
  <si>
    <t>Apr 26, 2024, 10:55 AM</t>
  </si>
  <si>
    <t>Apr 10, 2024, 11:50 AM</t>
  </si>
  <si>
    <t>University of Minho</t>
  </si>
  <si>
    <t>Psychology</t>
  </si>
  <si>
    <t>Apr 26, 2024, 8:59 PM</t>
  </si>
  <si>
    <t>Instituto Superior Técnico</t>
  </si>
  <si>
    <t>Apr 29, 2024, 4:27 PM</t>
  </si>
  <si>
    <t>ISR/IST</t>
  </si>
  <si>
    <t>Apr 1, 2024, 1:11 PM</t>
  </si>
  <si>
    <t>UBI</t>
  </si>
  <si>
    <t>Apr 30, 2024, 10:30 AM</t>
  </si>
  <si>
    <t>Plataforma Oceánica de Canarias</t>
  </si>
  <si>
    <t>Apr 5, 2024, 9:35 AM</t>
  </si>
  <si>
    <t>University of Minho, Portugal</t>
  </si>
  <si>
    <t>Feb 19, 2024, 10:43 AM</t>
  </si>
  <si>
    <t>Mar 9, 2024, 8:43 PM</t>
  </si>
  <si>
    <t>High Performance Computing</t>
  </si>
  <si>
    <t>Apr 18, 2024, 10:28 AM</t>
  </si>
  <si>
    <t>CNRS - IPGP</t>
  </si>
  <si>
    <t>Marine Sciences; Seismology; Solid Earth</t>
  </si>
  <si>
    <t>Mar 4, 2024, 4:58 PM</t>
  </si>
  <si>
    <t>Istituto Nazionale di Fisica Nucleare (INFN) - Laboratori Nazionali del Sud (LNS)</t>
  </si>
  <si>
    <t>Engineering; Marine Sciences; Other</t>
  </si>
  <si>
    <t>Acoustics</t>
  </si>
  <si>
    <t>Feb 20, 2024, 10:06 AM</t>
  </si>
  <si>
    <t>A4F</t>
  </si>
  <si>
    <t>Economics and Management</t>
  </si>
  <si>
    <t>Feb 14, 2024, 6:12 PM</t>
  </si>
  <si>
    <t>Feb 16, 2024, 11:12 AM</t>
  </si>
  <si>
    <t>Mar 1, 2024, 6:04 PM</t>
  </si>
  <si>
    <t>FCUP and LAQV/REQUIMTE</t>
  </si>
  <si>
    <t>Plant Reproduction</t>
  </si>
  <si>
    <t>Mar 18, 2024, 12:18 PM</t>
  </si>
  <si>
    <t>Universidade do Algarve</t>
  </si>
  <si>
    <t>Apr 12, 2024, 11:19 AM</t>
  </si>
  <si>
    <t>Engineering; Solid Earth; Other</t>
  </si>
  <si>
    <t>Geochemistry</t>
  </si>
  <si>
    <t>Apr 5, 2024, 3:04 PM</t>
  </si>
  <si>
    <t>Mar 19, 2024, 4:10 PM</t>
  </si>
  <si>
    <t>INL - International Iberian Nanotechnology Laboratory</t>
  </si>
  <si>
    <t>material science, chemical engineering</t>
  </si>
  <si>
    <t>Mar 18, 2024, 1:14 PM</t>
  </si>
  <si>
    <t>University of Rome La Sapienza/Politecnico di Torino</t>
  </si>
  <si>
    <t>Georesources and mineral exploration</t>
  </si>
  <si>
    <t>Apr 8, 2024, 9:41 AM</t>
  </si>
  <si>
    <t>Apr 10, 2024, 12:40 PM</t>
  </si>
  <si>
    <t>Molecular Bacteriology (MOBA), HZI</t>
  </si>
  <si>
    <t>Microbiology</t>
  </si>
  <si>
    <t>Apr 17, 2024, 10:41 PM</t>
  </si>
  <si>
    <t>Ifremer</t>
  </si>
  <si>
    <t>Geohazard; Marine Sciences; Seismology</t>
  </si>
  <si>
    <t>Feb 20, 2024, 1:20 PM</t>
  </si>
  <si>
    <t>Instituto Hidrográfico</t>
  </si>
  <si>
    <t>Physical Oceanography</t>
  </si>
  <si>
    <t>Mar 18, 2024, 9:57 AM</t>
  </si>
  <si>
    <t>GNSS</t>
  </si>
  <si>
    <t>Apr 5, 2024, 1:24 PM</t>
  </si>
  <si>
    <t>IH</t>
  </si>
  <si>
    <t>Engineering; Tsunami; Other</t>
  </si>
  <si>
    <t>oceanography</t>
  </si>
  <si>
    <t>Mar 19, 2024, 5:24 PM</t>
  </si>
  <si>
    <t>Neursocience</t>
  </si>
  <si>
    <t>Apr 13, 2024, 8:34 AM</t>
  </si>
  <si>
    <t>Universidade de Coimbra</t>
  </si>
  <si>
    <t>Pshycology</t>
  </si>
  <si>
    <t>Apr 15, 2024, 12:23 PM</t>
  </si>
  <si>
    <t>Mar 19, 2024, 2:10 PM</t>
  </si>
  <si>
    <t>Mar 2, 2024, 12:04 PM</t>
  </si>
  <si>
    <t>Atmospheric Physics; Computer Science; Engineering; Marine Sciences</t>
  </si>
  <si>
    <t>Mar 8, 2024, 12:34 PM</t>
  </si>
  <si>
    <t>LNEC</t>
  </si>
  <si>
    <t>Mar 24, 2024, 4:10 PM</t>
  </si>
  <si>
    <t>Solid Earth; Other</t>
  </si>
  <si>
    <t>Feb 16, 2024, 1:59 PM</t>
  </si>
  <si>
    <t>Feb 16, 2024, 12:23 PM</t>
  </si>
  <si>
    <t>University of Algarve</t>
  </si>
  <si>
    <t>Paleoceanography</t>
  </si>
  <si>
    <t>Apr 12, 2024, 2:46 PM</t>
  </si>
  <si>
    <t>Feb 16, 2024, 5:55 PM</t>
  </si>
  <si>
    <t>A4F - Algae 4 Future</t>
  </si>
  <si>
    <t>Environmental Protection; Engineering</t>
  </si>
  <si>
    <t>Water science</t>
  </si>
  <si>
    <t>Feb 14, 2024, 6:19 PM</t>
  </si>
  <si>
    <t>Apr 5, 2024, 1:37 PM</t>
  </si>
  <si>
    <t>Social Sciences</t>
  </si>
  <si>
    <t>Apr 29, 2024, 11:13 AM</t>
  </si>
  <si>
    <t>Institut of Marine Sciences</t>
  </si>
  <si>
    <t>Feb 19, 2024, 4:34 PM</t>
  </si>
  <si>
    <t>University of Coimbra</t>
  </si>
  <si>
    <t>Biological Sciences - Ecology</t>
  </si>
  <si>
    <t>Apr 12, 2024, 10:59 AM</t>
  </si>
  <si>
    <t>ICVS, University of Minho</t>
  </si>
  <si>
    <t>Health Sciences</t>
  </si>
  <si>
    <t>Mar 1, 2024, 7:12 PM</t>
  </si>
  <si>
    <t>Computer Science; Engineering; Other</t>
  </si>
  <si>
    <t>Decision Analysis (Business and Economics)</t>
  </si>
  <si>
    <t>Apr 12, 2024, 11:47 AM</t>
  </si>
  <si>
    <t>Atmospheric Physics; Geohazard; Seismology</t>
  </si>
  <si>
    <t>Mar 20, 2024, 2:36 PM</t>
  </si>
  <si>
    <t>Environmental Engineer and Ph.D. student</t>
  </si>
  <si>
    <t>Geohazard; Seismology; Volcanology</t>
  </si>
  <si>
    <t>GIS &amp; Remote Sensing Analyst regarding Geohazards</t>
  </si>
  <si>
    <t>Feb 19, 2024, 7:27 PM</t>
  </si>
  <si>
    <t>Faculty of Sciences, University of Porto</t>
  </si>
  <si>
    <t>Life sciences</t>
  </si>
  <si>
    <t>Mar 15, 2024, 7:31 PM</t>
  </si>
  <si>
    <t>Atmospheric Physics; Computer Science; Other</t>
  </si>
  <si>
    <t>Geodesy, GNSS, Water Vapour, Meteorology, Climate</t>
  </si>
  <si>
    <t>Apr 5, 2024, 2:03 PM</t>
  </si>
  <si>
    <t>Apr 10, 2024, 12:52 PM</t>
  </si>
  <si>
    <t>Instituto de Ciências Sociais da Universidade do Minho</t>
  </si>
  <si>
    <t>Sociology</t>
  </si>
  <si>
    <t>Mar 4, 2024, 6:17 PM</t>
  </si>
  <si>
    <t>Minho University</t>
  </si>
  <si>
    <t>Mar 11, 2024, 12:54 PM</t>
  </si>
  <si>
    <t>USDB-UMINHO</t>
  </si>
  <si>
    <t>Science Communication</t>
  </si>
  <si>
    <t>Apr 29, 2024, 10:42 AM</t>
  </si>
  <si>
    <t>Swiss Seismological Service - ETHZ</t>
  </si>
  <si>
    <t>Mar 4, 2024, 3:59 PM</t>
  </si>
  <si>
    <t>Research Manager</t>
  </si>
  <si>
    <t>Apr 12, 2024, 11:03 AM</t>
  </si>
  <si>
    <t>Minho</t>
  </si>
  <si>
    <t>Feb 23, 2024, 6:38 PM</t>
  </si>
  <si>
    <t>INFN - LNS</t>
  </si>
  <si>
    <t>Marine Sciences; Other</t>
  </si>
  <si>
    <t>Astroparticle physics</t>
  </si>
  <si>
    <t>Feb 20, 2024, 3:00 PM</t>
  </si>
  <si>
    <t>University of Aveiro</t>
  </si>
  <si>
    <t>Research manager</t>
  </si>
  <si>
    <t>Mar 19, 2024, 4:19 PM</t>
  </si>
  <si>
    <t>CCG/ZGDV</t>
  </si>
  <si>
    <t>Computer Science; Other</t>
  </si>
  <si>
    <t>Life Sciences</t>
  </si>
  <si>
    <t>Feb 19, 2024, 10:37 AM</t>
  </si>
  <si>
    <t>Mar 18, 2024, 12:03 PM</t>
  </si>
  <si>
    <t>Mar 18, 2024, 1:17 PM</t>
  </si>
  <si>
    <t>LAQV/REQUIMTE, FCUP</t>
  </si>
  <si>
    <t>Plant Biology</t>
  </si>
  <si>
    <t>Mar 17, 2024, 7:49 PM</t>
  </si>
  <si>
    <t>Indian Institute of Technology Delhi</t>
  </si>
  <si>
    <t>Socio-hydrology, Flood Risk Management</t>
  </si>
  <si>
    <t>Apr 8, 2024, 1:22 PM</t>
  </si>
  <si>
    <t>Indian Institute of Technology Delhi / GFZ Potsdam</t>
  </si>
  <si>
    <t>Apr 30, 2024, 9:54 AM</t>
  </si>
  <si>
    <t>Apr 5, 2024, 2:47 PM</t>
  </si>
  <si>
    <t>Biomedicine</t>
  </si>
  <si>
    <t>Mar 13, 2024, 11:18 AM</t>
  </si>
  <si>
    <t>CCG/ZGDV - ICT Innovation Institute</t>
  </si>
  <si>
    <t>Mechanical Engineering</t>
  </si>
  <si>
    <t>Mar 7, 2024, 12:38 PM</t>
  </si>
  <si>
    <t>Apr 10, 2024, 11:58 AM</t>
  </si>
  <si>
    <t>Computer Science; Geohazard; Seismology; Solid Earth; Tsunami</t>
  </si>
  <si>
    <t>Apr 25, 2024, 8:22 AM</t>
  </si>
  <si>
    <t>CIIMAR</t>
  </si>
  <si>
    <t>Mar 25, 2024, 6:03 PM</t>
  </si>
  <si>
    <t>Apr 2, 2024, 1:14 PM</t>
  </si>
  <si>
    <t>EMSC</t>
  </si>
  <si>
    <t>Apr 24, 2024, 3:43 PM</t>
  </si>
  <si>
    <t>Nursing School of Coimbra</t>
  </si>
  <si>
    <t>Apr 17, 2024, 8:18 PM</t>
  </si>
  <si>
    <t>Apr 15, 2024, 11:26 AM</t>
  </si>
  <si>
    <t>Apr 29, 2024, 12:45 PM</t>
  </si>
  <si>
    <t>Permafrost and Landslides and Changing Climate</t>
  </si>
  <si>
    <t>Feb 20, 2024, 1:15 PM</t>
  </si>
  <si>
    <t>Apr 5, 2024, 3:45 PM</t>
  </si>
  <si>
    <t>Engineering; Seismology; Solid Earth; Tsunami</t>
  </si>
  <si>
    <t>Geodesy, GIS</t>
  </si>
  <si>
    <t>Apr 29, 2024, 7:46 AM</t>
  </si>
  <si>
    <t>bsc</t>
  </si>
  <si>
    <t>Geohazard; Marine Sciences; Seismology; Tsunami</t>
  </si>
  <si>
    <t>Feb 19, 2024, 1:51 PM</t>
  </si>
  <si>
    <t>May 22, 2024, 12:42 PM</t>
  </si>
  <si>
    <t>AGH University of Science and Technology</t>
  </si>
  <si>
    <r>
      <rPr>
        <rFont val="Calibri"/>
        <color rgb="FF000000"/>
        <sz val="10.0"/>
      </rPr>
      <t xml:space="preserve">Computer Science; Geohazard; Seismology; </t>
    </r>
    <r>
      <rPr>
        <rFont val="Calibri"/>
        <b/>
        <color rgb="FF000000"/>
        <sz val="10.0"/>
      </rPr>
      <t>Volcanology</t>
    </r>
  </si>
  <si>
    <t>Mar 13, 2024, 8:58 PM</t>
  </si>
  <si>
    <t>Subbotin Institute of Geophysics of NASU</t>
  </si>
  <si>
    <t>Feb 23, 2024, 1:10 PM</t>
  </si>
  <si>
    <t>GRUPA HGS</t>
  </si>
  <si>
    <r>
      <rPr>
        <rFont val="Calibri"/>
        <color rgb="FF000000"/>
        <sz val="10.0"/>
      </rPr>
      <t>geology, geotechnics,</t>
    </r>
    <r>
      <rPr>
        <rFont val="Calibri"/>
        <b/>
        <color rgb="FF000000"/>
        <sz val="10.0"/>
      </rPr>
      <t xml:space="preserve"> hydrogeology</t>
    </r>
    <r>
      <rPr>
        <rFont val="Calibri"/>
        <color rgb="FF000000"/>
        <sz val="10.0"/>
      </rPr>
      <t>, construction</t>
    </r>
  </si>
  <si>
    <t>Mar 14, 2024, 4:13 PM</t>
  </si>
  <si>
    <t>UPWr</t>
  </si>
  <si>
    <t>Remote sensing</t>
  </si>
  <si>
    <t>Mar 20, 2024, 4:29 PM</t>
  </si>
  <si>
    <t>Computer Science; Seismology; Volcanology</t>
  </si>
  <si>
    <t>Mar 13, 2024, 8:54 PM</t>
  </si>
  <si>
    <t>Uniwersytet Przyrodniczy we Wrocławiu</t>
  </si>
  <si>
    <t>Mar 20, 2024, 4:06 PM</t>
  </si>
  <si>
    <t>Mar 17, 2024, 9:48 AM</t>
  </si>
  <si>
    <t>Wrocław University of Environmental and Life Sciences</t>
  </si>
  <si>
    <r>
      <rPr>
        <rFont val="Calibri"/>
        <color rgb="FF000000"/>
        <sz val="10.0"/>
      </rPr>
      <t xml:space="preserve">Computer Science; Engineering; Geohazard; Seismology; </t>
    </r>
    <r>
      <rPr>
        <rFont val="Calibri"/>
        <b/>
        <color rgb="FF000000"/>
        <sz val="10.0"/>
      </rPr>
      <t>Solid Earth</t>
    </r>
  </si>
  <si>
    <t>Mar 20, 2024, 4:18 PM</t>
  </si>
  <si>
    <t>AGH</t>
  </si>
  <si>
    <t>Mar 15, 2024, 1:25 PM</t>
  </si>
  <si>
    <t>Institute of Geophysics, Polish Academy of Sciences</t>
  </si>
  <si>
    <t>Marine Sciences; Solid Earth</t>
  </si>
  <si>
    <t>Mar 26, 2024, 2:23 PM</t>
  </si>
  <si>
    <t>Institute of Geophysics, Polish Academy of Siences</t>
  </si>
  <si>
    <t>Geophysical Imaging</t>
  </si>
  <si>
    <t>Mar 25, 2024, 1:30 PM</t>
  </si>
  <si>
    <t>Institute of geophysics polish academy of sciences</t>
  </si>
  <si>
    <t>Mar 26, 2024, 5:22 PM</t>
  </si>
  <si>
    <t>INSTITUTE OF GEOPHYSICS POLISH ACADEMY OF SCIENCES</t>
  </si>
  <si>
    <t>May 22, 2024, 12:19 PM</t>
  </si>
  <si>
    <t>Geospatial Information Agency</t>
  </si>
  <si>
    <t>Jun 18, 2024, 2:20 PM</t>
  </si>
  <si>
    <t>Jun 6, 2024, 9:58 AM</t>
  </si>
  <si>
    <t>Apr 30, 2024, 11:05 AM</t>
  </si>
  <si>
    <t>CCMAR</t>
  </si>
  <si>
    <t>Jun 7, 2024, 10:57 PM</t>
  </si>
  <si>
    <t>Visual Art</t>
  </si>
  <si>
    <t>Jun 13, 2024, 5:47 PM</t>
  </si>
  <si>
    <t>Jun 18, 2024, 3:39 PM</t>
  </si>
  <si>
    <t>SINTEF Ocean, Climate &amp; Environment</t>
  </si>
  <si>
    <t>Computer Science; Environmental Protection; Marine Sciences; Other</t>
  </si>
  <si>
    <t>Jun 12, 2024, 8:08 AM</t>
  </si>
  <si>
    <t>Jun 17, 2024, 9:00 AM</t>
  </si>
  <si>
    <t>Jun 12, 2024, 4:47 PM</t>
  </si>
  <si>
    <t>Jun 14, 2024, 12:31 PM</t>
  </si>
  <si>
    <t>Apr 30, 2024, 11:00 AM</t>
  </si>
  <si>
    <t>Environmental Protection; Engineering; Marine Sciences</t>
  </si>
  <si>
    <t>Jun 7, 2024, 11:06 PM</t>
  </si>
  <si>
    <t>UNIVERSITY OF AVEIRO</t>
  </si>
  <si>
    <t>DESIGN</t>
  </si>
  <si>
    <t>Jun 11, 2024, 2:06 PM</t>
  </si>
  <si>
    <t>Computer Science; Environmental Protection</t>
  </si>
  <si>
    <t>Jun 5, 2024, 9:52 AM</t>
  </si>
  <si>
    <t>Jun 12, 2024, 2:44 PM</t>
  </si>
  <si>
    <t>Computer Science; Engineering; Solid Earth</t>
  </si>
  <si>
    <t>Jun 18, 2024, 10:14 AM</t>
  </si>
  <si>
    <t>Jun 6, 2024, 3:50 PM</t>
  </si>
  <si>
    <t>Instituto Superior Técnico - Universidade de Lisboa</t>
  </si>
  <si>
    <t>Jun 10, 2024, 11:17 AM</t>
  </si>
  <si>
    <t>Volcanology; Other</t>
  </si>
  <si>
    <t>Jun 24, 2024, 1:57 PM</t>
  </si>
  <si>
    <t>LMV-OPGC</t>
  </si>
  <si>
    <t>geophysics</t>
  </si>
  <si>
    <t>Jun 24, 2024, 2:31 PM</t>
  </si>
  <si>
    <t>Jun 14, 2024, 12:16 PM</t>
  </si>
  <si>
    <t>Lusófona University</t>
  </si>
  <si>
    <t>Social sciences</t>
  </si>
  <si>
    <t>Jun 7, 2024, 7:16 PM</t>
  </si>
  <si>
    <t>Icelandic Met Office</t>
  </si>
  <si>
    <t>Jun 12, 2024, 11:54 AM</t>
  </si>
  <si>
    <t>Science Institute University of Iceland</t>
  </si>
  <si>
    <t>Jun 24, 2024, 6:09 PM</t>
  </si>
  <si>
    <t>Godesy</t>
  </si>
  <si>
    <t>Jun 18, 2024, 12:46 PM</t>
  </si>
  <si>
    <t>Glacial geomorphology</t>
  </si>
  <si>
    <t>Jun 12, 2024, 10:07 AM</t>
  </si>
  <si>
    <t>May 2, 2024, 4:50 PM</t>
  </si>
  <si>
    <t>Jun 10, 2024, 1:23 PM</t>
  </si>
  <si>
    <t>Deutsches Zentrum für Luft und Raumfahrt</t>
  </si>
  <si>
    <t>Jun 20, 2024, 10:14 AM</t>
  </si>
  <si>
    <t>Université Clermont Auvergne</t>
  </si>
  <si>
    <t>Jun 24, 2024, 8:09 PM</t>
  </si>
  <si>
    <t>Apr 30, 2024, 11:07 AM</t>
  </si>
  <si>
    <t>May 30, 2024, 2:13 PM</t>
  </si>
  <si>
    <t>Apr 30, 2024, 11:06 AM</t>
  </si>
  <si>
    <t>Psychology, Neuroscience</t>
  </si>
  <si>
    <t>Apr 30, 2024, 11:11 AM</t>
  </si>
  <si>
    <t>Biotechnology</t>
  </si>
  <si>
    <t>Apr 30, 2024, 10:34 AM</t>
  </si>
  <si>
    <t>/</t>
  </si>
  <si>
    <t>May 2, 2024, 2:01 PM</t>
  </si>
  <si>
    <t>Universidade Lusófona</t>
  </si>
  <si>
    <t>Jun 7, 2024, 5:17 PM</t>
  </si>
  <si>
    <t>Jun 7, 2024, 9:03 PM</t>
  </si>
  <si>
    <t>Computer Science; Volcanology</t>
  </si>
  <si>
    <t>Jun 6, 2024, 11:22 AM</t>
  </si>
  <si>
    <t>NOVA FCT</t>
  </si>
  <si>
    <t>History; Science Manager</t>
  </si>
  <si>
    <t>Jun 7, 2024, 5:49 PM</t>
  </si>
  <si>
    <t>National Observatory of Athens</t>
  </si>
  <si>
    <t>Jun 7, 2024, 7:28 AM</t>
  </si>
  <si>
    <t>Research grant</t>
  </si>
  <si>
    <t>Computer Science; Geohazard; Seismology; Volcanology</t>
  </si>
  <si>
    <t>Jun 18, 2024, 11:03 AM</t>
  </si>
  <si>
    <t>Intern | FMUC</t>
  </si>
  <si>
    <t>International Relations</t>
  </si>
  <si>
    <t>Jun 12, 2024, 3:42 PM</t>
  </si>
  <si>
    <t>UBO</t>
  </si>
  <si>
    <t>Jun 18, 2024, 1:04 PM</t>
  </si>
  <si>
    <t>ID+ Research Institute for Design, Media and Culture; University of Aveiro</t>
  </si>
  <si>
    <t>Design</t>
  </si>
  <si>
    <t>Jun 11, 2024, 3:42 PM</t>
  </si>
  <si>
    <t>Barcelona Supercomputig Computing (BSC)</t>
  </si>
  <si>
    <t>Computer Science; Seismology; Other</t>
  </si>
  <si>
    <t>Numerical Analysis</t>
  </si>
  <si>
    <t>Jun 18, 2024, 10:30 AM</t>
  </si>
  <si>
    <t>OCA</t>
  </si>
  <si>
    <t>Atmospheric Physics; Geohazard; Seismology; Tsunami</t>
  </si>
  <si>
    <t>Jun 18, 2024, 9:39 AM</t>
  </si>
  <si>
    <t>Apr 30, 2024, 11:22 AM</t>
  </si>
  <si>
    <t>Clinical and Academic Centre of Coimbra</t>
  </si>
  <si>
    <t>Jun 12, 2024, 3:18 PM</t>
  </si>
  <si>
    <t>Seismology; Volcanology</t>
  </si>
  <si>
    <t>IGME-CSIC</t>
  </si>
  <si>
    <t>Environmental Protection; Solid Earth; Other</t>
  </si>
  <si>
    <t>Groundwater</t>
  </si>
  <si>
    <t>May 30, 2024, 5:39 PM</t>
  </si>
  <si>
    <t>Apr 30, 2024, 11:12 AM</t>
  </si>
  <si>
    <t>Jun 24, 2024, 12:49 PM</t>
  </si>
  <si>
    <t>Jun 18, 2024, 9:45 AM</t>
  </si>
  <si>
    <t>Jun 11, 2024, 5:58 PM</t>
  </si>
  <si>
    <t>UC berkeley, USA</t>
  </si>
  <si>
    <t>May 29, 2024, 4:41 PM</t>
  </si>
  <si>
    <t>INGV, Italy</t>
  </si>
  <si>
    <t>May 31, 2024, 12:34 PM</t>
  </si>
  <si>
    <t>Caltech</t>
  </si>
  <si>
    <t>Jul 18, 2024, 9:41 PM</t>
  </si>
  <si>
    <t>Middle East Technical University, Turkey</t>
  </si>
  <si>
    <t>Jun 29, 2024, 6:30 PM</t>
  </si>
  <si>
    <t>Université Gustve Eiffel, France</t>
  </si>
  <si>
    <t>Jun 4, 2024, 3:27 PM</t>
  </si>
  <si>
    <t>ORFEUS and SED at ETH Zurich, Switzerland</t>
  </si>
  <si>
    <t>May 31, 2024, 7:40 AM</t>
  </si>
  <si>
    <t>Sinotech Engineering Consultants (Inc.), Taipei</t>
  </si>
  <si>
    <t>Jun 11, 2024, 9:57 AM</t>
  </si>
  <si>
    <t>LMU, Germany</t>
  </si>
  <si>
    <t>Jun 4, 2024, 12:02 PM</t>
  </si>
  <si>
    <t>ETH Zurich, Switzerland</t>
  </si>
  <si>
    <t>May 29, 2024, 10:55 AM</t>
  </si>
  <si>
    <t>GEO3BCN-CSIC</t>
  </si>
  <si>
    <t>Jul 18, 2024, 9:02 PM</t>
  </si>
  <si>
    <t>Scripps Institution of Oceanography, UCSD, USA/LMU, Munich, Germany</t>
  </si>
  <si>
    <t>Jul 6, 2024, 9:08 AM</t>
  </si>
  <si>
    <t>HI, Island</t>
  </si>
  <si>
    <t>Jun 7, 2024, 1:15 PM</t>
  </si>
  <si>
    <t>E-DREaM, Taiwan</t>
  </si>
  <si>
    <t>Jun 11, 2024, 9:51 AM</t>
  </si>
  <si>
    <t>Central South University</t>
  </si>
  <si>
    <t>Jun 10, 2024, 9:48 AM</t>
  </si>
  <si>
    <t>Changwon National University, South Korea</t>
  </si>
  <si>
    <t>Jun 3, 2024, 11:07 AM</t>
  </si>
  <si>
    <t>GFZ, Potsdam, Germany</t>
  </si>
  <si>
    <t>May 29, 2024, 10:39 AM</t>
  </si>
  <si>
    <t>Jul 19, 2024, 11:49 PM</t>
  </si>
  <si>
    <t>University of California, Davis</t>
  </si>
  <si>
    <t>Jul 8, 2024, 9:08 PM</t>
  </si>
  <si>
    <t>KAUST, Saudi Arabia</t>
  </si>
  <si>
    <t>Jul 2, 2024, 12:24 PM</t>
  </si>
  <si>
    <t>University of Tokyo, Japan</t>
  </si>
  <si>
    <t>May 30, 2024, 1:09 AM</t>
  </si>
  <si>
    <t>Jul 8, 2024, 4:44 PM</t>
  </si>
  <si>
    <t>Politecnico di Milano, Italy</t>
  </si>
  <si>
    <t>Jun 30, 2024, 11:56 PM</t>
  </si>
  <si>
    <t>May 29, 2024, 11:01 AM</t>
  </si>
  <si>
    <t>Lawrence Livermore National Laboratory, Livermore, USA</t>
  </si>
  <si>
    <t>May 29, 2024, 3:00 PM</t>
  </si>
  <si>
    <t>May 31, 2024, 10:11 AM</t>
  </si>
  <si>
    <t>Jun 30, 2024, 11:18 PM</t>
  </si>
  <si>
    <t>Mondaic Ltd.</t>
  </si>
  <si>
    <t>Jun 4, 2024, 8:17 AM</t>
  </si>
  <si>
    <t>Munich RE</t>
  </si>
  <si>
    <t>Jul 3, 2024, 11:45 PM</t>
  </si>
  <si>
    <t>Department of Geophysics, Faculty of Mathematics and Physics, Charles University, Czech Republic</t>
  </si>
  <si>
    <t>Jun 6, 2024, 2:02 PM</t>
  </si>
  <si>
    <t>May 29, 2024, 2:25 PM</t>
  </si>
  <si>
    <t>May 27, 2024, 8:58 PM</t>
  </si>
  <si>
    <t>Pending</t>
  </si>
  <si>
    <t>Northumbria University</t>
  </si>
  <si>
    <t>Jun 8, 2024, 12:49 PM</t>
  </si>
  <si>
    <t>male</t>
  </si>
  <si>
    <t>USGS</t>
  </si>
  <si>
    <t>Engineering seismology</t>
  </si>
  <si>
    <t>female</t>
  </si>
  <si>
    <t>Istituto Nazionale di Oceanografia e di Geofisica Sperimentale - OGS</t>
  </si>
  <si>
    <t>earthquake seismology</t>
  </si>
  <si>
    <t>Jul 5, 2024, 1:00 PM</t>
  </si>
  <si>
    <t>Seismology, Physics-based numerical modeling, Seismic Hazard</t>
  </si>
  <si>
    <t>Jun 4, 2024, 1:36 PM</t>
  </si>
  <si>
    <t>Ghana Atomic Energy Commission</t>
  </si>
  <si>
    <t>I'm a PhD student. My expertise are earthquake geotechnical engineering, earthquake engineering, strong motions, engineering seismology and soil liquefaction studies.</t>
  </si>
  <si>
    <t>Jul 11, 2024, 4:51 PM</t>
  </si>
  <si>
    <t>NCM</t>
  </si>
  <si>
    <t>ETH Zürich</t>
  </si>
  <si>
    <t>I am a PhD student working on seismology</t>
  </si>
  <si>
    <t>Geoscientist</t>
  </si>
  <si>
    <t>King Abdullah University of science and technology</t>
  </si>
  <si>
    <t>Ground motion simulation and earthquake source modeling</t>
  </si>
  <si>
    <t>Universidad De Costa Rica</t>
  </si>
  <si>
    <t>Neotectonics, Paleoseismology and Seismology</t>
  </si>
  <si>
    <t>Jul 3, 2024, 12:21 AM</t>
  </si>
  <si>
    <t>Seismology / Seismic Hazard</t>
  </si>
  <si>
    <t>Cadi Ayyad University Morocco</t>
  </si>
  <si>
    <t>I am a second-year PhD student from Morocco, studying at Cadi Ayyad University. My research focuses on tsunami risk assessment along the Atlantic coast of Morocco, with a particular emphasis on modeling and studying structural vulnerability.</t>
  </si>
  <si>
    <t>Jun 2, 2024, 5:06 PM</t>
  </si>
  <si>
    <t>North Carolina State University</t>
  </si>
  <si>
    <t>Jul 5, 2024, 4:41 PM</t>
  </si>
  <si>
    <t>University of Iceland</t>
  </si>
  <si>
    <t>Sep 2, 2024, 4:14 PM</t>
  </si>
  <si>
    <t>Swiss Seismological Service at ETH Zurich</t>
  </si>
  <si>
    <t>Jul 17, 2024, 9:33 AM</t>
  </si>
  <si>
    <t>Barcelona Supercomputing center</t>
  </si>
  <si>
    <t>Data, statistics, learned models</t>
  </si>
  <si>
    <t>May 31, 2024, 3:56 PM</t>
  </si>
  <si>
    <t>Observational seismology</t>
  </si>
  <si>
    <t>May 29, 2024, 12:30 PM</t>
  </si>
  <si>
    <t>GNS Science</t>
  </si>
  <si>
    <t>Engineering Seismology and Seismic Hazard Analysis</t>
  </si>
  <si>
    <t>3D structural geological modelling, gravity modelling, thermal modelling</t>
  </si>
  <si>
    <t>Helmholtz-Zentrum Potsdam Deutsches GeoForschungsZentrum GFZ</t>
  </si>
  <si>
    <t>Software Development</t>
  </si>
  <si>
    <t>Geotechnical Earthquake Engineering and Engineering Seismology</t>
  </si>
  <si>
    <t>Jul 5, 2024, 10:31 AM</t>
  </si>
  <si>
    <t>Subsurface process modelling</t>
  </si>
  <si>
    <t>King Abdullah University of Science and Technology (KAUST)</t>
  </si>
  <si>
    <t>F</t>
  </si>
  <si>
    <t>Seismology; spectral modelling of seismic waves</t>
  </si>
  <si>
    <t>Jul 16, 2024, 3:33 PM</t>
  </si>
  <si>
    <t>ISTerre, Univ. Grenoble Alpes</t>
  </si>
  <si>
    <t>seismology, source studies, ground motion simulation</t>
  </si>
  <si>
    <t>Jul 12, 2024, 10:37 AM</t>
  </si>
  <si>
    <t>Site Specific Seismic Hazard and Risk Assessment</t>
  </si>
  <si>
    <t>Jul 5, 2024, 9:53 PM</t>
  </si>
  <si>
    <t>Beijing University of Technology</t>
  </si>
  <si>
    <t>Ground motion model and AI</t>
  </si>
  <si>
    <t>Seismology and earthquake engineering</t>
  </si>
  <si>
    <t>Jul 24, 2024, 4:17 PM</t>
  </si>
  <si>
    <t>National Research Institute of Astronomy and Geophysics (NRIAG), Helwan, Egypt</t>
  </si>
  <si>
    <t>Ground motion and tsunami modelling</t>
  </si>
  <si>
    <t>Data-driven Ground motion simulation</t>
  </si>
  <si>
    <t>Jun 10, 2024, 4:29 PM</t>
  </si>
  <si>
    <t>Numerical modeling of frictional faults and seismic cycle</t>
  </si>
  <si>
    <t>University of Milan-Bicocca</t>
  </si>
  <si>
    <t>Calculation of maximum and modal shaking scenarios using a ground motion model</t>
  </si>
  <si>
    <t>Jun 23, 2024, 9:32 PM</t>
  </si>
  <si>
    <t>Institute of Geophysics, China Earthquake Administration</t>
  </si>
  <si>
    <t>Ground motion simulation and modelling</t>
  </si>
  <si>
    <t>UCSD / LMU Munich</t>
  </si>
  <si>
    <t>Earthquake physics</t>
  </si>
  <si>
    <t>Sep 1, 2024, 4:48 PM</t>
  </si>
  <si>
    <t>Charles University, Dept. of Geophysics</t>
  </si>
  <si>
    <t>Earthquake ground motion simulations using kinematic and dynamic methods</t>
  </si>
  <si>
    <t>Jun 6, 2024, 2:46 PM</t>
  </si>
  <si>
    <t>CentrlaeSupélec</t>
  </si>
  <si>
    <t>Earthquake simulation incuding SSI, AI for earthquake generation and superresolution</t>
  </si>
  <si>
    <t>IRSN</t>
  </si>
  <si>
    <t>numerical modelling, data processing</t>
  </si>
  <si>
    <t>National Research Institute of Astronomy and Geophysics (NRIAG)</t>
  </si>
  <si>
    <t>PhD student and researcher assistant at NRIAG, my research on PhD on titled Modifying Ground Motion Prediction Equation by Egyptian Seismological data</t>
  </si>
  <si>
    <t>Jul 31, 2024, 1:18 PM</t>
  </si>
  <si>
    <t>Earthquake</t>
  </si>
  <si>
    <t>Girl</t>
  </si>
  <si>
    <t>Southwest Jiaotong University</t>
  </si>
  <si>
    <t>I'm a student majoring in geological hazard diagnostic</t>
  </si>
  <si>
    <t>Sep 4, 2024, 4:28 AM</t>
  </si>
  <si>
    <t>Analysis and modelling of crustal stress</t>
  </si>
  <si>
    <t>Earthquake engineering, PBS</t>
  </si>
  <si>
    <t>Sep 2, 2024, 7:18 PM</t>
  </si>
  <si>
    <t>Woman</t>
  </si>
  <si>
    <t>Geosciences Barcelona-CSIC</t>
  </si>
  <si>
    <t>Physics-based numerical modeling, seismic hazard</t>
  </si>
  <si>
    <t>Jun 5, 2024, 6:01 PM</t>
  </si>
  <si>
    <t>Seismic Hazard Assessment, Earthquake Rupture Dynamics, HPC, Near-field Ground motion, Strong Ground Motion Modeling</t>
  </si>
  <si>
    <t>Jul 22, 2024, 11:34 AM</t>
  </si>
  <si>
    <t>National Taiwan University</t>
  </si>
  <si>
    <t>Exploration Seismology, Software engineering, AI Applications</t>
  </si>
  <si>
    <t>Jun 2, 2024, 4:17 AM</t>
  </si>
  <si>
    <t>NC State University</t>
  </si>
  <si>
    <t>Geotechnical earthquake engineering and engineering seismology</t>
  </si>
  <si>
    <t>Jun 5, 2024, 3:33 PM</t>
  </si>
  <si>
    <t>Università degli studi di Milano</t>
  </si>
  <si>
    <t>Charles University</t>
  </si>
  <si>
    <t>earthquake source physics and numerical modeling of seismic waves</t>
  </si>
  <si>
    <t>Helmholtz Centre Potsdam, GFZ German Research Centre For Geosciences</t>
  </si>
  <si>
    <t>Machine learning</t>
  </si>
  <si>
    <t>Seismology, HPC</t>
  </si>
  <si>
    <t>Withdrawn</t>
  </si>
  <si>
    <t>Visiting researcher</t>
  </si>
  <si>
    <t>Data science</t>
  </si>
  <si>
    <t>site effects,ground motion analysis, instrumental catalogues</t>
  </si>
  <si>
    <t>Earthquake and ground motion simulation</t>
  </si>
  <si>
    <t>University of Potsdam/GFZ</t>
  </si>
  <si>
    <t>Dynamic rupture modeling/DAS</t>
  </si>
  <si>
    <t>Jun 3, 2024, 5:41 AM</t>
  </si>
  <si>
    <t>Ground motion prediction and simulation</t>
  </si>
  <si>
    <t>May 29, 2024, 4:50 PM</t>
  </si>
  <si>
    <t>geotechnical earthquake engineering</t>
  </si>
  <si>
    <t>Jul 5, 2024, 5:23 PM</t>
  </si>
  <si>
    <t>Site amplification models</t>
  </si>
  <si>
    <t>May 30, 2024, 7:49 AM</t>
  </si>
  <si>
    <t>King Abdullah University of Science and Technology</t>
  </si>
  <si>
    <t>seismology</t>
  </si>
  <si>
    <t>UCLA and DesignSafe</t>
  </si>
  <si>
    <t>Numerical Simulation in OpenSees, ground motions and hazard, data management</t>
  </si>
  <si>
    <t>seismology, data infrastructures</t>
  </si>
  <si>
    <t>Jul 22, 2024, 10:24 AM</t>
  </si>
  <si>
    <t>Sapienza University of Rome</t>
  </si>
  <si>
    <t>Computational seismology, dynamic modeling, spectral inversion</t>
  </si>
  <si>
    <t>Jul 11, 2024, 8:53 PM</t>
  </si>
  <si>
    <t>Istituto Nazionale di geofisica e Vulcanologia, sezione Milano</t>
  </si>
  <si>
    <t>seismic ground motion</t>
  </si>
  <si>
    <t>Jun 28, 2024, 4:10 PM</t>
  </si>
  <si>
    <t>Sapienza, University of Rome</t>
  </si>
  <si>
    <t>AI &amp; Seismology</t>
  </si>
  <si>
    <t>Jul 11, 2024, 10:03 AM</t>
  </si>
  <si>
    <t>Statistical seismology</t>
  </si>
  <si>
    <t>SSI and SCI, damage assessment, seismic wave propagation, 3D Physics-based simulation of ground motion</t>
  </si>
  <si>
    <t>Jul 12, 2024, 2:56 PM</t>
  </si>
  <si>
    <t>Ludwig Maximilians Universität München</t>
  </si>
  <si>
    <t>Earthquake physics/ numerical Modelling</t>
  </si>
  <si>
    <t>Sep 2, 2024, 11:08 AM</t>
  </si>
  <si>
    <t>simulation of earthquake ground motions</t>
  </si>
  <si>
    <t>Jul 31, 2024, 6:45 PM</t>
  </si>
  <si>
    <t>National Seismological Center University of Chile</t>
  </si>
  <si>
    <t>Seismology Earthquakes</t>
  </si>
  <si>
    <t>Sep 2, 2024, 7:14 PM</t>
  </si>
  <si>
    <t>Numerical Analysis; Earthquake modeling</t>
  </si>
  <si>
    <t>Jun 6, 2024, 7:42 AM</t>
  </si>
  <si>
    <t>Engineering Seismology, computational mechanics</t>
  </si>
  <si>
    <t>Jul 6, 2024, 11:13 AM</t>
  </si>
  <si>
    <t>Helmholtz-Zentrum Potsdam I GFZ Deutsches GeoForschungsZentrum</t>
  </si>
  <si>
    <t>Subsuface Process Modelling</t>
  </si>
  <si>
    <t>Université Gustave Eiffel</t>
  </si>
  <si>
    <t>Nonlinear soil behavior through velocity change analysis of Japanese records</t>
  </si>
  <si>
    <t>Jun 5, 2024, 10:22 AM</t>
  </si>
  <si>
    <t>Engineering Seismology</t>
  </si>
  <si>
    <t>UNINA (University of Naples Federico II)</t>
  </si>
  <si>
    <t>Tsunami , Ground motion simultaion</t>
  </si>
  <si>
    <t>Machine learning, time series analysis</t>
  </si>
  <si>
    <t>Jul 8, 2024, 6:45 PM</t>
  </si>
  <si>
    <t>Geophysics, Data Management</t>
  </si>
  <si>
    <t>IRSN/UFA Alpes</t>
  </si>
  <si>
    <t>Dynamic rupture modelling</t>
  </si>
  <si>
    <t>Sep 2, 2024, 2:21 PM</t>
  </si>
  <si>
    <t>Geophysics, Seismology, and Tsunami Early Warning Systems</t>
  </si>
  <si>
    <t>Jul 5, 2024, 12:28 PM</t>
  </si>
  <si>
    <t>UC Berkeley</t>
  </si>
  <si>
    <t>Ground motion model</t>
  </si>
  <si>
    <t>Istanbul University-Cerrahpasa Geophysics Engineering Department</t>
  </si>
  <si>
    <t>I am a Research Associate at Istanbul University-Cerrahpasa of the Geophysics Engineering Department. I have a PhD in seismology.</t>
  </si>
  <si>
    <t>May 31, 2024, 3:23 PM</t>
  </si>
  <si>
    <t>Environmental Seismology and Geophysics</t>
  </si>
  <si>
    <t>Jun 5, 2024, 9:12 AM</t>
  </si>
  <si>
    <t>Sapienza Università di Roma</t>
  </si>
  <si>
    <t>Seismologist and Earthquake source modeler</t>
  </si>
  <si>
    <t>Jul 9, 2024, 10:46 PM</t>
  </si>
  <si>
    <t>Tehnical Univerity of Munich</t>
  </si>
  <si>
    <t>Physics-based numerical modelling | Deep geothermal energy</t>
  </si>
  <si>
    <t>Jul 4, 2024, 7:38 PM</t>
  </si>
  <si>
    <t>earthquake dynamics; modeling</t>
  </si>
  <si>
    <t>Jun 14, 2024, 5:51 PM</t>
  </si>
  <si>
    <t>school of civil engineering</t>
  </si>
  <si>
    <t>induced seismicity</t>
  </si>
  <si>
    <t>XiHua university</t>
  </si>
  <si>
    <t>Geotechnics</t>
  </si>
  <si>
    <t>Jun 6, 2024, 12:38 PM</t>
  </si>
  <si>
    <t>Laboratoire de Geologie, ENS de Paris. France.</t>
  </si>
  <si>
    <t>Earthquake engineering</t>
  </si>
  <si>
    <t>Sep 1, 2024, 11:43 PM</t>
  </si>
  <si>
    <t>seismology, seismic hazard</t>
  </si>
  <si>
    <t>Jul 2, 2024, 3:09 PM</t>
  </si>
  <si>
    <t>IT, scientific software develompent, classical machine learning</t>
  </si>
  <si>
    <t>May 29, 2024, 12:11 PM</t>
  </si>
  <si>
    <t>I've been in charge of Data Management Plan for EU project, but more expertise on hoe to implement e.g. FAIR principles is needed.</t>
  </si>
  <si>
    <t>May 30, 2024, 2:27 PM</t>
  </si>
  <si>
    <t>EDF</t>
  </si>
  <si>
    <t>Seismic hazard and risk assessment for nuclear structures</t>
  </si>
  <si>
    <t>Jul 25, 2024, 9:08 AM</t>
  </si>
  <si>
    <t>Jun 23, 2024, 5:52 PM</t>
  </si>
  <si>
    <t>IGN Spain</t>
  </si>
  <si>
    <t>Jun 5, 2024, 1:01 PM</t>
  </si>
  <si>
    <t>NIEP Romania</t>
  </si>
  <si>
    <t>May 29, 2024, 6:29 PM</t>
  </si>
  <si>
    <t>Bogazici Univeristy, Kandilli Earthquake and Research Institute , RETMC</t>
  </si>
  <si>
    <t>Jun 24, 2024, 10:56 AM</t>
  </si>
  <si>
    <t>Jun 2, 2024, 4:33 PM</t>
  </si>
  <si>
    <t>Swiss Seismological Service (SED), ETH Zurich</t>
  </si>
  <si>
    <t>May 29, 2024, 4:15 PM</t>
  </si>
  <si>
    <t>seismological survey Baden-Württemberg</t>
  </si>
  <si>
    <t>Jun 21, 2024, 2:39 PM</t>
  </si>
  <si>
    <t>IGN-Spain</t>
  </si>
  <si>
    <t>Jun 3, 2024, 12:07 PM</t>
  </si>
  <si>
    <t>Jun 18, 2024, 12:59 PM</t>
  </si>
  <si>
    <t>ARSO Slovenija</t>
  </si>
  <si>
    <t>May 30, 2024, 4:22 PM</t>
  </si>
  <si>
    <t>Institute of GeoSciences, Polytechnic University of Tirana</t>
  </si>
  <si>
    <t>Jun 10, 2024, 11:02 AM</t>
  </si>
  <si>
    <t>Jun 26, 2024, 7:57 PM</t>
  </si>
  <si>
    <t>Bogazici University Kandilli Observatory and Earthquake Research Institute Regional Earthquake-Tsunami Monitoring Center</t>
  </si>
  <si>
    <t>Receiver Function Analysis, Tomographic Imaging, Applied Engineering Geophysics</t>
  </si>
  <si>
    <t>Jun 24, 2024, 2:52 PM</t>
  </si>
  <si>
    <t>Croatian Seismological Survey</t>
  </si>
  <si>
    <t>Jun 11, 2024, 2:29 PM</t>
  </si>
  <si>
    <t>Jun 18, 2024, 10:22 AM</t>
  </si>
  <si>
    <t>Ss. Cyril and Methodius University in Skopje, Institute of Earthquake Engineering and Engineering Seismology - IZIIS</t>
  </si>
  <si>
    <t>May 30, 2024, 1:37 PM</t>
  </si>
  <si>
    <t>Jun 24, 2024, 10:02 AM</t>
  </si>
  <si>
    <t>Seismological Survey of Baden-Württemberg (SW-Germany)</t>
  </si>
  <si>
    <r>
      <rPr>
        <rFont val="&quot;Calibri&quot;"/>
        <color rgb="FF000000"/>
        <sz val="8.0"/>
      </rPr>
      <t xml:space="preserve">Seismology; </t>
    </r>
    <r>
      <rPr>
        <rFont val="&quot;Calibri&quot;"/>
        <b/>
        <color rgb="FF000000"/>
        <sz val="8.0"/>
      </rPr>
      <t>Volcanology</t>
    </r>
  </si>
  <si>
    <t>Jun 5, 2024, 8:52 AM</t>
  </si>
  <si>
    <t>University of Iceland, EERC</t>
  </si>
  <si>
    <t>Jun 3, 2024, 4:32 PM</t>
  </si>
  <si>
    <t>ICGC</t>
  </si>
  <si>
    <r>
      <rPr>
        <rFont val="&quot;Calibri&quot;"/>
        <b/>
        <color rgb="FF000000"/>
        <sz val="8.0"/>
      </rPr>
      <t>Computer Science</t>
    </r>
    <r>
      <rPr>
        <rFont val="&quot;Calibri&quot;"/>
        <color rgb="FF000000"/>
        <sz val="8.0"/>
      </rPr>
      <t>; Seismology</t>
    </r>
  </si>
  <si>
    <t>Jun 3, 2024, 9:09 PM</t>
  </si>
  <si>
    <t>Geological engineering, hydrogeology, seismology</t>
  </si>
  <si>
    <t>Jun 11, 2024, 2:32 PM</t>
  </si>
  <si>
    <t>Kandilli Obsevatory</t>
  </si>
  <si>
    <t>Jun 26, 2024, 2:02 PM</t>
  </si>
  <si>
    <t>Jun 7, 2024, 10:50 AM</t>
  </si>
  <si>
    <t>Institute of Geophysics Polish Academy of Science</t>
  </si>
  <si>
    <t>Jun 18, 2024, 8:56 AM</t>
  </si>
  <si>
    <t>data analytics</t>
  </si>
  <si>
    <t>Jun 18, 2024, 7:40 PM</t>
  </si>
  <si>
    <t>Institute of Earthquake Engineering and Engineering Seismology (IZIIS)</t>
  </si>
  <si>
    <t>May 30, 2024, 5:25 PM</t>
  </si>
  <si>
    <t>ingv</t>
  </si>
  <si>
    <t>Jun 6, 2024, 12:35 PM</t>
  </si>
  <si>
    <t>Croatian seismological survey</t>
  </si>
  <si>
    <t>Insitute of Earthquake Engineering and Engineering Seismology</t>
  </si>
  <si>
    <t>Jun 3, 2024, 11:50 AM</t>
  </si>
  <si>
    <t>Geosphere Austria</t>
  </si>
  <si>
    <t>Jun 5, 2024, 8:44 AM</t>
  </si>
  <si>
    <t>Jun 18, 2024, 10:38 AM</t>
  </si>
  <si>
    <t>Jun 18, 2024, 8:43 AM</t>
  </si>
  <si>
    <t>May 30, 2024, 11:46 AM</t>
  </si>
  <si>
    <t>OGS -Istituto Nazionale di Oceanografia e di Geofisica Sperimentale</t>
  </si>
  <si>
    <t>May 29, 2024, 5:11 PM</t>
  </si>
  <si>
    <t>Slovenian Environment Agency, Seismology Ofiice</t>
  </si>
  <si>
    <t>Jun 7, 2024, 11:18 AM</t>
  </si>
  <si>
    <t>PhD</t>
  </si>
  <si>
    <t>Jun 26, 2024, 1:32 PM</t>
  </si>
  <si>
    <t>Federal Seismological Survey, Nuclear-Test Ban at Federal Institute for Geosciences and Natural Resources (BGR)</t>
  </si>
  <si>
    <t>Jun 26, 2024, 8:11 AM</t>
  </si>
  <si>
    <t>Phd, Assoc.Proff.</t>
  </si>
  <si>
    <t>May 30, 2024, 11:37 AM</t>
  </si>
  <si>
    <t>GFZ-Croatian Seismological Survey</t>
  </si>
  <si>
    <t>Geological Engineering</t>
  </si>
  <si>
    <t>May 30, 2024, 9:51 AM</t>
  </si>
  <si>
    <t>May 29, 2024, 4:12 PM</t>
  </si>
  <si>
    <t>Jun 3, 2024, 6:00 PM</t>
  </si>
  <si>
    <t>Jun 18, 2024, 9:43 AM</t>
  </si>
  <si>
    <t>IGEO Institute Albania</t>
  </si>
  <si>
    <t>May 31, 2024, 9:19 AM</t>
  </si>
  <si>
    <t>Jun 6, 2024, 12:15 AM</t>
  </si>
  <si>
    <t>Geoscience Australia</t>
  </si>
  <si>
    <t>May 30, 2024, 2:30 PM</t>
  </si>
  <si>
    <t>Jun 2, 2024, 4:31 PM</t>
  </si>
  <si>
    <t>KNMI</t>
  </si>
  <si>
    <t>May 31, 2024, 1:06 PM</t>
  </si>
  <si>
    <t>Jun 7, 2024, 7:05 AM</t>
  </si>
  <si>
    <t>ORFEUS and SED@ETHZ</t>
  </si>
  <si>
    <t>May 29, 2024, 4:27 PM</t>
  </si>
  <si>
    <t>SED, ETHZ</t>
  </si>
  <si>
    <t>May 29, 2024, 5:40 PM</t>
  </si>
  <si>
    <t>May 29, 2024, 5:45 PM</t>
  </si>
  <si>
    <t>May 30, 2024, 2:50 PM</t>
  </si>
  <si>
    <t>May 30, 2024, 1:10 AM</t>
  </si>
  <si>
    <t>Institute of Engineering Seismology and Earthquake Engineering</t>
  </si>
  <si>
    <t>Jun 6, 2024, 9:42 AM</t>
  </si>
  <si>
    <t>Slovenian Environemental Agency</t>
  </si>
  <si>
    <t>Jun 3, 2024, 8:38 AM</t>
  </si>
  <si>
    <t>May 29, 2024, 4:42 PM</t>
  </si>
  <si>
    <t>ITSAK</t>
  </si>
  <si>
    <t>May 29, 2024, 9:22 PM</t>
  </si>
  <si>
    <t>Jun 21, 2024, 9:11 AM</t>
  </si>
  <si>
    <t>Jun 4, 2024, 3:39 PM</t>
  </si>
  <si>
    <t>Jun 7, 2024, 10:49 AM</t>
  </si>
  <si>
    <t>CNRS UAR830 - EOST</t>
  </si>
  <si>
    <r>
      <rPr>
        <rFont val="&quot;Calibri&quot;"/>
        <b/>
        <color rgb="FF000000"/>
        <sz val="8.0"/>
      </rPr>
      <t>Marine Sciences</t>
    </r>
    <r>
      <rPr>
        <rFont val="&quot;Calibri&quot;"/>
        <color rgb="FF000000"/>
        <sz val="8.0"/>
      </rPr>
      <t>; Seismology; Solid Earth</t>
    </r>
  </si>
  <si>
    <t>May 29, 2024, 4:16 PM</t>
  </si>
  <si>
    <t>Seismology; Solid Earth; Tsunami</t>
  </si>
  <si>
    <t>Jun 5, 2024, 11:29 AM</t>
  </si>
  <si>
    <t>Institute of Hydrometeorology and Seismology</t>
  </si>
  <si>
    <t>May 30, 2024, 9:03 AM</t>
  </si>
  <si>
    <t>Jun 6, 2024, 5:39 AM</t>
  </si>
  <si>
    <t>Jun 21, 2024, 9:13 AM</t>
  </si>
  <si>
    <t>United States Geological Survey</t>
  </si>
  <si>
    <t>May 31, 2024, 9:49 AM</t>
  </si>
  <si>
    <t>ITES, Institut Terre et Environnement de Strasbourg, CNRS and University of Strasbourg</t>
  </si>
  <si>
    <t>May 29, 2024, 4:24 PM</t>
  </si>
  <si>
    <t>Institute Engineering Seismology &amp; Earthquake Engineering (ITSAK)</t>
  </si>
  <si>
    <t>Surface Geophysics</t>
  </si>
  <si>
    <t>Jun 4, 2024, 6:06 PM</t>
  </si>
  <si>
    <t>U.S. Geological Survey</t>
  </si>
  <si>
    <t>May 31, 2024, 10:25 PM</t>
  </si>
  <si>
    <t>Jun 6, 2024, 11:03 AM</t>
  </si>
  <si>
    <t>Jun 5, 2024, 4:37 PM</t>
  </si>
  <si>
    <t>May 29, 2024, 4:29 PM</t>
  </si>
  <si>
    <t>Servicio Geológico Colombiano</t>
  </si>
  <si>
    <t>Computer Science; Engineering; Seismology; Volcanology</t>
  </si>
  <si>
    <t>Aug 1, 2024, 4:38 AM</t>
  </si>
  <si>
    <t>Jun 18, 2024, 2:18 PM</t>
  </si>
  <si>
    <t>Research Institute for Volcanology and Risk Assessment (IVAR) from University of the Azores</t>
  </si>
  <si>
    <t>May 8, 2024, 1:38 PM</t>
  </si>
  <si>
    <t>CIC, IPN</t>
  </si>
  <si>
    <r>
      <rPr>
        <rFont val="Calibri"/>
        <color rgb="FF000000"/>
        <sz val="10.0"/>
      </rPr>
      <t>Computer Science; Geohazard; Seismology;</t>
    </r>
    <r>
      <rPr>
        <rFont val="Calibri"/>
        <b/>
        <color rgb="FF000000"/>
        <sz val="10.0"/>
      </rPr>
      <t xml:space="preserve"> Solid Earth;</t>
    </r>
    <r>
      <rPr>
        <rFont val="Calibri"/>
        <color rgb="FF000000"/>
        <sz val="10.0"/>
      </rPr>
      <t xml:space="preserve"> Volcanology</t>
    </r>
  </si>
  <si>
    <t>Jul 3, 2024, 12:40 AM</t>
  </si>
  <si>
    <t>Geological Colombian Survey</t>
  </si>
  <si>
    <t>Volcanic hazard assesment, Computational simulations physic volcanology, petrology, GIS</t>
  </si>
  <si>
    <t>Aug 1, 2024, 4:25 AM</t>
  </si>
  <si>
    <t>IGEO</t>
  </si>
  <si>
    <t>Apr 18, 2024, 4:02 PM</t>
  </si>
  <si>
    <t>Volcanic Phenomena Computational Simulation</t>
  </si>
  <si>
    <t>Aug 1, 2024, 4:10 AM</t>
  </si>
  <si>
    <t>Computer Science; Geohazard; Volcanology</t>
  </si>
  <si>
    <t>May 6, 2024, 8:25 AM</t>
  </si>
  <si>
    <t>Hazard Volcanic Map</t>
  </si>
  <si>
    <t>10 years</t>
  </si>
  <si>
    <t>Aug 1, 2024, 1:36 PM</t>
  </si>
  <si>
    <t>INGV OE</t>
  </si>
  <si>
    <t>Computer Science; Geohazard; Seismology; Solid Earth; Volcanology</t>
  </si>
  <si>
    <t>Jul 16, 2024, 2:29 PM</t>
  </si>
  <si>
    <t>Center for Volcanology and Geological Hazard Mitigation</t>
  </si>
  <si>
    <t>Apr 18, 2024, 4:54 PM</t>
  </si>
  <si>
    <t>Sep 10, 2024, 1:26 PM</t>
  </si>
  <si>
    <t>NRIAG</t>
  </si>
  <si>
    <r>
      <rPr>
        <rFont val="&quot;Calibri&quot;"/>
        <color rgb="FF000000"/>
        <sz val="8.0"/>
      </rPr>
      <t>Geohazard; Seismology;</t>
    </r>
    <r>
      <rPr>
        <rFont val="&quot;Calibri&quot;"/>
        <b/>
        <color rgb="FF000000"/>
        <sz val="8.0"/>
      </rPr>
      <t xml:space="preserve"> Tsunami</t>
    </r>
    <r>
      <rPr>
        <rFont val="&quot;Calibri&quot;"/>
        <color rgb="FF000000"/>
        <sz val="8.0"/>
      </rPr>
      <t>; Volcanology</t>
    </r>
  </si>
  <si>
    <t>Sep 10, 2024, 10:25 AM</t>
  </si>
  <si>
    <t>Technische Universität Braunschweig</t>
  </si>
  <si>
    <t>Sep 9, 2024, 9:44 AM</t>
  </si>
  <si>
    <t>Colombia Geological Survey</t>
  </si>
  <si>
    <t>University of pecs</t>
  </si>
  <si>
    <r>
      <rPr>
        <rFont val="&quot;Calibri&quot;"/>
        <color rgb="FF000000"/>
        <sz val="8.0"/>
      </rPr>
      <t xml:space="preserve">Geohazard; </t>
    </r>
    <r>
      <rPr>
        <rFont val="&quot;Calibri&quot;"/>
        <b/>
        <color rgb="FF000000"/>
        <sz val="8.0"/>
      </rPr>
      <t>Marine Sciences</t>
    </r>
    <r>
      <rPr>
        <rFont val="&quot;Calibri&quot;"/>
        <color rgb="FF000000"/>
        <sz val="8.0"/>
      </rPr>
      <t>; Tsunami</t>
    </r>
  </si>
  <si>
    <t>Sep 6, 2024, 7:16 PM</t>
  </si>
  <si>
    <t>Institute for Geological and Mining Research/ University of Yaounde 1</t>
  </si>
  <si>
    <t>Innovate Geothermal Ltd.</t>
  </si>
  <si>
    <t>Geology &amp; Geophysics</t>
  </si>
  <si>
    <t>Oct 19, 2024, 1:11 AM</t>
  </si>
  <si>
    <t>UNINA, RISSC Lab</t>
  </si>
  <si>
    <t>Seismology; Solid Earth; Tsunami; Other</t>
  </si>
  <si>
    <t>Numerical Modelling and Analysis</t>
  </si>
  <si>
    <t>Oct 29, 2024, 8:45 PM</t>
  </si>
  <si>
    <t>Oct 30, 2024, 4:33 PM</t>
  </si>
  <si>
    <t>University of Naples</t>
  </si>
  <si>
    <t>Oct 30, 2024, 10:32 AM</t>
  </si>
  <si>
    <t>Oct 31, 2024, 4:31 AM</t>
  </si>
  <si>
    <t>Oct 3, 2024, 1:11 AM</t>
  </si>
  <si>
    <t>Atmospheric Physics; Environmental Protection; Energy Transformation/Storage; Engineering; Geohazard; Marine Sciences; Seismology; Tsunami</t>
  </si>
  <si>
    <t>Geotechnical, geological and earthquake engineer</t>
  </si>
  <si>
    <t>Oct 30, 2024, 4:52 PM</t>
  </si>
  <si>
    <t>Swiss Seismological Service, ETH Zurich</t>
  </si>
  <si>
    <t>Oct 9, 2024, 3:12 PM</t>
  </si>
  <si>
    <t>Rif</t>
  </si>
  <si>
    <t>Engineering; Geohazard; Seismology; Solid Earth; Tsunami; Volcanology; Other</t>
  </si>
  <si>
    <t>Floods,</t>
  </si>
  <si>
    <t>Oct 7, 2024, 2:53 AM</t>
  </si>
  <si>
    <t>Oct 23, 2024, 5:53 AM</t>
  </si>
  <si>
    <t>Atmospheric Physics; Engineering; Seismology; Solid Earth; Tsunami</t>
  </si>
  <si>
    <t>Seismic data analysis (seismic, hydroacoustic and infrasound), Seismic tomography, seismic hazard,</t>
  </si>
  <si>
    <t>Oct 30, 2024, 7:55 AM</t>
  </si>
  <si>
    <t>Oct 28, 2024, 10:50 AM</t>
  </si>
  <si>
    <t>National Geographic Institute</t>
  </si>
  <si>
    <t>Oct 31, 2024, 7:36 PM</t>
  </si>
  <si>
    <t>Geohazard; Solid Earth; Volcanology</t>
  </si>
  <si>
    <t>Oct 2, 2024, 1:28 PM</t>
  </si>
  <si>
    <t>Alma Mater Studiorum - Università di Bologna</t>
  </si>
  <si>
    <t>Oct 12, 2024, 7:31 PM</t>
  </si>
  <si>
    <t>Oct 29, 2024, 3:59 PM</t>
  </si>
  <si>
    <t>InSAR and source modeling</t>
  </si>
  <si>
    <t>Oct 28, 2024, 2:27 PM</t>
  </si>
  <si>
    <t>Oct 3, 2024, 1:51 PM</t>
  </si>
  <si>
    <t>Oct 18, 2024, 3:28 PM</t>
  </si>
  <si>
    <t>Oct 31, 2024, 3:17 PM</t>
  </si>
  <si>
    <t>IDIL Fibres Optiques/Geo-Ocean</t>
  </si>
  <si>
    <t>Oct 30, 2024, 2:43 PM</t>
  </si>
  <si>
    <t>Jun 27, 2024, 8:41 AM</t>
  </si>
  <si>
    <t>Seismic source - earthquake early warning</t>
  </si>
  <si>
    <t>Oct 31, 2024, 5:20 PM</t>
  </si>
  <si>
    <t>Università degli Studi di Bari</t>
  </si>
  <si>
    <t>Geohazard; Marine Sciences</t>
  </si>
  <si>
    <t>Oct 30, 2024, 11:30 AM</t>
  </si>
  <si>
    <t>University of Pavia</t>
  </si>
  <si>
    <t>Oct 17, 2024, 9:59 AM</t>
  </si>
  <si>
    <t>GEM</t>
  </si>
  <si>
    <t>Oct 29, 2024, 3:54 PM</t>
  </si>
  <si>
    <t>Andorra Research + Innovation</t>
  </si>
  <si>
    <t>Oct 31, 2024, 1:07 PM</t>
  </si>
  <si>
    <t>Department of Geology, Faculty of Sciences Ben M'Sick. Hassan II University, Casablanca, Morocco.</t>
  </si>
  <si>
    <t>Oct 16, 2024, 5:40 PM</t>
  </si>
  <si>
    <t>Oct 7, 2024, 3:06 PM</t>
  </si>
  <si>
    <t>Geotechnical eartquake engineering</t>
  </si>
  <si>
    <t>Oct 28, 2024, 8:43 AM</t>
  </si>
  <si>
    <t>Roma Tre University</t>
  </si>
  <si>
    <t>Oct 9, 2024, 9:24 AM</t>
  </si>
  <si>
    <t>Oct 2, 2024, 2:07 PM</t>
  </si>
  <si>
    <t>Oct 23, 2024, 9:17 PM</t>
  </si>
  <si>
    <t>Oct 31, 2024, 9:43 AM</t>
  </si>
  <si>
    <t>Sapienza</t>
  </si>
  <si>
    <t>Environmental Protection; Geohazard; Seismology; Other</t>
  </si>
  <si>
    <t>Exploration geologist</t>
  </si>
  <si>
    <t>Oct 28, 2024, 7:41 AM</t>
  </si>
  <si>
    <t>INGV-OV</t>
  </si>
  <si>
    <t>Oct 31, 2024, 12:28 PM</t>
  </si>
  <si>
    <t>GNSS, InSAR, seismotectonics</t>
  </si>
  <si>
    <t>Oct 3, 2024, 8:54 PM</t>
  </si>
  <si>
    <t>Private Consultant</t>
  </si>
  <si>
    <t>Computer Science; Engineering; Geohazard; Seismology; Solid Earth; Tsunami; Other</t>
  </si>
  <si>
    <t>Senior Seismic Hazard and Risk Scientist</t>
  </si>
  <si>
    <t>Oct 7, 2024, 4:20 PM</t>
  </si>
  <si>
    <t>Oct 14, 2024, 9:44 AM</t>
  </si>
  <si>
    <t>Oct 2, 2024, 1:30 PM</t>
  </si>
  <si>
    <t>Oct 28, 2024, 2:31 PM</t>
  </si>
  <si>
    <t>Institute of Geodynamics National Observatory of Athens</t>
  </si>
  <si>
    <t>Seismic Hazard</t>
  </si>
  <si>
    <t>Oct 9, 2024, 6:02 AM</t>
  </si>
  <si>
    <t>Computer Science; Engineering; Geohazard; Marine Sciences; Seismology; Solid Earth; Tsunami</t>
  </si>
  <si>
    <t>Oct 7, 2024, 1:41 PM</t>
  </si>
  <si>
    <t>UPSA</t>
  </si>
  <si>
    <t>Oct 31, 2024, 1:24 PM</t>
  </si>
  <si>
    <t>Oct 31, 2024, 12:34 PM</t>
  </si>
  <si>
    <t>Università di Napoli</t>
  </si>
  <si>
    <t>Oct 4, 2024, 12:18 PM</t>
  </si>
  <si>
    <t>Institute of Geography and Earth Sciences, Faculty of Sciences, University of Pécs</t>
  </si>
  <si>
    <t>Oct 15, 2024, 9:56 AM</t>
  </si>
  <si>
    <t>Post Doc fellow</t>
  </si>
  <si>
    <t>Oct 7, 2024, 11:49 AM</t>
  </si>
  <si>
    <t>gns science</t>
  </si>
  <si>
    <t>earthquake source model, ground motion simulation.</t>
  </si>
  <si>
    <t>Oct 28, 2024, 10:54 PM</t>
  </si>
  <si>
    <t>GFZ Section 4.8</t>
  </si>
  <si>
    <t>Energy Transformation/Storage; Solid Earth</t>
  </si>
  <si>
    <t>Oct 2, 2024, 12:52 PM</t>
  </si>
  <si>
    <t>Università degli studi di Napoli</t>
  </si>
  <si>
    <t>Oct 30, 2024, 10:15 AM</t>
  </si>
  <si>
    <t>Oct 31, 2024, 8:46 AM</t>
  </si>
  <si>
    <t>Oct 30, 2024, 4:55 PM</t>
  </si>
  <si>
    <t>Oct 10, 2024, 8:39 AM</t>
  </si>
  <si>
    <t>INGV-Osservatorio Vesuviano</t>
  </si>
  <si>
    <t>Oct 31, 2024, 6:49 PM</t>
  </si>
  <si>
    <t>Oct 30, 2024, 2:21 PM</t>
  </si>
  <si>
    <t>University Of Bergen</t>
  </si>
  <si>
    <t>GEOMORPHOLOGY</t>
  </si>
  <si>
    <t>Oct 7, 2024, 2:54 PM</t>
  </si>
  <si>
    <t>Geophysics and Natural Risks Laboratory, Scientific Institute, Mohammed V University in Rabat Morocco</t>
  </si>
  <si>
    <t>I'm a Phd student on geophysics and Seismolgy</t>
  </si>
  <si>
    <t>Oct 17, 2024, 1:02 AM</t>
  </si>
  <si>
    <t>International Centre of Excellence for Dams</t>
  </si>
  <si>
    <t>Oct 14, 2024, 9:07 AM</t>
  </si>
  <si>
    <t>Moody's</t>
  </si>
  <si>
    <t>Oct 10, 2024, 4:05 PM</t>
  </si>
  <si>
    <t>Environmental Protection; Geohazard; Seismology; Solid Earth</t>
  </si>
  <si>
    <t>Oct 23, 2024, 4:45 PM</t>
  </si>
  <si>
    <t>Computer Science; Environmental Protection; Geohazard; Seismology; Solid Earth; Volcanology</t>
  </si>
  <si>
    <t>Oct 15, 2024, 11:07 AM</t>
  </si>
  <si>
    <t>Institut de Ciències del Mar - CSIC</t>
  </si>
  <si>
    <t>Geohazard; Marine Sciences; Seismology; Solid Earth; Tsunami</t>
  </si>
  <si>
    <t>Oct 31, 2024, 11:18 AM</t>
  </si>
  <si>
    <t>University of Napoli "Federico II"</t>
  </si>
  <si>
    <t>Oct 30, 2024, 10:13 AM</t>
  </si>
  <si>
    <t>Computer Science; Energy Transformation/Storage; Geohazard; Other</t>
  </si>
  <si>
    <t>Sedimentology</t>
  </si>
  <si>
    <t>Oct 28, 2024, 9:03 AM</t>
  </si>
  <si>
    <t>Oct 4, 2024, 10:10 AM</t>
  </si>
  <si>
    <t>Oct 31, 2024, 10:27 AM</t>
  </si>
  <si>
    <t>University of Mohammed v Rabat</t>
  </si>
  <si>
    <t>Oct 17, 2024, 4:53 PM</t>
  </si>
  <si>
    <t>Mahbang</t>
  </si>
  <si>
    <t>Environmental Protection; Engineering; Tsunami</t>
  </si>
  <si>
    <t>Oct 30, 2024, 3:02 PM</t>
  </si>
  <si>
    <t>Università di Napoli Federico II</t>
  </si>
  <si>
    <t>IIT Kharagpur</t>
  </si>
  <si>
    <t>Oct 28, 2024, 12:01 PM</t>
  </si>
  <si>
    <t>Università degli studi di Napoli Federico II</t>
  </si>
  <si>
    <t>Oct 7, 2024, 9:40 AM</t>
  </si>
  <si>
    <t>Oct 28, 2024, 2:38 PM</t>
  </si>
  <si>
    <t>Εθνικό Αστεροσκοπείο Αθηνών</t>
  </si>
  <si>
    <t>Oct 5, 2024, 10:54 AM</t>
  </si>
  <si>
    <t>Moody’s</t>
  </si>
  <si>
    <t>Oct 8, 2024, 9:49 AM</t>
  </si>
  <si>
    <t>IES</t>
  </si>
  <si>
    <t>Oct 3, 2024, 11:15 AM</t>
  </si>
  <si>
    <t>Oct 14, 2024, 12:40 PM</t>
  </si>
  <si>
    <t>Iceland GeoSurvey</t>
  </si>
  <si>
    <t>Sep 23, 2024, 4:18 PM</t>
  </si>
  <si>
    <t>Indian Institute of Technology Kanpur</t>
  </si>
  <si>
    <t>Sep 24, 2024, 4:11 PM</t>
  </si>
  <si>
    <t>FZ Jülich</t>
  </si>
  <si>
    <t>Oct 14, 2024, 10:05 AM</t>
  </si>
  <si>
    <t>Atmospheric Physics; Engineering; Geohazard; Seismology</t>
  </si>
  <si>
    <t>Oct 12, 2024, 2:46 PM</t>
  </si>
  <si>
    <t>Oct 11, 2024, 11:15 AM</t>
  </si>
  <si>
    <t>Universidad Nacional de Colombia</t>
  </si>
  <si>
    <t>Sep 23, 2024, 2:26 PM</t>
  </si>
  <si>
    <t>IFREMER</t>
  </si>
  <si>
    <t>sedimentology</t>
  </si>
  <si>
    <t>Oct 10, 2024, 2:56 PM</t>
  </si>
  <si>
    <t>Oct 2, 2024, 1:54 PM</t>
  </si>
  <si>
    <t>University of Iceland, Earthquake Engineering Research Centre School of Engineering and Natural Sciences</t>
  </si>
  <si>
    <t>Sep 10, 2024, 1:29 PM</t>
  </si>
  <si>
    <t>WHO Country Office for ETHIOPIA</t>
  </si>
  <si>
    <t>Computer Science; Environmental Protection; Geohazard; Seismology; Tsunami; Volcanology</t>
  </si>
  <si>
    <t>Oct 13, 2024, 6:11 PM</t>
  </si>
  <si>
    <t>Earthquake and tsunami modelling</t>
  </si>
  <si>
    <t>Sep 10, 2024, 10:24 AM</t>
  </si>
  <si>
    <t>Oct 8, 2024, 2:52 PM</t>
  </si>
  <si>
    <t>Oct 2, 2024, 12:49 PM</t>
  </si>
  <si>
    <t>I'm technologist specialized in marine data management</t>
  </si>
  <si>
    <t>Oct 8, 2024, 2:29 PM</t>
  </si>
  <si>
    <t>Geohazard; Solid Earth; Volcanology; Other</t>
  </si>
  <si>
    <t>Researcher assistant at National Research Institute of Astronomy and Geophysics</t>
  </si>
  <si>
    <t>Sep 4, 2024, 3:42 PM</t>
  </si>
  <si>
    <t>Oct 14, 2024, 9:39 AM</t>
  </si>
  <si>
    <t>Sep 24, 2024, 9:42 AM</t>
  </si>
  <si>
    <t>Oct 14, 2024, 11:49 PM</t>
  </si>
  <si>
    <t>CSIR Fourth Paradigm Institute, Bangalore</t>
  </si>
  <si>
    <t>Sep 29, 2024, 3:36 AM</t>
  </si>
  <si>
    <t>Jul 1, 2024, 11:22 AM</t>
  </si>
  <si>
    <t>Oct 14, 2024, 11:12 PM</t>
  </si>
  <si>
    <t>Jul 1, 2024, 12:32 PM</t>
  </si>
  <si>
    <t>Univ. Grenoble Alpes, Univ. Savoie Mont Blanc, CNRS, IRD, Univ. Gustave Eiffel, ISTerre, Grenoble, France</t>
  </si>
  <si>
    <t>Ground Motion Analyses, Seismic Hazard and Risk Assessments, Engineering Seismology,</t>
  </si>
  <si>
    <t>Sep 30, 2024, 12:21 PM</t>
  </si>
  <si>
    <t>Sep 6, 2024, 7:13 PM</t>
  </si>
  <si>
    <t>Croatian Seismological Survey, Faculty of Science, University of Zagreb</t>
  </si>
  <si>
    <t>Oct 4, 2024, 10:22 AM</t>
  </si>
  <si>
    <t>Oct 2, 2024, 10:56 PM</t>
  </si>
  <si>
    <t>Oct 10, 2024, 3:56 PM</t>
  </si>
  <si>
    <t>Potsdam University</t>
  </si>
  <si>
    <t>Sep 28, 2024, 5:28 PM</t>
  </si>
  <si>
    <t>Sep 23, 2024, 12:22 PM</t>
  </si>
  <si>
    <t>Oct 10, 2024, 8:36 AM</t>
  </si>
  <si>
    <t>Institute for Geological and Mining Research</t>
  </si>
  <si>
    <t>Changwon National University</t>
  </si>
  <si>
    <t>Oct 10, 2024, 4:11 AM</t>
  </si>
  <si>
    <t>Sep 23, 2024, 11:25 AM</t>
  </si>
  <si>
    <t>Universite Libre de Bruxelles</t>
  </si>
  <si>
    <t>Atmospheric Physics; Solid Earth; Other</t>
  </si>
  <si>
    <t>GNSS, GNSS-Meteorology, GNSS-CLimate</t>
  </si>
  <si>
    <t>Oct 14, 2024, 11:05 AM</t>
  </si>
  <si>
    <t>IKT</t>
  </si>
  <si>
    <t>Sep 25, 2024, 8:50 AM</t>
  </si>
  <si>
    <t>Oct 4, 2024, 10:05 AM</t>
  </si>
  <si>
    <t>Oct 7, 2024, 4:38 PM</t>
  </si>
  <si>
    <t>Visiting Researcher</t>
  </si>
  <si>
    <t>Sep 25, 2024, 1:04 AM</t>
  </si>
  <si>
    <t>GFZ Potsdam /NFDI4Earth</t>
  </si>
  <si>
    <t>Oct 8, 2024, 4:56 PM</t>
  </si>
  <si>
    <t>Forschungszentrum Jülich | IET-4</t>
  </si>
  <si>
    <t>Oct 14, 2024, 6:03 PM</t>
  </si>
  <si>
    <t>Sep 15, 2024, 7:29 PM</t>
  </si>
  <si>
    <t>Geological Agency of Indonesia</t>
  </si>
  <si>
    <t>Sep 12, 2024, 12:49 PM</t>
  </si>
  <si>
    <t>Oct 2, 2024, 5:08 PM</t>
  </si>
  <si>
    <t>Sep 12, 2024, 2:47 PM</t>
  </si>
  <si>
    <t>Oct 2, 2024, 12:47 PM</t>
  </si>
  <si>
    <t>Oct 3, 2024, 8:44 AM</t>
  </si>
  <si>
    <t>Oct 14, 2024, 11:45 AM</t>
  </si>
  <si>
    <t>Sep 24, 2024, 3:15 PM</t>
  </si>
  <si>
    <t>Oct 2, 2024, 12:50 PM</t>
  </si>
  <si>
    <t>Oct 31, 2024, 9:25 AM</t>
  </si>
  <si>
    <t>Atmospheric Physics; Environmental Protection; Energy Transformation/Storage; Engineering; Geohazard; Marine Sciences; Seismology; Solid Earth; Tsunami</t>
  </si>
  <si>
    <t>Oct 30, 2024, 4:45 PM</t>
  </si>
  <si>
    <t>University of Vienna</t>
  </si>
  <si>
    <t>Oct 31, 2024, 11:01 AM</t>
  </si>
  <si>
    <t>Scientific institute/ Morocco</t>
  </si>
  <si>
    <t>Oct 31, 2024, 4:06 PM</t>
  </si>
  <si>
    <t>Phd</t>
  </si>
  <si>
    <t>University of Concepcion</t>
  </si>
  <si>
    <t>Oct 31, 2024, 3:35 AM</t>
  </si>
  <si>
    <t>Gustave Eiffel University</t>
  </si>
  <si>
    <t>Oct 31, 2024, 12:58 PM</t>
  </si>
  <si>
    <t>Theoretical Mechanics</t>
  </si>
  <si>
    <t>Oct 31, 2024, 1:44 PM</t>
  </si>
  <si>
    <t>Helmholtz Centre Potsdam - GFZ German Research Centre for Geosciences</t>
  </si>
  <si>
    <t>Computer Science; Geohazard</t>
  </si>
  <si>
    <t>Oct 30, 2024, 4:21 PM</t>
  </si>
  <si>
    <t>Oct 31, 2024, 3:03 PM</t>
  </si>
  <si>
    <t>National Technical University Of Athens</t>
  </si>
  <si>
    <t>Oct 30, 2024, 2:55 PM</t>
  </si>
  <si>
    <t>Oct 16, 2024, 11:34 AM</t>
  </si>
  <si>
    <t>Fervo</t>
  </si>
  <si>
    <t>Oct 31, 2024, 11:51 AM</t>
  </si>
  <si>
    <t>Oct 31, 2024, 9:15 PM</t>
  </si>
  <si>
    <t>ISTerre - UGA</t>
  </si>
  <si>
    <t>Earthquake tomography, seismotectonic, subduction earthquakes</t>
  </si>
  <si>
    <t>Oct 31, 2024, 1:23 PM</t>
  </si>
  <si>
    <t>Oct 30, 2024, 6:08 PM</t>
  </si>
  <si>
    <t>Seismic and Strong Motion Analysis</t>
  </si>
  <si>
    <t>Researcher</t>
  </si>
  <si>
    <t>Oct 30, 2024, 3:34 PM</t>
  </si>
  <si>
    <t>National Center For Seismology, New Delhi India</t>
  </si>
  <si>
    <t>Oct 30, 2024, 4:35 PM</t>
  </si>
  <si>
    <t>Environmental Protection; Engineering; Geohazard; Seismology; Solid Earth</t>
  </si>
  <si>
    <t>Oct 30, 2024, 8:23 PM</t>
  </si>
  <si>
    <t>Oct 31, 2024, 1:02 PM</t>
  </si>
  <si>
    <t>International Institute of Erathquake Engineering &amp; Seismology (IIEES)</t>
  </si>
  <si>
    <t>Enginnering Geology</t>
  </si>
  <si>
    <t>Oct 31, 2024, 4:33 PM</t>
  </si>
  <si>
    <t>University of Nevada, Reno</t>
  </si>
  <si>
    <t>Geotechnical Engineering</t>
  </si>
  <si>
    <t>Oct 30, 2024, 9:33 PM</t>
  </si>
  <si>
    <t>Assistant Professor, Manipal Institute of Technology Manipal</t>
  </si>
  <si>
    <t>Engineering; Geohazard; Marine Sciences</t>
  </si>
  <si>
    <t>Geotechnical Engnineering</t>
  </si>
  <si>
    <t>Research Scientist</t>
  </si>
  <si>
    <t>Statistics and working in the field of seismology</t>
  </si>
  <si>
    <t>Atmospheric Physics; Computer Science; Energy Transformation/Storage; Geohazard; Other</t>
  </si>
  <si>
    <t>Oct 30, 2024, 2:42 PM</t>
  </si>
  <si>
    <t>Oct 30, 2024, 4:56 PM</t>
  </si>
  <si>
    <t>Oct 31, 2024, 9:06 AM</t>
  </si>
  <si>
    <t>University of Salamanca</t>
  </si>
  <si>
    <t>Geotechnic</t>
  </si>
  <si>
    <t>Oct 31, 2024, 12:12 PM</t>
  </si>
  <si>
    <t>Oct 30, 2024, 4:06 PM</t>
  </si>
  <si>
    <t>University of Nigeria</t>
  </si>
  <si>
    <t>Oct 30, 2024, 9:14 PM</t>
  </si>
  <si>
    <t>Oct 23, 2024, 4:42 PM</t>
  </si>
  <si>
    <t>Oct 31, 2024, 10:25 AM</t>
  </si>
  <si>
    <t>Oct 23, 2024, 6:21 PM</t>
  </si>
  <si>
    <t>Environmental Protection; Engineering; Tsunami; Other</t>
  </si>
  <si>
    <t>Oct 31, 2024, 2:28 PM</t>
  </si>
  <si>
    <t>University of Salamanca (Usal)</t>
  </si>
  <si>
    <t>I'm currently studying a masters degree in the University of Salamanca, I would like to focus my future researches on cristalography and/or sismology, so, I guess my "scientific expertise" is just a goal for the moment</t>
  </si>
  <si>
    <t>Unina</t>
  </si>
  <si>
    <t>Site effect , tsunami</t>
  </si>
  <si>
    <t>Oct 31, 2024, 9:38 AM</t>
  </si>
  <si>
    <t>Remote sensing GIS</t>
  </si>
  <si>
    <t>Oct 30, 2024, 3:41 PM</t>
  </si>
  <si>
    <t>Oct 31, 2024, 1:39 PM</t>
  </si>
  <si>
    <t>Oct 30, 2024, 1:44 PM</t>
  </si>
  <si>
    <t>Istituto Nazionale di Geofisica e Vulcanologia (INGV)</t>
  </si>
  <si>
    <t>Geodesy, GIS...</t>
  </si>
  <si>
    <t>Oct 31, 2024, 12:21 PM</t>
  </si>
  <si>
    <t>Undergraduate student</t>
  </si>
  <si>
    <t>4.30.2023 5:20:55</t>
  </si>
  <si>
    <t>Statistical Seismology</t>
  </si>
  <si>
    <t>4.29.2023 4:03:33</t>
  </si>
  <si>
    <t>Graduate student</t>
  </si>
  <si>
    <t>4.29.2023 22:57:03</t>
  </si>
  <si>
    <t>Earthquake detection, location and relocation</t>
  </si>
  <si>
    <t>4.29.2023 2:43:24</t>
  </si>
  <si>
    <t>Artificial intelligence</t>
  </si>
  <si>
    <t>4.29.2023 15:14:39</t>
  </si>
  <si>
    <t>Kappa</t>
  </si>
  <si>
    <t>4.29.2023 13:27:17</t>
  </si>
  <si>
    <t>Professional (e.g., national lab, USGS)</t>
  </si>
  <si>
    <t>N/A - Registering as observer for SCEC.</t>
  </si>
  <si>
    <t>4.28.2023 15:20:02</t>
  </si>
  <si>
    <t>Earthquake Seismology</t>
  </si>
  <si>
    <t>4.28.2023 12:40:20</t>
  </si>
  <si>
    <t>Ground-Motion Seismology</t>
  </si>
  <si>
    <t>4.28.2023 12:33:10</t>
  </si>
  <si>
    <t>CCS, Geothermal energy, Rock Mechanics and seismology</t>
  </si>
  <si>
    <t>4.28.2023 1:49:14</t>
  </si>
  <si>
    <t>Use of HPC in Volcano Simulations</t>
  </si>
  <si>
    <t>4.28.2023 1:05:28</t>
  </si>
  <si>
    <t>Postdoc</t>
  </si>
  <si>
    <t>Earthquake hazards</t>
  </si>
  <si>
    <t>4.27.2023 8:14:19</t>
  </si>
  <si>
    <t>4.27.2023 8:08:49</t>
  </si>
  <si>
    <t>source inversion</t>
  </si>
  <si>
    <t>4.27.2023 7:42:08</t>
  </si>
  <si>
    <t>Physics-based modelling and waveform simulations</t>
  </si>
  <si>
    <t>4.27.2023 7:30:38</t>
  </si>
  <si>
    <t>4.27.2023 7:09:52</t>
  </si>
  <si>
    <t>AI methods for earthquake detection and characterisation, slow slip events, ambient noise tomography and interferometry</t>
  </si>
  <si>
    <t>4.27.2023 6:25:22</t>
  </si>
  <si>
    <t>4.27.2023 5:42:13</t>
  </si>
  <si>
    <t>Earthquake forecasting research and data science</t>
  </si>
  <si>
    <t>4.27.2023 4:27:08</t>
  </si>
  <si>
    <t>Geohazards</t>
  </si>
  <si>
    <t>4.27.2023 4:15:01</t>
  </si>
  <si>
    <t>4.27.2023 22:25:30</t>
  </si>
  <si>
    <t>Regional network seismology</t>
  </si>
  <si>
    <t>4.27.2023 15:19:22</t>
  </si>
  <si>
    <t>Esplosion source modeling and full waveform modeling</t>
  </si>
  <si>
    <t>4.27.2023 11:54:00</t>
  </si>
  <si>
    <t>Precipitation and Landslide Data Analysis</t>
  </si>
  <si>
    <t>4.27.2023 11:09:33</t>
  </si>
  <si>
    <t>Research Scientist, Research Scientist mainly involved in developing IT tools</t>
  </si>
  <si>
    <t>4.27.2023 1:20:46</t>
  </si>
  <si>
    <t>4.26.2023 9:53:37</t>
  </si>
  <si>
    <t>Assistant Professor</t>
  </si>
  <si>
    <t>4.26.2023 9:38:40</t>
  </si>
  <si>
    <t>Structural Geology, Geomechanics, Seismology</t>
  </si>
  <si>
    <t>4.26.2023 9:15:00</t>
  </si>
  <si>
    <t>rock friction and fault stability</t>
  </si>
  <si>
    <t>4.26.2023 8:41:04</t>
  </si>
  <si>
    <t>Ground motion simulation, seismic hazard assessment</t>
  </si>
  <si>
    <t>4.26.2023 8:26:23</t>
  </si>
  <si>
    <t>Seismic Data Management</t>
  </si>
  <si>
    <t>4.26.2023 8:16:22</t>
  </si>
  <si>
    <t>earthquake physics</t>
  </si>
  <si>
    <t>4.26.2023 7:54:30</t>
  </si>
  <si>
    <t>Full Professor</t>
  </si>
  <si>
    <t>Machine leaning and signal processing applied to DAS.</t>
  </si>
  <si>
    <t>4.26.2023 7:41:54</t>
  </si>
  <si>
    <t>4.26.2023 7:27:05</t>
  </si>
  <si>
    <t>Utilizing deep learning to help mitigate natural hazard prediction</t>
  </si>
  <si>
    <t>4.26.2023 7:20:56</t>
  </si>
  <si>
    <t>Machine learning approaches to seismic signal analysis, particularly for volcano research and monitoring.</t>
  </si>
  <si>
    <t>4.26.2023 7:09:07</t>
  </si>
  <si>
    <t>Earthquake dynamic rupture and PSHA</t>
  </si>
  <si>
    <t>4.26.2023 7:08:11</t>
  </si>
  <si>
    <t>4.26.2023 3:05:19</t>
  </si>
  <si>
    <t>Induced earthquake</t>
  </si>
  <si>
    <t>4.26.2023 22:07:37</t>
  </si>
  <si>
    <t>Large-scale computing and signal processing</t>
  </si>
  <si>
    <t>4.26.2023 20:49:25</t>
  </si>
  <si>
    <t>Seismic tomography</t>
  </si>
  <si>
    <t>4.26.2023 19:45:44</t>
  </si>
  <si>
    <t>4.26.2023 18:49:09</t>
  </si>
  <si>
    <t>Seismic Hazard and risk analysis</t>
  </si>
  <si>
    <t>4.26.2023 18:36:25</t>
  </si>
  <si>
    <t>Induced Earthquakes</t>
  </si>
  <si>
    <t>4.26.2023 17:33:23</t>
  </si>
  <si>
    <t>Rupture propagation in geometrically complex strike-slip faults</t>
  </si>
  <si>
    <t>4.26.2023 14:13:12</t>
  </si>
  <si>
    <t>mantle transition zone</t>
  </si>
  <si>
    <t>4.26.2023 13:44:06</t>
  </si>
  <si>
    <t>I'm a SCEC staff member and I'm often involved in research projects involving access to datasets via the web.</t>
  </si>
  <si>
    <t>4.26.2023 11:20:19</t>
  </si>
  <si>
    <t>Senior earthquake modeler at RMS</t>
  </si>
  <si>
    <t>Wave propagation, Ground motion prediction</t>
  </si>
  <si>
    <t>4.26.2023 11:17:52</t>
  </si>
  <si>
    <t>Earthquake and explosion dynamics</t>
  </si>
  <si>
    <t>4.26.2023 11:06:00</t>
  </si>
  <si>
    <t>Broadly, my research involves modeling of ground motion to improve both early warning and seismic hazard estimates. This includes earthquake simulations (mainly using 1D semi-stochastic methodology), as well as modeling site effects for ground motion models.</t>
  </si>
  <si>
    <t>4.26.2023 10:55:03</t>
  </si>
  <si>
    <t>Computational Seismology and ML</t>
  </si>
  <si>
    <t>4.26.2023 10:17:48</t>
  </si>
  <si>
    <t>Computational Seismology - Statistical Seismology</t>
  </si>
  <si>
    <t>4.26.2023 1:15:16</t>
  </si>
  <si>
    <t>Postdoc, Research Scientist</t>
  </si>
  <si>
    <t>4.26.2023 1:08:38</t>
  </si>
  <si>
    <t>deep learning seismology</t>
  </si>
  <si>
    <t>4.25.2023 9:58:07</t>
  </si>
  <si>
    <t>Seismic interferometry with distributed acoustic sensing for monitoring tailings dams</t>
  </si>
  <si>
    <t>4.25.2023 9:55:27</t>
  </si>
  <si>
    <t>4.25.2023 8:59:55</t>
  </si>
  <si>
    <t>Distributed Acoustic Sensing</t>
  </si>
  <si>
    <t>4.25.2023 7:16:33</t>
  </si>
  <si>
    <t>Homogenization of sedimentary basin for seismic risk assessment</t>
  </si>
  <si>
    <t>4.25.2023 6:28:04</t>
  </si>
  <si>
    <t>Velocity Structure Tomography</t>
  </si>
  <si>
    <t>4.25.2023 5:54:02</t>
  </si>
  <si>
    <t>Seismic imaging of the Earth’s mantle</t>
  </si>
  <si>
    <t>4.25.2023 5:49:58</t>
  </si>
  <si>
    <t>seismic hazard and ground motion modelling</t>
  </si>
  <si>
    <t>4.25.2023 3:08:12</t>
  </si>
  <si>
    <t>Seismic site effects</t>
  </si>
  <si>
    <t>4.25.2023 23:54:39</t>
  </si>
  <si>
    <t>Earthquake and tsunami hazard assessment</t>
  </si>
  <si>
    <t>4.25.2023 23:23:40</t>
  </si>
  <si>
    <t>Geophysics (seismoacoustics)</t>
  </si>
  <si>
    <t>4.25.2023 21:35:25</t>
  </si>
  <si>
    <t>Blind source separation in seismic arrays</t>
  </si>
  <si>
    <t>4.25.2023 2:38:12</t>
  </si>
  <si>
    <t>Uncertainty in seismic inversion</t>
  </si>
  <si>
    <t>4.25.2023 2:01:58</t>
  </si>
  <si>
    <t>4.25.2023 17:07:03</t>
  </si>
  <si>
    <t>Creating a microseismicity catalogue of the Alpine Fault in NZ using ML methods</t>
  </si>
  <si>
    <t>4.25.2023 16:39:55</t>
  </si>
  <si>
    <t>Seismic detection and location by back projecting cross-correlated waveforms</t>
  </si>
  <si>
    <t>4.25.2023 16:25:25</t>
  </si>
  <si>
    <t>Studying earthquakes and volcanoes using DAS</t>
  </si>
  <si>
    <t>4.25.2023 14:13:23</t>
  </si>
  <si>
    <t>Seismology focused on enhanced geothermal systems and underground explosions</t>
  </si>
  <si>
    <t>4.25.2023 10:40:04</t>
  </si>
  <si>
    <t>Earthquake seismology and seismic wavefield</t>
  </si>
  <si>
    <t>4.25.2023 10:24:31</t>
  </si>
  <si>
    <t>Graduate student, Research Scientist</t>
  </si>
  <si>
    <t>DAS and dynamic rupture modeling</t>
  </si>
  <si>
    <t>4.25.2023 10:08:12</t>
  </si>
  <si>
    <t>Graduate student, Research Scientist, PhD student</t>
  </si>
  <si>
    <t>4.25.2023 1:58:20</t>
  </si>
  <si>
    <t>Associate Professor</t>
  </si>
  <si>
    <t>Seismic hazard , site effects, seismic risk</t>
  </si>
  <si>
    <t>4.25.2023 1:44:09</t>
  </si>
  <si>
    <t>Observational seismology - using seismic arrays for earthquakes and structure imaging</t>
  </si>
  <si>
    <t>4.25.2023 1:40:44</t>
  </si>
  <si>
    <t>HPC/Seismology</t>
  </si>
  <si>
    <t>4.25.2023 0:33:57</t>
  </si>
  <si>
    <t>GNSS and SSE</t>
  </si>
  <si>
    <t>4.24.2023 9:46:22</t>
  </si>
  <si>
    <t>Earth Structure</t>
  </si>
  <si>
    <t>4.24.2023 9:30:26</t>
  </si>
  <si>
    <t>Seismology, seismic source</t>
  </si>
  <si>
    <t>4.24.2023 9:04:08</t>
  </si>
  <si>
    <t>Seismic sources</t>
  </si>
  <si>
    <t>4.24.2023 8:37:22</t>
  </si>
  <si>
    <t>4.24.2023 8:34:32</t>
  </si>
  <si>
    <t>4.24.2023 8:32:04</t>
  </si>
  <si>
    <t>Elasto-gravity signals</t>
  </si>
  <si>
    <t>4.24.2023 8:06:18</t>
  </si>
  <si>
    <t>Volcano seismology</t>
  </si>
  <si>
    <t>4.24.2023 7:23:36</t>
  </si>
  <si>
    <t>divers</t>
  </si>
  <si>
    <t>Research/analyst engineer</t>
  </si>
  <si>
    <t>Distributed Acoustic Sensing for ocean studies and data management</t>
  </si>
  <si>
    <t>4.24.2023 6:55:24</t>
  </si>
  <si>
    <t>Earthquake source and Tomography</t>
  </si>
  <si>
    <t>4.24.2023 6:40:33</t>
  </si>
  <si>
    <t>scattering, ambient noise, seismology</t>
  </si>
  <si>
    <t>4.24.2023 6:01:49</t>
  </si>
  <si>
    <t>ML in Seismology</t>
  </si>
  <si>
    <t>4.24.2023 5:39:18</t>
  </si>
  <si>
    <t>Using Numerical models and machine learning to characterized induced seismicity in geothermal reservoirs.</t>
  </si>
  <si>
    <t>4.24.2023 5:34:48</t>
  </si>
  <si>
    <t>4.24.2023 5:31:01</t>
  </si>
  <si>
    <t>Dynamic Earthquake Rupture Simulation</t>
  </si>
  <si>
    <t>4.24.2023 5:26:46</t>
  </si>
  <si>
    <t>earthquake forecasting</t>
  </si>
  <si>
    <t>4.24.2023 5:26:34</t>
  </si>
  <si>
    <t>Ground motion simulation</t>
  </si>
  <si>
    <t>4.24.2023 5:24:48</t>
  </si>
  <si>
    <t>Digital Rock Physics</t>
  </si>
  <si>
    <t>4.24.2023 5:16:21</t>
  </si>
  <si>
    <t>OEF, Hazard&amp;Risk</t>
  </si>
  <si>
    <t>4.24.2023 5:15:35</t>
  </si>
  <si>
    <t>Tsunami (DT-GEO)</t>
  </si>
  <si>
    <t>4.24.2023 5:10:57</t>
  </si>
  <si>
    <t>Passive imaging with Distributed Acoustic sensing</t>
  </si>
  <si>
    <t>4.24.2023 4:55:14</t>
  </si>
  <si>
    <t>High-Performance Computing in Seismology</t>
  </si>
  <si>
    <t>4.24.2023 4:54:15</t>
  </si>
  <si>
    <t>Time Reverse Imaging and Ambient Seismic Noise</t>
  </si>
  <si>
    <t>4.24.2023 4:50:39</t>
  </si>
  <si>
    <t>machine learning based earthquake monitoring and forecasting</t>
  </si>
  <si>
    <t>4.24.2023 4:47:53</t>
  </si>
  <si>
    <t>Computational Earthquake Seismology</t>
  </si>
  <si>
    <t>4.24.2023 23:31:01</t>
  </si>
  <si>
    <t>Seismic monitoring for induced seismicity in geothermal energy</t>
  </si>
  <si>
    <t>4.24.2023 22:57:04</t>
  </si>
  <si>
    <t>4.24.2023 22:38:22</t>
  </si>
  <si>
    <t>Real time back-projection</t>
  </si>
  <si>
    <t>4.24.2023 2:59:43</t>
  </si>
  <si>
    <t>DAS &amp; earthquakes</t>
  </si>
  <si>
    <t>4.24.2023 18:58:10</t>
  </si>
  <si>
    <t>Seismology, Geodesy</t>
  </si>
  <si>
    <t>4.24.2023 17:27:15</t>
  </si>
  <si>
    <t>4.24.2023 15:08:50</t>
  </si>
  <si>
    <t>Seismic Tomography with FWI</t>
  </si>
  <si>
    <t>4.24.2023 14:17:23</t>
  </si>
  <si>
    <t>data-driven earthquake science</t>
  </si>
  <si>
    <t>4.24.2023 12:38:44</t>
  </si>
  <si>
    <t>Mining deep earthquake catalogs</t>
  </si>
  <si>
    <t>4.24.2023 12:37:08</t>
  </si>
  <si>
    <t>Apply Ambient Noise tomography in Taiwan , Hydorthermal system monitoring in Yellowstone</t>
  </si>
  <si>
    <t>4.24.2023 12:33:10</t>
  </si>
  <si>
    <t>Machine Learning for Operational Seismology Applications (Alaska Earthquake Center)</t>
  </si>
  <si>
    <t>4.24.2023 12:11:49</t>
  </si>
  <si>
    <t>4.24.2023 11:54:27</t>
  </si>
  <si>
    <t>sesimology</t>
  </si>
  <si>
    <t>4.24.2023 10:43:41</t>
  </si>
  <si>
    <t>4.24.2023 10:43:03</t>
  </si>
  <si>
    <t>4.24.2023 10:42:17</t>
  </si>
  <si>
    <t>4.24.2023 10:42:13</t>
  </si>
  <si>
    <t>Using DAS to to investigate induced seismicity and tectonic earthquakes.</t>
  </si>
  <si>
    <t>4.24.2023 10:39:03</t>
  </si>
  <si>
    <t>Ambient noise tomography</t>
  </si>
  <si>
    <t>4.24.2023 10:33:39</t>
  </si>
  <si>
    <t>4.24.2023 1:46:03</t>
  </si>
  <si>
    <t>Geophysics, spatial/temporal analysis.</t>
  </si>
  <si>
    <t>4.23.2023 8:01:12</t>
  </si>
  <si>
    <t>Seismic hazard and risk assesment</t>
  </si>
  <si>
    <t>4.23.2023 4:17:10</t>
  </si>
  <si>
    <t>4.23.2023 23:31:25</t>
  </si>
  <si>
    <t>Geomechanics</t>
  </si>
  <si>
    <t>4.23.2023 20:06:20</t>
  </si>
  <si>
    <t>Receiver function analysis at arc volcanoes</t>
  </si>
  <si>
    <t>4.23.2023 19:25:32</t>
  </si>
  <si>
    <t>Distributed sening for monitoring subsurface fluid reservoir</t>
  </si>
  <si>
    <t>4.23.2023 17:43:15</t>
  </si>
  <si>
    <t>Passive seismic noise reduction</t>
  </si>
  <si>
    <t>4.23.2023 16:56:23</t>
  </si>
  <si>
    <t>Seismic Imaging of Fault zones and Fault Zone guided waves.</t>
  </si>
  <si>
    <t>4.23.2023 13:54:47</t>
  </si>
  <si>
    <t>Receiver Function, Ambient Noise Tomography , Multi-geo-observable Inversion</t>
  </si>
  <si>
    <t>4.23.2023 13:20:21</t>
  </si>
  <si>
    <t>Receiver function analyses at Arc Volcanoes</t>
  </si>
  <si>
    <t>4.23.2023 0:42:40</t>
  </si>
  <si>
    <t>Volcano Seismology</t>
  </si>
  <si>
    <t>4.22.2023 9:23:19</t>
  </si>
  <si>
    <t>Seismology and electromagnetism</t>
  </si>
  <si>
    <t>4.22.2023 9:01:57</t>
  </si>
  <si>
    <t>Clay shear behaviour and their application in containment design stability</t>
  </si>
  <si>
    <t>4.22.2023 8:34:22</t>
  </si>
  <si>
    <t>Geophysics of MN</t>
  </si>
  <si>
    <t>4.22.2023 8:28:31</t>
  </si>
  <si>
    <t>Earthquake Detection Using Machine Learning, Back-Projection and Matched Filter Methods on Big Data</t>
  </si>
  <si>
    <t>4.22.2023 6:59:10</t>
  </si>
  <si>
    <t>Testing Earthquake Early Warning Systems for New Zealand</t>
  </si>
  <si>
    <t>4.22.2023 6:36:19</t>
  </si>
  <si>
    <t>4.22.2023 5:05:39</t>
  </si>
  <si>
    <t>Building 3D velocity model for Gulf of Alaska</t>
  </si>
  <si>
    <t>4.22.2023 4:30:44</t>
  </si>
  <si>
    <t>Tsunami Modeling</t>
  </si>
  <si>
    <t>4.22.2023 3:44:25</t>
  </si>
  <si>
    <t>I am researching the Critical Zone (very near-subsurface) using dense, large-N nodal arrays</t>
  </si>
  <si>
    <t>4.22.2023 3:14:01</t>
  </si>
  <si>
    <t>Big data Seismology in tomography, and fiber optics.</t>
  </si>
  <si>
    <t>4.22.2023 22:02:32</t>
  </si>
  <si>
    <t>Computational Seismology applied to moment tensor inversions</t>
  </si>
  <si>
    <t>4.22.2023 20:28:26</t>
  </si>
  <si>
    <t>Mantle transition zone, inner core, earthquake source</t>
  </si>
  <si>
    <t>4.22.2023 20:05:09</t>
  </si>
  <si>
    <t>R&amp;D in a private company</t>
  </si>
  <si>
    <t>Applications, forensic seismology, induced &amp;triggered worst case scenario</t>
  </si>
  <si>
    <t>4.22.2023 2:37:06</t>
  </si>
  <si>
    <t>4.22.2023 18:32:37</t>
  </si>
  <si>
    <t>Plate boundary seismicity and structure</t>
  </si>
  <si>
    <t>4.22.2023 17:53:03</t>
  </si>
  <si>
    <t>4.22.2023 17:41:38</t>
  </si>
  <si>
    <t>Signal detection, event location and wave propagation</t>
  </si>
  <si>
    <t>4.22.2023 17:35:25</t>
  </si>
  <si>
    <t>4.22.2023 16:38:11</t>
  </si>
  <si>
    <t>Geodesy/Seismology</t>
  </si>
  <si>
    <t>4.22.2023 15:58:49</t>
  </si>
  <si>
    <t>Time-lapse seismic noise interferometry</t>
  </si>
  <si>
    <t>4.22.2023 15:09:35</t>
  </si>
  <si>
    <t>Slow slip, tremor localization, seismology</t>
  </si>
  <si>
    <t>4.22.2023 14:25:23</t>
  </si>
  <si>
    <t>Earth structure</t>
  </si>
  <si>
    <t>4.22.2023 11:59:08</t>
  </si>
  <si>
    <t>4.22.2023 10:39:19</t>
  </si>
  <si>
    <t>Testing automated earthquake detection methods for southeast New Mexico</t>
  </si>
  <si>
    <t>4.22.2023 10:18:18</t>
  </si>
  <si>
    <t>Seismology/ambient noise correlations</t>
  </si>
  <si>
    <t>4.21.2023 22:51:04</t>
  </si>
  <si>
    <t>Observational Seismology</t>
  </si>
  <si>
    <t>4.21.2023 19:48:31</t>
  </si>
  <si>
    <t>Statistical seismology, earthquake detection</t>
  </si>
  <si>
    <t>4.21.2023 19:16:23</t>
  </si>
  <si>
    <t>Volcano seismicity</t>
  </si>
  <si>
    <t>4.21.2023 18:49:31</t>
  </si>
  <si>
    <t>seismic interferometry, array seismology, numerical simulation of the seismic wavefield, deep learning in seismology</t>
  </si>
  <si>
    <t>4.21.2023 18:38:26</t>
  </si>
  <si>
    <t>Ambient Noise</t>
  </si>
  <si>
    <t>4.21.2023 18:37:20</t>
  </si>
  <si>
    <t>Seismic Tomography</t>
  </si>
  <si>
    <t>4.21.2023 18:33:40</t>
  </si>
  <si>
    <t>Global Seismology</t>
  </si>
  <si>
    <t>4.21.2023 18:20:16</t>
  </si>
  <si>
    <t>Staff</t>
  </si>
  <si>
    <t>Source processes</t>
  </si>
  <si>
    <t>4.21.2023 17:49:55</t>
  </si>
  <si>
    <t>Pn and Sn tomography</t>
  </si>
  <si>
    <t>4.21.2023 17:34:54</t>
  </si>
  <si>
    <t>Research Scientist, Professional (e.g., national lab, USGS), State Geological Survey</t>
  </si>
  <si>
    <t>SEISMOLOGY</t>
  </si>
  <si>
    <t>4.21.2023 16:46:29</t>
  </si>
  <si>
    <t>Rifting and Subsurface Imaging of crust and upper mantle features (using ambient noise tomography and Receiver Functions)</t>
  </si>
  <si>
    <t>4.21.2023 16:40:01</t>
  </si>
  <si>
    <t>Network Operations</t>
  </si>
  <si>
    <t>4.21.2023 16:35:52</t>
  </si>
  <si>
    <t>• Earthquake and volcanic processes, hazard assessment and mitigation</t>
  </si>
  <si>
    <t>4.21.2023 16:32:48</t>
  </si>
  <si>
    <t>DAS, real-time seismology, earthquake source, ambient noise</t>
  </si>
  <si>
    <t>4.21.2023 16:28:09</t>
  </si>
  <si>
    <t>Mantle anisotropy and thermal structures</t>
  </si>
  <si>
    <t>4.21.2023 16:20:09</t>
  </si>
  <si>
    <t>Deep learning for earthquake location and association</t>
  </si>
  <si>
    <t>4.21.2023 16:19:35</t>
  </si>
  <si>
    <t>Geomechanical Inversion</t>
  </si>
  <si>
    <t>4.21.2023 16:18:52</t>
  </si>
  <si>
    <t>Induced seismicity</t>
  </si>
  <si>
    <t>4.21.2023 16:14:22</t>
  </si>
  <si>
    <t>GPS geodesy</t>
  </si>
  <si>
    <t>4.21.2023 16:14:06</t>
  </si>
  <si>
    <t>4.21.2023 15:07:41</t>
  </si>
  <si>
    <t>4.14.2023 11:18:37</t>
  </si>
  <si>
    <t>Earthquake ground motion modelling</t>
  </si>
  <si>
    <t>Strong ground motion simulations</t>
  </si>
  <si>
    <t>Simulation of wave propagation</t>
  </si>
  <si>
    <t>At present, my focus is on comprehending the microseismicity in the Charleston region, which is thought to be aftershocks of the M7 mainshock event that occurred in 1889. To achieve this, I am utilizing a combination of traditional seismology techniques and ML algorithms. In the near future, I plan to conduct research on seismic inversions. Additionally, I am eager to explore how machine learning techniques can be leveraged to enhance early warning systems for seismic activity.</t>
  </si>
  <si>
    <t>Explosion monitoring using seismology and infrasound.</t>
  </si>
  <si>
    <t>Upper plate inelastic deformation</t>
  </si>
  <si>
    <t>Adjoint Tomography</t>
  </si>
  <si>
    <t>Acoustics and Ultraounic inversion</t>
  </si>
  <si>
    <t>Marine Seismology</t>
  </si>
  <si>
    <t>Understanding ambient noise seismology sources</t>
  </si>
  <si>
    <t>ML in earthquake seismology</t>
  </si>
  <si>
    <t>Deep learning on seismological data</t>
  </si>
  <si>
    <t>Ambient Noise Seismology</t>
  </si>
  <si>
    <t>Application of machine learning methods to earthquake seismology</t>
  </si>
  <si>
    <t>Ambient seismic noise</t>
  </si>
  <si>
    <t>Graduate student, PhD Candidate</t>
  </si>
  <si>
    <t>Distributed Acoustig Sensing (DAS) for Seismology</t>
  </si>
  <si>
    <t>volcano seismology</t>
  </si>
  <si>
    <t>physics of earthquakes and ice sheets, using seismology as a tool</t>
  </si>
  <si>
    <t>Nonlinear seismology and Structural Health Monitoring</t>
  </si>
  <si>
    <t>ambient seismic noise analysis, seismic interferometry</t>
  </si>
  <si>
    <t>Geo-INQUIRE website</t>
  </si>
  <si>
    <t>Local earthquake tomography</t>
  </si>
  <si>
    <t>Oct 30, 2024, 8:03 AM</t>
  </si>
  <si>
    <t>Atmospheric Physics; Geohazard; Seismology; Solid Earth; Tsunami; Volcanology</t>
  </si>
  <si>
    <t>Local Earthquake tomography, statistical seismology, Seismic, infrasound and hydroacoustic data analyst</t>
  </si>
  <si>
    <t>Newsletter or website of the Ris (EPOS, ERIC, etc.)</t>
  </si>
  <si>
    <t>GEOAZUR - IRD</t>
  </si>
  <si>
    <t>Geo-INQUIRE mailinglist</t>
  </si>
  <si>
    <t>Oct 15, 2024, 11:41 AM</t>
  </si>
  <si>
    <t>Hannover University</t>
  </si>
  <si>
    <t>Computer Science; Seismology; Tsunami; Volcanology</t>
  </si>
  <si>
    <t>Colleagues</t>
  </si>
  <si>
    <t>Data management</t>
  </si>
  <si>
    <t>Oct 31, 2024, 10:11 AM</t>
  </si>
  <si>
    <t>Oct 15, 2024, 9:13 AM</t>
  </si>
  <si>
    <t>University of Beira Interior</t>
  </si>
  <si>
    <t>Acoustic signal processing</t>
  </si>
  <si>
    <t>Oct 31, 2024, 1:51 PM</t>
  </si>
  <si>
    <t>GEO3BCN</t>
  </si>
  <si>
    <t>Oct 16, 2024, 5:47 PM</t>
  </si>
  <si>
    <t>Oct 15, 2024, 11:37 AM</t>
  </si>
  <si>
    <t>crustal deformation, mostly GNSS</t>
  </si>
  <si>
    <t>Oct 31, 2024, 10:39 AM</t>
  </si>
  <si>
    <t>Oct 30, 2024, 2:49 PM</t>
  </si>
  <si>
    <t>it</t>
  </si>
  <si>
    <t>Oct 31, 2024, 12:50 PM</t>
  </si>
  <si>
    <t>Oct 30, 2024, 3:40 PM</t>
  </si>
  <si>
    <t>IGF PAS</t>
  </si>
  <si>
    <t>Oct 29, 2024, 10:46 AM</t>
  </si>
  <si>
    <t>Université Clermont-Auvergne</t>
  </si>
  <si>
    <t>TUM</t>
  </si>
  <si>
    <t>Oct 15, 2024, 9:58 AM</t>
  </si>
  <si>
    <t>Oct 30, 2024, 3:15 PM</t>
  </si>
  <si>
    <t>Oct 23, 2024, 11:47 AM</t>
  </si>
  <si>
    <t>Oct 16, 2024, 9:09 AM</t>
  </si>
  <si>
    <t>CNRS/OCA</t>
  </si>
  <si>
    <t>engineer</t>
  </si>
  <si>
    <t>Oct 15, 2024, 11:14 AM</t>
  </si>
  <si>
    <t>Oct 23, 2024, 4:23 PM</t>
  </si>
  <si>
    <t>Oct 31, 2024, 10:18 AM</t>
  </si>
  <si>
    <t>Atmospheric Physics; Computer Science; Environmental Protection; Energy Transformation/Storage; Engineering; Marine Sciences; Seismology; Solid Earth; Tsunami; Volcanology</t>
  </si>
  <si>
    <t>Oct 23, 2024, 5:02 PM</t>
  </si>
  <si>
    <t>Universidad de Concepción - Chile</t>
  </si>
  <si>
    <t>Atmospheric Physics; Other</t>
  </si>
  <si>
    <t>GNSS, GNSS-Meteorology, GNSS-Climate</t>
  </si>
  <si>
    <t>Oct 15, 2024, 11:06 AM</t>
  </si>
  <si>
    <t>Laboratory of Biotechnology and Sustainable Development of Natural Resources, Polydisciplinary faculty, Sultan Moulay Slimane University Beni Mellal</t>
  </si>
  <si>
    <t>I am a biologist but I am now a RMA giving support on open science</t>
  </si>
  <si>
    <t>Oct 17, 2024, 10:44 AM</t>
  </si>
  <si>
    <t>Oct 31, 2024, 11:26 AM</t>
  </si>
  <si>
    <t>Oct 30, 2024, 3:07 PM</t>
  </si>
  <si>
    <t>ETHZ/SED</t>
  </si>
  <si>
    <t>Oct 31, 2024, 10:08 AM</t>
  </si>
  <si>
    <t>Faculty of Sciences of the University of Porto</t>
  </si>
  <si>
    <t>Biology</t>
  </si>
  <si>
    <t>Oct 21, 2024, 5:20 PM</t>
  </si>
  <si>
    <t>Interdisciplinary Centre of Marine and Environmental Research</t>
  </si>
  <si>
    <t>Oct 28, 2024, 11:27 AM</t>
  </si>
  <si>
    <t>Hellenic Mediterranean University</t>
  </si>
  <si>
    <t>Oct 15, 2024, 11:24 AM</t>
  </si>
  <si>
    <t>Oct 15, 2024, 11:11 AM</t>
  </si>
  <si>
    <t>Cracow University of Techniligy</t>
  </si>
  <si>
    <t>Architectural and Urban Science</t>
  </si>
  <si>
    <t>Dec 9, 2024, 11:21 AM</t>
  </si>
  <si>
    <t>WP4-CNRS</t>
  </si>
  <si>
    <t>Iscte - Instituto Universitário de Lisboa</t>
  </si>
  <si>
    <r>
      <rPr>
        <rFont val="&quot;Calibri&quot;"/>
        <color rgb="FF000000"/>
        <sz val="8.0"/>
      </rPr>
      <t>Engineering; S</t>
    </r>
    <r>
      <rPr>
        <rFont val="&quot;Calibri&quot;"/>
        <b/>
        <color rgb="FF000000"/>
        <sz val="8.0"/>
      </rPr>
      <t>eismology</t>
    </r>
  </si>
  <si>
    <t>Prof.</t>
  </si>
  <si>
    <t>GFZ Helmholtz Centre</t>
  </si>
  <si>
    <r>
      <rPr>
        <rFont val="&quot;Calibri&quot;"/>
        <color rgb="FF000000"/>
        <sz val="8.0"/>
      </rPr>
      <t xml:space="preserve">Geohazard; Solid Earth; </t>
    </r>
    <r>
      <rPr>
        <rFont val="&quot;Calibri&quot;"/>
        <b/>
        <color rgb="FF000000"/>
        <sz val="8.0"/>
      </rPr>
      <t>Volcanology</t>
    </r>
  </si>
  <si>
    <t>GNSS geodesy</t>
  </si>
  <si>
    <t>prof.</t>
  </si>
  <si>
    <r>
      <rPr>
        <rFont val="&quot;Calibri&quot;"/>
        <b/>
        <color rgb="FF000000"/>
        <sz val="8.0"/>
      </rPr>
      <t>Environmental Protection</t>
    </r>
    <r>
      <rPr>
        <rFont val="&quot;Calibri&quot;"/>
        <color rgb="FF000000"/>
        <sz val="8.0"/>
      </rPr>
      <t>; Engineering</t>
    </r>
  </si>
  <si>
    <t>Geological and Mining Institute of Spain (IGME-CSIC)</t>
  </si>
  <si>
    <t>ACC Cyfronet AGH</t>
  </si>
  <si>
    <r>
      <rPr>
        <rFont val="&quot;Calibri&quot;"/>
        <color rgb="FF000000"/>
        <sz val="8.0"/>
      </rPr>
      <t>Environmental Protection; Geohazard; Marine Sciences;</t>
    </r>
    <r>
      <rPr>
        <rFont val="&quot;Calibri&quot;"/>
        <b/>
        <color rgb="FF000000"/>
        <sz val="8.0"/>
      </rPr>
      <t xml:space="preserve"> Tsunami</t>
    </r>
  </si>
  <si>
    <t>Marine Natural Hazards</t>
  </si>
  <si>
    <t>GFZ Helmholtz-Zentrum für Geoforschung</t>
  </si>
  <si>
    <t>Information Science, Research Data Management</t>
  </si>
  <si>
    <t>INGV. Sezione di Napoli Osservatorio Vesuviano</t>
  </si>
  <si>
    <t>Environmental Protection; Geohazard; Seismology; Volcanology; Other</t>
  </si>
  <si>
    <t>Earthquake Geology</t>
  </si>
  <si>
    <t>INGV ITALY</t>
  </si>
  <si>
    <t>Institute of Earthquake Engineering and Engineering Seismology, Skopje</t>
  </si>
  <si>
    <t>Earthquake engineering, Seismic Hazard assessment, Seismic Risk Assessment</t>
  </si>
  <si>
    <t>Atmospheric Physics; Solid Earth</t>
  </si>
  <si>
    <t>Geotechnical Eng.</t>
  </si>
  <si>
    <t>Dec 13, 2024, 1:11 AM</t>
  </si>
  <si>
    <t>Institute of GeoSciences, Polytechnic University of Tirana.</t>
  </si>
  <si>
    <t>Atmospheric Physics; Geohazard; Marine Sciences; Solid Earth</t>
  </si>
  <si>
    <t>Barcelona supercomputing center</t>
  </si>
  <si>
    <t>astrophysics</t>
  </si>
  <si>
    <t>Dec 13, 2024, 1:57 PM</t>
  </si>
  <si>
    <t>Research data management</t>
  </si>
  <si>
    <t>GFZ Helmholtz Zentrum für Geoforschung</t>
  </si>
  <si>
    <t>Ss. Cyril and Methodius University, Institute of Earthquake Engineering and Engineering Seismology, IZIIS, Skopje, Republic of North Macedonia</t>
  </si>
  <si>
    <t>management</t>
  </si>
  <si>
    <t>Dec 4, 2024, 4:37 PM</t>
  </si>
  <si>
    <t>Mar 18, 2025, 3:58 AM</t>
  </si>
  <si>
    <t>NEAMTWS member</t>
  </si>
  <si>
    <t>Mar 26, 2025, 10:02 AM</t>
  </si>
  <si>
    <t>Newsletter or website of European Research Infrastructure Consortium (EPOS ERIC, ECCSEL ERIC, EMSO ERIC, e.g.)</t>
  </si>
  <si>
    <t>Atmospheric Physics; Marine Sciences; Tsunami</t>
  </si>
  <si>
    <t>Mar 21, 2025, 2:40 PM</t>
  </si>
  <si>
    <t>Mar 20, 2025, 8:56 AM</t>
  </si>
  <si>
    <t>Institute of Geodynamics, National Observatory of Athens</t>
  </si>
  <si>
    <t>Mar 11, 2025, 4:52 PM</t>
  </si>
  <si>
    <t>Mar 18, 2025, 12:40 PM</t>
  </si>
  <si>
    <t>University of Split, Faculty of Science</t>
  </si>
  <si>
    <t>Mar 17, 2025, 9:23 AM</t>
  </si>
  <si>
    <r>
      <rPr>
        <rFont val="Calibri"/>
        <b/>
        <color theme="1"/>
      </rPr>
      <t>Geohazard</t>
    </r>
    <r>
      <rPr>
        <rFont val="Calibri"/>
        <color theme="1"/>
      </rPr>
      <t>; Seismology; Tsunami</t>
    </r>
  </si>
  <si>
    <t>Mar 18, 2025, 10:10 AM</t>
  </si>
  <si>
    <t>Direccion General Marítima DIMAR</t>
  </si>
  <si>
    <t>Mar 11, 2025, 9:59 PM</t>
  </si>
  <si>
    <t>DIMAR</t>
  </si>
  <si>
    <t>Mar 11, 2025, 9:32 PM</t>
  </si>
  <si>
    <t>Mar 11, 2025, 12:46 PM</t>
  </si>
  <si>
    <t>Mar 20, 2025, 2:12 PM</t>
  </si>
  <si>
    <r>
      <rPr>
        <rFont val="Calibri"/>
        <b/>
        <color theme="1"/>
      </rPr>
      <t>Environmental Protectio</t>
    </r>
    <r>
      <rPr>
        <rFont val="Calibri"/>
        <color theme="1"/>
      </rPr>
      <t>n; Engineering; Marine Sciences</t>
    </r>
  </si>
  <si>
    <t>Mar 11, 2025, 9:38 AM</t>
  </si>
  <si>
    <t>Instituto Geográfico Nacional (IGN)</t>
  </si>
  <si>
    <t>Mar 11, 2025, 7:40 AM</t>
  </si>
  <si>
    <t>Mar 18, 2025, 12:05 PM</t>
  </si>
  <si>
    <t>INGV Rome</t>
  </si>
  <si>
    <t>oceanogrpher</t>
  </si>
  <si>
    <t>Mar 26, 2025, 10:01 AM</t>
  </si>
  <si>
    <t>Hong Kong Observatory</t>
  </si>
  <si>
    <t>Atmospheric Physics; Tsunami</t>
  </si>
  <si>
    <t>Mar 17, 2025, 2:35 AM</t>
  </si>
  <si>
    <t>Mar 11, 2025, 1:14 PM</t>
  </si>
  <si>
    <t>Shom</t>
  </si>
  <si>
    <t>Mar 11, 2025, 10:15 PM</t>
  </si>
  <si>
    <t>CEA</t>
  </si>
  <si>
    <t>Mar 11, 2025, 1:44 PM</t>
  </si>
  <si>
    <t>Seismology and seismic hazard</t>
  </si>
  <si>
    <t>Mar 11, 2025, 1:04 PM</t>
  </si>
  <si>
    <t>Boğaziçi University KOERI RETMC</t>
  </si>
  <si>
    <t>Marine Sciences; Seismology; Tsunami; Other</t>
  </si>
  <si>
    <t>Mar 24, 2025, 2:32 PM</t>
  </si>
  <si>
    <t>Computer Science; Environmental Protection; Geohazard; Marine Sciences; Seismology; Tsunami</t>
  </si>
  <si>
    <t>Mar 24, 2025, 11:48 AM</t>
  </si>
  <si>
    <t>GFZ Helmholtz Centre for Geosciences</t>
  </si>
  <si>
    <t>Mar 25, 2025, 1:01 PM</t>
  </si>
  <si>
    <t>UN</t>
  </si>
  <si>
    <t>Mar 18, 2025, 4:17 AM</t>
  </si>
  <si>
    <t>Pgysics, geohazards, seismic and strong motion analysis.</t>
  </si>
  <si>
    <t>Mar 11, 2025, 9:46 AM</t>
  </si>
  <si>
    <t>Mar 18, 2025, 10:38 AM</t>
  </si>
  <si>
    <t>Mar 18, 2025, 8:18 AM</t>
  </si>
  <si>
    <t>Mar 21, 2025, 2:11 PM</t>
  </si>
  <si>
    <t>Mar 11, 2025, 8:55 AM</t>
  </si>
  <si>
    <t>National Oceanography Centre</t>
  </si>
  <si>
    <t>Mar 25, 2025, 3:36 PM</t>
  </si>
  <si>
    <t>Mar 25, 2025, 4:52 PM</t>
  </si>
  <si>
    <t>Coastal Engineering</t>
  </si>
  <si>
    <t>Mar 25, 2025, 10:24 PM</t>
  </si>
  <si>
    <t>Section 1.1 Space Geodetic Techniques, GFZ Helmholtz Centre for Geosciences</t>
  </si>
  <si>
    <t>real-time GNSS</t>
  </si>
  <si>
    <t>Mar 21, 2025, 10:06 AM</t>
  </si>
  <si>
    <t>Mar 11, 2025, 2:16 PM</t>
  </si>
  <si>
    <t>Mar 25, 2025, 4:58 PM</t>
  </si>
  <si>
    <t>ECCC</t>
  </si>
  <si>
    <t>Mar 11, 2025, 10:38 AM</t>
  </si>
  <si>
    <t>Mar 13, 2025, 2:50 PM</t>
  </si>
  <si>
    <t>Mar 18, 2025, 11:39 AM</t>
  </si>
  <si>
    <t>Mar 26, 2025, 9:06 AM</t>
  </si>
  <si>
    <t>INCOIS</t>
  </si>
  <si>
    <t>Mar 17, 2025, 6:48 AM</t>
  </si>
  <si>
    <t>Atmospheric Physics; Environmental Protection; Engineering; Marine Sciences; Tsunami</t>
  </si>
  <si>
    <t>Mar 24, 2025, 12:41 PM</t>
  </si>
  <si>
    <t>Environmental Protection; Geohazard; Marine Sciences; Tsunami</t>
  </si>
  <si>
    <t>Marine Natural Hazards and Remote Sensing</t>
  </si>
  <si>
    <t>National Marine Environmental Forecasting Center</t>
  </si>
  <si>
    <t>Mar 12, 2025, 1:30 AM</t>
  </si>
  <si>
    <t>IO-BAS</t>
  </si>
  <si>
    <t>Mar 11, 2025, 10:40 PM</t>
  </si>
  <si>
    <r>
      <rPr>
        <rFont val="Calibri"/>
        <b/>
        <color theme="1"/>
      </rPr>
      <t xml:space="preserve">Geodesy </t>
    </r>
    <r>
      <rPr>
        <rFont val="Calibri"/>
        <color theme="1"/>
      </rPr>
      <t>- Sea level</t>
    </r>
  </si>
  <si>
    <t>Mar 18, 2025, 2:20 PM</t>
  </si>
  <si>
    <t>Maldives Space Research Organisation</t>
  </si>
  <si>
    <t>Coastal engineering/management/science</t>
  </si>
  <si>
    <t>Mar 16, 2025, 9:29 AM</t>
  </si>
  <si>
    <t>Mar 26, 2025, 10:06 AM</t>
  </si>
  <si>
    <t>Italian Institute for Environmental Protection and Research</t>
  </si>
  <si>
    <t>Environmental Protection; Marine Sciences; Tsunami</t>
  </si>
  <si>
    <t>Mar 11, 2025, 10:57 AM</t>
  </si>
  <si>
    <t>NOAA/NESDIS/NCEI</t>
  </si>
  <si>
    <t>Atmospheric Physics; Environmental Protection; Geohazard; Marine Sciences; Tsunami</t>
  </si>
  <si>
    <t>Mar 11, 2025, 12:31 AM</t>
  </si>
  <si>
    <t>Scientist</t>
  </si>
  <si>
    <t>Computer Science; Geohazard; Marine Sciences; Tsunami</t>
  </si>
  <si>
    <t>Mar 11, 2025, 5:46 AM</t>
  </si>
  <si>
    <t>NOAA</t>
  </si>
  <si>
    <t>Computer Science; Geohazard; Marine Sciences; Seismology; Tsunami</t>
  </si>
  <si>
    <t>tsunami</t>
  </si>
  <si>
    <t>Mar 13, 2025, 1:24 AM</t>
  </si>
  <si>
    <t>UNESCO-IOC</t>
  </si>
  <si>
    <t>Mar 11, 2025, 2:58 PM</t>
  </si>
  <si>
    <t>IPMA - Portuguese Institute for Sea and Atmosphere</t>
  </si>
  <si>
    <t>Mar 11, 2025, 5:34 PM</t>
  </si>
  <si>
    <t>Mar 24, 2025, 2:26 PM</t>
  </si>
  <si>
    <t>Mar 13, 2025, 5:37 PM</t>
  </si>
  <si>
    <t>Mar 13, 2025, 5:40 PM</t>
  </si>
  <si>
    <t>NIGGG - BAS</t>
  </si>
  <si>
    <t>Mar 11, 2025, 7:46 AM</t>
  </si>
  <si>
    <t>University of Washington</t>
  </si>
  <si>
    <t>Mar 14, 2025, 5:32 AM</t>
  </si>
  <si>
    <t>Mar 11, 2025, 1:49 PM</t>
  </si>
  <si>
    <t>data analysisis, tide gauge data processing and quality control</t>
  </si>
  <si>
    <t>Mar 12, 2025, 10:22 AM</t>
  </si>
  <si>
    <t>LDG Tahiti / CPPT</t>
  </si>
  <si>
    <t>Computer Science; Seismology; Tsunami</t>
  </si>
  <si>
    <t>Tsunami Warning Center for French Polynesia</t>
  </si>
  <si>
    <t>Mar 11, 2025, 2:07 AM</t>
  </si>
  <si>
    <t>Mar 22, 2025, 12:46 PM</t>
  </si>
  <si>
    <t>Stefan Riha (Independent Subcontractor)</t>
  </si>
  <si>
    <t>Mar 11, 2025, 10:42 AM</t>
  </si>
  <si>
    <t>Computer Science; Seismology; Solid Earth; Tsunami; Volcanology</t>
  </si>
  <si>
    <t>Mar 18, 2025, 11:45 AM</t>
  </si>
  <si>
    <t>Mar 11, 2025, 1:21 PM</t>
  </si>
  <si>
    <t>Hydrographic and Oceanograhic Service of Chilean Navy</t>
  </si>
  <si>
    <t>Atmospheric Physics; Computer Science; Marine Sciences</t>
  </si>
  <si>
    <t>Hidrodinamic Modelation CROCO, ADCIRC, Data quality control</t>
  </si>
  <si>
    <t>Mar 23, 2025, 9:05 PM</t>
  </si>
  <si>
    <t>Central American Tsunami Advisory Center</t>
  </si>
  <si>
    <t>Geohazard; Seismology; Tsunami; Volcanology</t>
  </si>
  <si>
    <t>Mar 17, 2025, 7:12 PM</t>
  </si>
  <si>
    <t>Mar 12, 2025, 8:17 AM</t>
  </si>
  <si>
    <t>CATAC</t>
  </si>
  <si>
    <t>Computer Science; Engineering; Geohazard; Seismology; Tsunami; Volcanology</t>
  </si>
  <si>
    <t>IT</t>
  </si>
  <si>
    <t>LIENSs</t>
  </si>
  <si>
    <t>sea level</t>
  </si>
  <si>
    <t>Mar 11, 2025, 10:34 PM</t>
  </si>
  <si>
    <t>Atmospheric Physics; Computer Science; Engineering; Marine Sciences; Seismology; Tsunami</t>
  </si>
  <si>
    <t>Mar 11, 2025, 9:30 AM</t>
  </si>
  <si>
    <t>Mar 17, 2025, 2:45 AM</t>
  </si>
  <si>
    <t>Mar 24, 2025, 9:15 AM</t>
  </si>
  <si>
    <t>Mar 19, 2025, 8:09 AM</t>
  </si>
  <si>
    <t>Paris Lodron Universiy Salzburg</t>
  </si>
  <si>
    <t>Mar 18, 2025, 9:41 PM</t>
  </si>
  <si>
    <t>Mar 11, 2025, 12:37 PM</t>
  </si>
  <si>
    <t>Mar 11, 2025, 5:18 PM</t>
  </si>
  <si>
    <t>Humboldt University Berlin</t>
  </si>
  <si>
    <t>Environmental Protection; Energy Transformation/Storage; Other</t>
  </si>
  <si>
    <t>Mar 20, 2025, 12:06 AM</t>
  </si>
  <si>
    <t>Channel Coastal Observatory</t>
  </si>
  <si>
    <t>Mar 11, 2025, 9:36 AM</t>
  </si>
  <si>
    <t>Communication</t>
  </si>
  <si>
    <t>NOAA/NWS?PTWC</t>
  </si>
  <si>
    <t>Mar 11, 2025, 12:09 AM</t>
  </si>
  <si>
    <t>La Rochelle University</t>
  </si>
  <si>
    <t>Mar 17, 2025, 7:02 PM</t>
  </si>
  <si>
    <t>Mar 18, 2025, 12:31 PM</t>
  </si>
  <si>
    <t>Institute of Oceanography and Fisheries</t>
  </si>
  <si>
    <t>Atmospheric Physics; Geohazard; Marine Sciences</t>
  </si>
  <si>
    <t>Mar 25, 2025, 11:50 AM</t>
  </si>
  <si>
    <r>
      <rPr>
        <rFont val="&quot;Calibri&quot;"/>
        <color rgb="FF000000"/>
        <sz val="8.0"/>
      </rPr>
      <t xml:space="preserve">Solid Earth; </t>
    </r>
    <r>
      <rPr>
        <rFont val="&quot;Calibri&quot;"/>
        <b/>
        <color rgb="FF000000"/>
        <sz val="8.0"/>
      </rPr>
      <t>Volcanology</t>
    </r>
  </si>
  <si>
    <t>Mar 18, 2025, 4:11 AM</t>
  </si>
  <si>
    <t>Bakrie University</t>
  </si>
  <si>
    <t>Seismic tomography; Seismic, hydroacoustic and infrasound analyst; historical seismology</t>
  </si>
  <si>
    <r>
      <rPr>
        <rFont val="&quot;Calibri&quot;"/>
        <b/>
        <color rgb="FF000000"/>
        <sz val="8.0"/>
      </rPr>
      <t xml:space="preserve">Environmental Protection; Geohazard; </t>
    </r>
    <r>
      <rPr>
        <rFont val="&quot;Calibri&quot;"/>
        <color rgb="FF000000"/>
        <sz val="8.0"/>
      </rPr>
      <t>Seismology</t>
    </r>
  </si>
  <si>
    <t>International Research Institute of Disaster Science</t>
  </si>
  <si>
    <t>Risk Assessment</t>
  </si>
  <si>
    <t>U. De Chile</t>
  </si>
  <si>
    <t>Coastal Geography</t>
  </si>
  <si>
    <t>Mar 30, 2025, 9:31 PM</t>
  </si>
  <si>
    <t>Pontificia Universidad Católica de Chile</t>
  </si>
  <si>
    <t>Environmental Protection; Geohazard; Seismology; Tsunami</t>
  </si>
  <si>
    <t>Mar 30, 2025, 9:52 PM</t>
  </si>
  <si>
    <t>Arcas</t>
  </si>
  <si>
    <t>Mar 3, 2025, 10:58 AM</t>
  </si>
  <si>
    <t>Tsunami and Disaster Mitigation Research Center (TDMRC), Universitas Syiah Kuala, Jl. Hamzah Fansuri No. 8, Darussalam, Banda Aceh, INDONESIA</t>
  </si>
  <si>
    <t>Computer Science; Engineering; Marine Sciences; Tsunami</t>
  </si>
  <si>
    <t>Banaras Hindu University</t>
  </si>
  <si>
    <t>Mar 17, 2025, 10:34 PM</t>
  </si>
  <si>
    <t>Adana Science &amp; Technology University</t>
  </si>
  <si>
    <t>Analytical and numerical modeling of tsunamis</t>
  </si>
  <si>
    <t>OGS, UDINE,ITALY</t>
  </si>
  <si>
    <r>
      <rPr>
        <rFont val="&quot;Calibri&quot;"/>
        <color rgb="FF000000"/>
        <sz val="8.0"/>
      </rPr>
      <t>Geohazard; M</t>
    </r>
    <r>
      <rPr>
        <rFont val="&quot;Calibri&quot;"/>
        <b/>
        <color rgb="FF000000"/>
        <sz val="8.0"/>
      </rPr>
      <t>arine Sciences</t>
    </r>
    <r>
      <rPr>
        <rFont val="&quot;Calibri&quot;"/>
        <color rgb="FF000000"/>
        <sz val="8.0"/>
      </rPr>
      <t>; Seismology; Solid Earth; Tsunami</t>
    </r>
  </si>
  <si>
    <t>ISMER</t>
  </si>
  <si>
    <t>Marine geology: Tracking the sedimentary signature of landslides in subduction zone (Lesser Antilles, New Zealand, Japan) to better assess geohazards (tsunami, earthquake, volcano flank-collapse events, etc.)</t>
  </si>
  <si>
    <t>Mar 18, 2025, 10:45 AM</t>
  </si>
  <si>
    <t>Universidad Nacional Costa Rica</t>
  </si>
  <si>
    <t>Marine Sciences; Tsunami; Other</t>
  </si>
  <si>
    <t>DRR, Climate and Meteorology</t>
  </si>
  <si>
    <t>HPC</t>
  </si>
  <si>
    <t>Computer Science; Environmental Protection; Engineering; Marine Sciences; Tsunami</t>
  </si>
  <si>
    <t>Carleton University</t>
  </si>
  <si>
    <t>Civil/ Structures</t>
  </si>
  <si>
    <t>OGS</t>
  </si>
  <si>
    <t>Mar 31, 2025, 1:01 PM</t>
  </si>
  <si>
    <t>Mar 17, 2025, 10:08 PM</t>
  </si>
  <si>
    <t>Mar 18, 2025, 8:45 AM</t>
  </si>
  <si>
    <t>IGEO, PUT</t>
  </si>
  <si>
    <t>Mar 18, 2025, 12:01 AM</t>
  </si>
  <si>
    <t>Geosciences Barcelona (CSIC)</t>
  </si>
  <si>
    <t>Lithospheric-scale models</t>
  </si>
  <si>
    <t>Universidad Andrés Bello</t>
  </si>
  <si>
    <t>Computer Science; Engineering; Geohazard; Solid Earth; Tsunami</t>
  </si>
  <si>
    <t>Mar 13, 2025, 5:46 PM</t>
  </si>
  <si>
    <t>University of the Philippines Resilience Institute - Nationwide Operational Assessment of Hazards (UPRI-NOAH) Center</t>
  </si>
  <si>
    <t>Geosciences laboratory, Department of Geology, Faculty of Sciences, Mohammed V University in Rabat</t>
  </si>
  <si>
    <t>Mar 31, 2025, 3:06 AM</t>
  </si>
  <si>
    <t>Earthquakes</t>
  </si>
  <si>
    <t>Mar 24, 2025, 6:21 PM</t>
  </si>
  <si>
    <t>Politeknik Negeri Lhokseumawe</t>
  </si>
  <si>
    <t>Instituto Geológico y Minero de España (IGME-CSIC)</t>
  </si>
  <si>
    <t>Iuss pavia</t>
  </si>
  <si>
    <t>Floods and landslides</t>
  </si>
  <si>
    <t>Mar 31, 2025, 9:21 AM</t>
  </si>
  <si>
    <t>Ministry of Interior Disaster and Emergency Management Presidency(AFAD)</t>
  </si>
  <si>
    <t>Tsunami and Disaster Mitigation Research Center (TDMRC), Universitas Syiah Kuala, Banda Aceh, Indonesia</t>
  </si>
  <si>
    <t>Boğaziçi University- Kandilli Observatory and Earthquake Research Center</t>
  </si>
  <si>
    <t>Scripps Institution of Oceanography, UCSD</t>
  </si>
  <si>
    <t>us geological survey</t>
  </si>
  <si>
    <t>paleoseosmology and sediment transport</t>
  </si>
  <si>
    <t>Mar 6, 2025, 7:37 PM</t>
  </si>
  <si>
    <t>National Institute of Oceanography IOLR</t>
  </si>
  <si>
    <t>Physical Oceanograaphy</t>
  </si>
  <si>
    <t>Instituto de Geografía, Universidad Nacional Autónoma de México</t>
  </si>
  <si>
    <t>landslide mapping and modeling</t>
  </si>
  <si>
    <t>Geohazard; Marine Sciences; Tsunami; Other</t>
  </si>
  <si>
    <t>Institute of Geosciences, Goethe-University Frankfurt</t>
  </si>
  <si>
    <t>Mar 27, 2025, 2:31 AM</t>
  </si>
  <si>
    <t>University of Alicante</t>
  </si>
  <si>
    <t>Mar 25, 2025, 7:31 PM</t>
  </si>
  <si>
    <t>University of Silesia</t>
  </si>
  <si>
    <t>ICM-CSIC</t>
  </si>
  <si>
    <t>Mar 28, 2025, 12:55 PM</t>
  </si>
  <si>
    <t>Technical University of Munich</t>
  </si>
  <si>
    <t>Computational Science And Engineering</t>
  </si>
  <si>
    <t>JADRANKA MIHALJEVIC</t>
  </si>
  <si>
    <t>ML</t>
  </si>
  <si>
    <t>Gadjah Mada University</t>
  </si>
  <si>
    <t>Computer Science; Geohazard; Marine Sciences; Seismology; Tsunami; Other</t>
  </si>
  <si>
    <t>Mar 21, 2025, 2:12 PM</t>
  </si>
  <si>
    <t>Universidad Autónoma de Madrid</t>
  </si>
  <si>
    <t>Environmental Protection; Geohazard; Tsunami; Other</t>
  </si>
  <si>
    <t>Geografía</t>
  </si>
  <si>
    <t>Mar 15, 2025, 2:14 PM</t>
  </si>
  <si>
    <t>MoDNR</t>
  </si>
  <si>
    <t>Mar 31, 2025, 5:34 AM</t>
  </si>
  <si>
    <t>Faculty of sciences and techniques</t>
  </si>
  <si>
    <t>Faculty of Sciences and Techniques of Tangier, Abdelmaled Essaadi university</t>
  </si>
  <si>
    <t>IHCANTABRIA</t>
  </si>
  <si>
    <t>Universidad de Granada</t>
  </si>
  <si>
    <t>Solid Earth; Volcanology; Other</t>
  </si>
  <si>
    <t>Marine Geology, Structural Geology, Active Seismology</t>
  </si>
  <si>
    <t>Mar 6, 2025, 7:53 PM</t>
  </si>
  <si>
    <t>IIT roorkee</t>
  </si>
  <si>
    <t>Marine Sciences; Seismology; Tsunami</t>
  </si>
  <si>
    <t>Mar 24, 2025, 8:50 PM</t>
  </si>
  <si>
    <t>University of Málaga</t>
  </si>
  <si>
    <t>Mar 3, 2025, 4:45 PM</t>
  </si>
  <si>
    <t>Universitas Bakrie</t>
  </si>
  <si>
    <t>University of the Philippines Resilience Institute</t>
  </si>
  <si>
    <t>Concrete petrography</t>
  </si>
  <si>
    <t>TDMRC Syiah Kuala University</t>
  </si>
  <si>
    <t>Mar 30, 2025, 11:26 PM</t>
  </si>
  <si>
    <t>UP Resilience Institute</t>
  </si>
  <si>
    <t>Environmental Protection; Engineering; Geohazard; Seismology</t>
  </si>
  <si>
    <t>Memorial University</t>
  </si>
  <si>
    <t>Indian National Centre for Ocean Information Services</t>
  </si>
  <si>
    <t>Mar 17, 2025, 8:53 AM</t>
  </si>
  <si>
    <t>Engineering Company</t>
  </si>
  <si>
    <t>Mar 26, 2025, 12:51 PM</t>
  </si>
  <si>
    <t>SINAMOT Costa Rica</t>
  </si>
  <si>
    <t>Fluid mechanics</t>
  </si>
  <si>
    <t>Geohazard; Seismology; Solid Earth; Tsunami; Volcanology</t>
  </si>
  <si>
    <t>Abdul Wali Khan University Mardan</t>
  </si>
  <si>
    <t>Department of Geology, Savitribai Phule Pune University, Pune, India</t>
  </si>
  <si>
    <t>Environmental Protection; Geohazard; Seismology</t>
  </si>
  <si>
    <t>Mar 20, 2025, 8:33 AM</t>
  </si>
  <si>
    <t>UniNa</t>
  </si>
  <si>
    <t>Mar 30, 2025, 9:39 PM</t>
  </si>
  <si>
    <t>Mar 19, 2025, 3:02 PM</t>
  </si>
  <si>
    <t>Universtas Bakrie</t>
  </si>
  <si>
    <t>Mar 7, 2025, 8:21 AM</t>
  </si>
  <si>
    <t>UAB</t>
  </si>
  <si>
    <r>
      <rPr>
        <rFont val="&quot;Calibri&quot;"/>
        <color rgb="FF000000"/>
        <sz val="8.0"/>
      </rPr>
      <t xml:space="preserve">Environmental Science and </t>
    </r>
    <r>
      <rPr>
        <rFont val="&quot;Calibri&quot;"/>
        <b/>
        <color rgb="FF000000"/>
        <sz val="8.0"/>
      </rPr>
      <t>Geology</t>
    </r>
    <r>
      <rPr>
        <rFont val="&quot;Calibri&quot;"/>
        <color rgb="FF000000"/>
        <sz val="8.0"/>
      </rPr>
      <t xml:space="preserve"> (general)</t>
    </r>
  </si>
  <si>
    <t>GEOMAR Helmholtz-Centre for Ocean Research Kiel</t>
  </si>
  <si>
    <t>Rock deformation</t>
  </si>
  <si>
    <t>Mar 31, 2025, 9:30 PM</t>
  </si>
  <si>
    <t>Universidade Beira Interior</t>
  </si>
  <si>
    <t>Mar 18, 2025, 12:13 PM</t>
  </si>
  <si>
    <t>NCI/ANU</t>
  </si>
  <si>
    <t>Mar 18, 2025, 9:36 AM</t>
  </si>
  <si>
    <t>DKFZ</t>
  </si>
  <si>
    <t>Geothermal</t>
  </si>
  <si>
    <t>Mar 19, 2025, 10:02 AM</t>
  </si>
  <si>
    <t>INGV/EPOS</t>
  </si>
  <si>
    <r>
      <rPr>
        <rFont val="&quot;Calibri&quot;"/>
        <b/>
        <color rgb="FF000000"/>
        <sz val="8.0"/>
      </rPr>
      <t>Engineering;</t>
    </r>
    <r>
      <rPr>
        <rFont val="&quot;Calibri&quot;"/>
        <color rgb="FF000000"/>
        <sz val="8.0"/>
      </rPr>
      <t xml:space="preserve"> Geohazard</t>
    </r>
  </si>
  <si>
    <t>Mar 18, 2025, 11:34 AM</t>
  </si>
  <si>
    <r>
      <rPr>
        <rFont val="&quot;Calibri&quot;"/>
        <b/>
        <color rgb="FF000000"/>
        <sz val="8.0"/>
      </rPr>
      <t>Volcanology</t>
    </r>
    <r>
      <rPr>
        <rFont val="&quot;Calibri&quot;"/>
        <color rgb="FF000000"/>
        <sz val="8.0"/>
      </rPr>
      <t>; Other</t>
    </r>
  </si>
  <si>
    <t>Mar 17, 2025, 9:39 PM</t>
  </si>
  <si>
    <t>Mar 17, 2025, 9:07 PM</t>
  </si>
  <si>
    <t>Mar 18, 2025, 10:21 AM</t>
  </si>
  <si>
    <t>Universidade da Beira Interior</t>
  </si>
  <si>
    <t>Mar 18, 2025, 4:13 PM</t>
  </si>
  <si>
    <t>Mar 21, 2025, 1:22 PM</t>
  </si>
  <si>
    <t>Mar 17, 2025, 7:01 PM</t>
  </si>
  <si>
    <t>IG PAS</t>
  </si>
  <si>
    <t>Mar 13, 2025, 12:35 PM</t>
  </si>
  <si>
    <r>
      <rPr>
        <rFont val="&quot;Calibri&quot;"/>
        <b/>
        <color rgb="FF000000"/>
        <sz val="8.0"/>
      </rPr>
      <t>Atmospheric Physics</t>
    </r>
    <r>
      <rPr>
        <rFont val="&quot;Calibri&quot;"/>
        <color rgb="FF000000"/>
        <sz val="8.0"/>
      </rPr>
      <t>; Solid Earth; Other</t>
    </r>
  </si>
  <si>
    <t>GNSS, Water Vapour, Meteorology, Climate</t>
  </si>
  <si>
    <t>Mar 18, 2025, 9:04 AM</t>
  </si>
  <si>
    <t>Mar 18, 2025, 10:20 AM</t>
  </si>
  <si>
    <r>
      <rPr>
        <rFont val="&quot;Calibri&quot;"/>
        <color rgb="FF000000"/>
        <sz val="8.0"/>
      </rPr>
      <t xml:space="preserve">Geohazard; Seismology; </t>
    </r>
    <r>
      <rPr>
        <rFont val="&quot;Calibri&quot;"/>
        <b/>
        <color rgb="FF000000"/>
        <sz val="8.0"/>
      </rPr>
      <t>Tsunami</t>
    </r>
  </si>
  <si>
    <t>Mar 20, 2025, 10:39 AM</t>
  </si>
  <si>
    <t>Mar 18, 2025, 9:40 AM</t>
  </si>
  <si>
    <t>BRGM - French Geological Survey</t>
  </si>
  <si>
    <t>Geoscientific Information Systems</t>
  </si>
  <si>
    <t>Mar 18, 2025, 6:30 PM</t>
  </si>
  <si>
    <t>University of Ferrara</t>
  </si>
  <si>
    <t>Geological Institute of Romania</t>
  </si>
  <si>
    <t>Postdoctoral researcher</t>
  </si>
  <si>
    <t>UTCB &amp; INCD URBAN-INCERC</t>
  </si>
  <si>
    <t>ACK Cyfronet AGH</t>
  </si>
  <si>
    <t>Ro</t>
  </si>
  <si>
    <t>IGF PAN</t>
  </si>
  <si>
    <t>BIG</t>
  </si>
  <si>
    <t>Croatian Seismological Survey, Department of Geophysics, Faculty of Science, University of Zagreb</t>
  </si>
  <si>
    <t>Sofia University</t>
  </si>
  <si>
    <t>Univ. of the Aegean</t>
  </si>
  <si>
    <t>AFAD</t>
  </si>
  <si>
    <t>TCS AH</t>
  </si>
  <si>
    <t>Δήμος Μυτιλήνης</t>
  </si>
  <si>
    <t>LMV</t>
  </si>
  <si>
    <t>GREEK</t>
  </si>
  <si>
    <t>Maritime University of Szczecin</t>
  </si>
  <si>
    <t>IHMS</t>
  </si>
  <si>
    <t>Wrocław University of Science and Technology</t>
  </si>
  <si>
    <t>Aristotle University</t>
  </si>
  <si>
    <t>Aristotle University of Thessaloniki-School of Geology</t>
  </si>
  <si>
    <t>KRSO, EPSS, HUN-REN</t>
  </si>
  <si>
    <t>ARDITI / IDL</t>
  </si>
  <si>
    <t>Sofia University "St. Kliment Ohridski"</t>
  </si>
  <si>
    <t>Observatoire de Physique du Globe de Clermont-Ferrand</t>
  </si>
  <si>
    <t>Macedonian</t>
  </si>
  <si>
    <t>ARSO</t>
  </si>
  <si>
    <t>INCD URBAN-INCERC</t>
  </si>
  <si>
    <t>Institute of GeoScience</t>
  </si>
  <si>
    <t>Université Grenoble Alpes</t>
  </si>
  <si>
    <t>assoc.prof.</t>
  </si>
  <si>
    <t>UAR830 EOST</t>
  </si>
  <si>
    <t>Faculty of Science, University of Zagreb</t>
  </si>
  <si>
    <t>SRTI-BAS</t>
  </si>
  <si>
    <t>Prof. Dr.</t>
  </si>
  <si>
    <t>UIB</t>
  </si>
  <si>
    <t>May 12, 2025, 12:52 PM</t>
  </si>
  <si>
    <t>Lúrio University</t>
  </si>
  <si>
    <t>Faculty of sciences Ben M'Sick. Hassan II University of Casablanca</t>
  </si>
  <si>
    <t>Computer Science; Energy Transformation/Storage; Engineering; Geohazard; Seismology; Solid Earth; Volcanology</t>
  </si>
  <si>
    <t>Federal University of Rio Grande do Norte</t>
  </si>
  <si>
    <t>UFRN</t>
  </si>
  <si>
    <t>Universidade Lúrio</t>
  </si>
  <si>
    <t>Economic Geology</t>
  </si>
  <si>
    <t>University of St Andrews</t>
  </si>
  <si>
    <t>Mar 18, 2025, 3:02 PM</t>
  </si>
  <si>
    <t>Polish Geological Institute – National Research Institute</t>
  </si>
  <si>
    <t>Polish</t>
  </si>
  <si>
    <t>Geophisic</t>
  </si>
  <si>
    <t>Mar 18, 2025, 1:56 PM</t>
  </si>
  <si>
    <t>University of Pécs</t>
  </si>
  <si>
    <t>Coastal Hazards, Tsunami, Storm, Marine Hazards</t>
  </si>
  <si>
    <t>Computer Science; Geohazard; Seismology; Solid Earth</t>
  </si>
  <si>
    <t>Maków Podhalański</t>
  </si>
  <si>
    <t>Atmospheric Physics; Environmental Protection</t>
  </si>
  <si>
    <t>Mar 18, 2025, 11:07 AM</t>
  </si>
  <si>
    <t>Augusto João Manaque and Maria Augusto Matande</t>
  </si>
  <si>
    <t>Engineering; Solid Earth</t>
  </si>
  <si>
    <t>University of Brasília</t>
  </si>
  <si>
    <t>Engineering; Seismology; Solid Earth</t>
  </si>
  <si>
    <t>Geodesy and Geophysics</t>
  </si>
  <si>
    <t>Institute of Earth Sciences</t>
  </si>
  <si>
    <t>Institute of Earth sciences</t>
  </si>
  <si>
    <t>Complutense University of Madrid</t>
  </si>
  <si>
    <t>May 9, 2025, 5:11 PM</t>
  </si>
  <si>
    <t>Universidad nacional de ingeniería PERU</t>
  </si>
  <si>
    <t>May 2, 2025, 11:35 PM</t>
  </si>
  <si>
    <t>Etna Volcano Observatory</t>
  </si>
  <si>
    <t>May 6, 2025, 3:07 PM</t>
  </si>
  <si>
    <t>POland</t>
  </si>
  <si>
    <t>Mar 18, 2025, 1:09 PM</t>
  </si>
  <si>
    <t>Institute of Geoscience</t>
  </si>
  <si>
    <t>Ciências</t>
  </si>
  <si>
    <t>Quimica</t>
  </si>
  <si>
    <t>Adam Mickiewicz University in Poznań</t>
  </si>
  <si>
    <t>Mar 18, 2025, 11:54 AM</t>
  </si>
  <si>
    <t>Geociencias Barcelona (GEO3BCN-CSIC)</t>
  </si>
  <si>
    <t>May 13, 2025, 10:19 AM</t>
  </si>
  <si>
    <t>Graduated from Saarland University</t>
  </si>
  <si>
    <t>Bioinformatics</t>
  </si>
  <si>
    <t>May 12, 2025, 8:24 PM</t>
  </si>
  <si>
    <t>Organic Geochemistry</t>
  </si>
  <si>
    <t>May 15, 2025, 5:08 PM</t>
  </si>
  <si>
    <t>May 7, 2025, 3:56 PM</t>
  </si>
  <si>
    <t>University of Bari Aldo Moro</t>
  </si>
  <si>
    <t>May 15, 2025, 4:27 PM</t>
  </si>
  <si>
    <t>May 16, 2025, 11:24 AM</t>
  </si>
  <si>
    <r>
      <rPr>
        <rFont val="&quot;Calibri&quot;"/>
        <color rgb="FF000000"/>
        <sz val="8.0"/>
      </rPr>
      <t xml:space="preserve">Computer Science; </t>
    </r>
    <r>
      <rPr>
        <rFont val="&quot;Calibri&quot;"/>
        <b/>
        <color rgb="FF000000"/>
        <sz val="8.0"/>
      </rPr>
      <t>Environmental Protection</t>
    </r>
  </si>
  <si>
    <t>May 15, 2025, 4:36 PM</t>
  </si>
  <si>
    <t>San José State University</t>
  </si>
  <si>
    <t>Instituto Pirenaico de Ecología (IPE-CSIC)</t>
  </si>
  <si>
    <r>
      <rPr>
        <rFont val="&quot;Calibri&quot;"/>
        <color rgb="FF000000"/>
        <sz val="8.0"/>
      </rPr>
      <t xml:space="preserve">Environmental Protection; </t>
    </r>
    <r>
      <rPr>
        <rFont val="&quot;Calibri&quot;"/>
        <b/>
        <color rgb="FF000000"/>
        <sz val="8.0"/>
      </rPr>
      <t>Marine Sciences</t>
    </r>
  </si>
  <si>
    <t>Plastic pollution</t>
  </si>
  <si>
    <t>Computer Science; Engineering; Marine Sciences</t>
  </si>
  <si>
    <t>May 15, 2025, 4:37 PM</t>
  </si>
  <si>
    <r>
      <rPr>
        <rFont val="&quot;Calibri&quot;"/>
        <b/>
        <color rgb="FF000000"/>
        <sz val="8.0"/>
      </rPr>
      <t>Atmospheric Physics</t>
    </r>
    <r>
      <rPr>
        <rFont val="&quot;Calibri&quot;"/>
        <color rgb="FF000000"/>
        <sz val="8.0"/>
      </rPr>
      <t>; Solid Earth</t>
    </r>
  </si>
  <si>
    <t>CESAM | Universidade de Aveiro</t>
  </si>
  <si>
    <t>Boğaziçi University, Kandilli Observatory and Earthquake Research Institute, Department of Geodesy</t>
  </si>
  <si>
    <t>May 7, 2025, 2:29 PM</t>
  </si>
  <si>
    <r>
      <rPr>
        <rFont val="&quot;Calibri&quot;"/>
        <color rgb="FF000000"/>
        <sz val="8.0"/>
      </rPr>
      <t xml:space="preserve">Seismology; </t>
    </r>
    <r>
      <rPr>
        <rFont val="&quot;Calibri&quot;"/>
        <b/>
        <color rgb="FF000000"/>
        <sz val="8.0"/>
      </rPr>
      <t>Tsunami; Volcanology</t>
    </r>
  </si>
  <si>
    <t>May 13, 2025, 10:17 AM</t>
  </si>
  <si>
    <t>geology - mineral resources</t>
  </si>
  <si>
    <r>
      <rPr>
        <rFont val="&quot;Calibri&quot;"/>
        <color rgb="FF000000"/>
        <sz val="8.0"/>
      </rPr>
      <t xml:space="preserve">Environmental Protection; </t>
    </r>
    <r>
      <rPr>
        <rFont val="&quot;Calibri&quot;"/>
        <b/>
        <color rgb="FF000000"/>
        <sz val="8.0"/>
      </rPr>
      <t>Energy Transformation/Storage</t>
    </r>
  </si>
  <si>
    <t>Computer Science; Marine Sciences; Solid Earth</t>
  </si>
  <si>
    <t>May 15, 2025, 10:14 AM</t>
  </si>
  <si>
    <t>Scientists</t>
  </si>
  <si>
    <t>Computer sciences</t>
  </si>
  <si>
    <t>Senior Scientist</t>
  </si>
  <si>
    <t>Institute of Geosciences, Tirana</t>
  </si>
  <si>
    <t>PhD Candidate</t>
  </si>
  <si>
    <t>Seismology, Engineering seismology / soil dynamics and earthquake engineering, Environmental protection</t>
  </si>
  <si>
    <t>Technician</t>
  </si>
  <si>
    <t>Seismology, Computer sciences</t>
  </si>
  <si>
    <t>Engineering seismology / soil dynamics and earthquake engineering, Other Earth science field</t>
  </si>
  <si>
    <t>Seismology, Landslides, Atmospheric physics</t>
  </si>
  <si>
    <t>GNSS, Computer sciences</t>
  </si>
  <si>
    <t>Seismology, Exploration geophysics, Volcanology</t>
  </si>
  <si>
    <t>Hydrometeorologcal Institute of Federation of Bosnia and Herzegovina</t>
  </si>
  <si>
    <t>Bosnia &amp; Herzegovina</t>
  </si>
  <si>
    <t>Federal Hydrometeorological Institute</t>
  </si>
  <si>
    <t>Tsunami, Landslides, Other geohazards, GNSS</t>
  </si>
  <si>
    <t>Institute for Geological and Mining Research / University of Yaounde 1</t>
  </si>
  <si>
    <t>Seismology, Engineering seismology / soil dynamics and earthquake engineering, Volcanology</t>
  </si>
  <si>
    <t>Faculty of Science</t>
  </si>
  <si>
    <t>Seismology, Landslides, Environmental protection</t>
  </si>
  <si>
    <t>Department of Geophysics, Faculty of Science, University of Zagreb</t>
  </si>
  <si>
    <t>PMF</t>
  </si>
  <si>
    <t>Engineering seismology / soil dynamics and earthquake engineering, Environmental protection</t>
  </si>
  <si>
    <t>Stakeholder / government representative</t>
  </si>
  <si>
    <t>Head of the Croatian Seismological Survey</t>
  </si>
  <si>
    <t>Seismology, Environmental protection</t>
  </si>
  <si>
    <t>University of Zagreb, Faculty of Science, Department of Geophysics</t>
  </si>
  <si>
    <t>GFU AVCR</t>
  </si>
  <si>
    <t>Institute of Geophysics of the Czech Academy of Science</t>
  </si>
  <si>
    <t>Institue of Geophysics of the Czech Academy of Sciences</t>
  </si>
  <si>
    <r>
      <rPr>
        <rFont val="&quot;Aptos Narrow&quot;"/>
        <color rgb="FF1155CC"/>
        <u/>
      </rPr>
      <t>IG.CAS.CZ</t>
    </r>
  </si>
  <si>
    <t>IRSM Czech Academy od Science</t>
  </si>
  <si>
    <t>The Institute of Rock Structure and Mechanics of the Czech Academy of Sciences</t>
  </si>
  <si>
    <t>IG CAS Prague</t>
  </si>
  <si>
    <t>GEUS</t>
  </si>
  <si>
    <t>Professor</t>
  </si>
  <si>
    <t>National Reserach Institute of Astronomy and Geophysics (NRIAG)</t>
  </si>
  <si>
    <t>Seismology, Engineering seismology / soil dynamics and earthquake engineering</t>
  </si>
  <si>
    <t>Seismology, Engineering seismology / soil dynamics and earthquake engineering, Tsunami, Landslides</t>
  </si>
  <si>
    <t>Institute of Seismology, University of Helsinki</t>
  </si>
  <si>
    <t>Seismology, Engineering seismology / soil dynamics and earthquake engineering, Energy transformation and storage</t>
  </si>
  <si>
    <t>Institute of Seismology, Dept. of Geosciences and Geography, University of Helsinki</t>
  </si>
  <si>
    <t>Seismology, Exploration geophysics, Computer sciences</t>
  </si>
  <si>
    <t>Exploration geophysics</t>
  </si>
  <si>
    <t>Seismology, Exploration geophysics</t>
  </si>
  <si>
    <t>Science manager</t>
  </si>
  <si>
    <t>University of Helsinki, Finland</t>
  </si>
  <si>
    <t>Student (BSc, MSc)</t>
  </si>
  <si>
    <t>University of Helsinki, Institute of Seismology</t>
  </si>
  <si>
    <t>Seismology, Other Earth science field</t>
  </si>
  <si>
    <t>Oulu Mining School, Faculty of Technology, University of Oulu</t>
  </si>
  <si>
    <t>Seismology, Engineering seismology / soil dynamics and earthquake engineering, Exploration geophysics</t>
  </si>
  <si>
    <t>Geological Survey of Finland</t>
  </si>
  <si>
    <t>Geological Survey of Finland (GTK)</t>
  </si>
  <si>
    <t>University of Oulo</t>
  </si>
  <si>
    <t>Research Coordinator (EPOS-FI)</t>
  </si>
  <si>
    <t>Other Earth science field</t>
  </si>
  <si>
    <t>CNRS - Géoazur</t>
  </si>
  <si>
    <t>Seismology, Tsunami, Marine (geo)sciences</t>
  </si>
  <si>
    <t>Seismology, Engineering seismology / soil dynamics and earthquake engineering, Volcanology, Marine (geo)sciences, Atmospheric physics, Computer sciences</t>
  </si>
  <si>
    <t>Ifremer, Geo-Ocean Laboratory, Marine Hazards</t>
  </si>
  <si>
    <t>Seismology, Marine (geo)sciences</t>
  </si>
  <si>
    <t>ISTerre, Grenoble</t>
  </si>
  <si>
    <t>Engineering seismology / soil dynamics and earthquake engineering</t>
  </si>
  <si>
    <t>CNRS-IPGP</t>
  </si>
  <si>
    <t>Seismology, Exploration geophysics, Volcanology, Marine (geo)sciences</t>
  </si>
  <si>
    <t>EPOS-France</t>
  </si>
  <si>
    <t>CEA-ISTerre</t>
  </si>
  <si>
    <t>EOST</t>
  </si>
  <si>
    <t>Other geohazards, Marine (geo)sciences</t>
  </si>
  <si>
    <t>Université de Strasbourg/CNRS, Institut Terre et Environnement de Strasbourg, UMR7063</t>
  </si>
  <si>
    <t>Phd in Seismology, Université Côte d'Azur (GeoAzur)</t>
  </si>
  <si>
    <t>ISTerre, Université Grenoble Alpes</t>
  </si>
  <si>
    <t>ISTerre, Univ. Grenoble Alpes &amp; CNRS</t>
  </si>
  <si>
    <t>CNRS and UGA</t>
  </si>
  <si>
    <t>Université de Bretagne Occidentale (UBO)</t>
  </si>
  <si>
    <t>ITES, CNRS, Université de Strasbourg, France</t>
  </si>
  <si>
    <t>Université de Strasbourg</t>
  </si>
  <si>
    <t>CNRS, Observatoire Côte d'Azur</t>
  </si>
  <si>
    <t>BRGM</t>
  </si>
  <si>
    <t>Seismology, Volcanology</t>
  </si>
  <si>
    <t>IPGP - CNRS</t>
  </si>
  <si>
    <t>Karlsruhe Institute of Technology</t>
  </si>
  <si>
    <t>GFZ - Potsdam</t>
  </si>
  <si>
    <t>Seismology, Landslides</t>
  </si>
  <si>
    <t>Energy transformation and storage</t>
  </si>
  <si>
    <t>Uni Kiel</t>
  </si>
  <si>
    <t>Kiel University</t>
  </si>
  <si>
    <t>TU Freiberg</t>
  </si>
  <si>
    <t>Seismology, Other Earth science field, Computer sciences</t>
  </si>
  <si>
    <t>Ruhr University Bochum</t>
  </si>
  <si>
    <t>Prefer not to answer</t>
  </si>
  <si>
    <t>Alfred Wegener Institute</t>
  </si>
  <si>
    <t>BGR Hannover</t>
  </si>
  <si>
    <t>BGR</t>
  </si>
  <si>
    <t>Seismology, Atmospheric physics</t>
  </si>
  <si>
    <t>Seismology, Volcanology, Computer sciences</t>
  </si>
  <si>
    <t>Computer sciences, Other engineering field</t>
  </si>
  <si>
    <t>LMU München</t>
  </si>
  <si>
    <t>Helmholtz Centre Potsdam GFZ German Research Centre for Geosciences</t>
  </si>
  <si>
    <t>University of Hamburg</t>
  </si>
  <si>
    <t>Alfred-Wegener-Institut, Helmholtz-Zentrum für Polar- und Meeresforschung</t>
  </si>
  <si>
    <t>Universität Jena</t>
  </si>
  <si>
    <t>CAU Kiel</t>
  </si>
  <si>
    <t>Earthquake Station Bensberg</t>
  </si>
  <si>
    <t>GFZ Helmholtz Centre for Geosciences, Subbotin Institute of Geophysics of National Academy of Sciences of Ukraine</t>
  </si>
  <si>
    <t>National Observatiry of Athens</t>
  </si>
  <si>
    <t>Auth</t>
  </si>
  <si>
    <t>ITSAK : Institute of Eng. Seism. &amp; Eqk Eng.</t>
  </si>
  <si>
    <t>University of Patras and National Observatory of Athens</t>
  </si>
  <si>
    <t>National observatory of Athens</t>
  </si>
  <si>
    <t>Seismology, Engineering seismology / soil dynamics and earthquake engineering, Tsunami</t>
  </si>
  <si>
    <t>Aristotle University of Thessaloniki, Seismological Center</t>
  </si>
  <si>
    <t>Ph.D. student &amp; Environmental Engineer</t>
  </si>
  <si>
    <t>Seismology, Volcanology, Landslides, Other geohazards, Other Earth science field, Computer sciences</t>
  </si>
  <si>
    <t>Developer at NOA</t>
  </si>
  <si>
    <t>University of Patras</t>
  </si>
  <si>
    <t>HUN-REN EPSS KRSO</t>
  </si>
  <si>
    <t>Phd in Seismology, Institute of Geophysics, University of Tehran</t>
  </si>
  <si>
    <t>Engineering solutions consultant</t>
  </si>
  <si>
    <t>Engineering seismology / soil dynamics and earthquake engineering, Landslides, Marine (geo)sciences</t>
  </si>
  <si>
    <t>University of Galway</t>
  </si>
  <si>
    <t>Dublin Institute for Advanced Studies</t>
  </si>
  <si>
    <t>DIAS</t>
  </si>
  <si>
    <t>Università di Parma</t>
  </si>
  <si>
    <t>Marine (geo)sciences</t>
  </si>
  <si>
    <t>Seismology, Engineering seismology / soil dynamics and earthquake engineering, Volcanology, Other geohazards, Computer sciences</t>
  </si>
  <si>
    <t>University of Parma</t>
  </si>
  <si>
    <t>Seismology, Computer sciences, Other engineering field</t>
  </si>
  <si>
    <t>INGV, Sezione di Pisa</t>
  </si>
  <si>
    <t>INGV, Bologna</t>
  </si>
  <si>
    <t>Seismology, Volcanology, Other geohazards, GNSS, Marine (geo)sciences, Other Earth science field, Computer sciences, Environmental protection</t>
  </si>
  <si>
    <t>INGV Bologna</t>
  </si>
  <si>
    <t>Seismology, Tsunami</t>
  </si>
  <si>
    <t>University of Genoa</t>
  </si>
  <si>
    <t>UniNA</t>
  </si>
  <si>
    <t>Seismology, Engineering seismology / soil dynamics and earthquake engineering, Landslides, Other geohazards</t>
  </si>
  <si>
    <t>Seismology, Engineering seismology / soil dynamics and earthquake engineering, Tsunami, GNSS, Other engineering field</t>
  </si>
  <si>
    <t>LED, Germany</t>
  </si>
  <si>
    <t>ECGS</t>
  </si>
  <si>
    <t>Macedonia</t>
  </si>
  <si>
    <t>University of Malta</t>
  </si>
  <si>
    <t>UNAM</t>
  </si>
  <si>
    <t>Other engineering field</t>
  </si>
  <si>
    <t>Seismology, Engineering seismology / soil dynamics and earthquake engineering, Landslides, Computer sciences</t>
  </si>
  <si>
    <t>IHMS, Sector of Seismology</t>
  </si>
  <si>
    <t>Seismology, GNSS</t>
  </si>
  <si>
    <t>KNMI/ORFEUS</t>
  </si>
  <si>
    <t>University of Canterbury</t>
  </si>
  <si>
    <t>Engineering seismology / soil dynamics and earthquake engineering, Other engineering field</t>
  </si>
  <si>
    <t>University of Oslo</t>
  </si>
  <si>
    <t>PhD fellow in Theoretical Seismology at UiT The Arctic University of Norway</t>
  </si>
  <si>
    <t>Marine (geo)sciences, Atmospheric physics</t>
  </si>
  <si>
    <t>Quaid-e-Azam university</t>
  </si>
  <si>
    <t>Palestinian Authority</t>
  </si>
  <si>
    <t>Institute of Geological Sciences, PAS</t>
  </si>
  <si>
    <t>THE POLISH GEOLOGICAL INSTITUTE - NATIONAL RESEARCH INSTITUTE</t>
  </si>
  <si>
    <t>Polish Geological Institute - National Research Institute</t>
  </si>
  <si>
    <t>University of Lisbon</t>
  </si>
  <si>
    <t>Univ. Lisbon</t>
  </si>
  <si>
    <t>Universidade de Evora</t>
  </si>
  <si>
    <t>IDL</t>
  </si>
  <si>
    <t>Faculdade de Ciências ULibsoa</t>
  </si>
  <si>
    <t>Institute of Earthquake Engineering and Engineering Seismology</t>
  </si>
  <si>
    <t>Niep</t>
  </si>
  <si>
    <t>Seismology, Atmospheric physics, Other Earth science field</t>
  </si>
  <si>
    <t>University of Novi Sad</t>
  </si>
  <si>
    <t>seismologist</t>
  </si>
  <si>
    <t>Seismological Survey of Serbia</t>
  </si>
  <si>
    <t>Slovenian Environment Agency, Seismology Office</t>
  </si>
  <si>
    <t>Slovenian Environment Agency</t>
  </si>
  <si>
    <t>GEO3BCN - CSIC</t>
  </si>
  <si>
    <t>Spanish Seismic Network</t>
  </si>
  <si>
    <t>UGR</t>
  </si>
  <si>
    <t>Institut of Marine Sciences (Spain)</t>
  </si>
  <si>
    <t>Seismology, Other geohazards</t>
  </si>
  <si>
    <t>LEGEF-IEC</t>
  </si>
  <si>
    <t>Seismology, Tsunami, Other geohazards</t>
  </si>
  <si>
    <t>Uppsala University</t>
  </si>
  <si>
    <t>Lantmäteriet</t>
  </si>
  <si>
    <t>GNSS, Other Earth science field</t>
  </si>
  <si>
    <t>ETH zürich</t>
  </si>
  <si>
    <t>ORFEUS &amp; SED-ETHZ</t>
  </si>
  <si>
    <t>SED ETHZ</t>
  </si>
  <si>
    <t>SED/ETH</t>
  </si>
  <si>
    <t>Swiss Seismological Service (SED), ETH Zürich</t>
  </si>
  <si>
    <t>Engineering seismology / soil dynamics and earthquake engineering, Tsunami, Landslides</t>
  </si>
  <si>
    <t>Afad</t>
  </si>
  <si>
    <t>Ministry of Interior Disaster and Emergency Management Presidency</t>
  </si>
  <si>
    <t>Istanbul University-Cerrahpasa</t>
  </si>
  <si>
    <t>Dr</t>
  </si>
  <si>
    <t>Bogazici Univeristy, Kandilli Observatory and Earthquake Rsearch Institute</t>
  </si>
  <si>
    <t>Seismology, Engineering seismology / soil dynamics and earthquake engineering, Tsunami, Other Earth science field</t>
  </si>
  <si>
    <t>Bogazici Uni.-KOERI</t>
  </si>
  <si>
    <t>Engineering seismology / soil dynamics and earthquake engineering, Tsunami</t>
  </si>
  <si>
    <t>Ataturk university</t>
  </si>
  <si>
    <t>SEIS-UK, University of Leicester</t>
  </si>
  <si>
    <t>BGS</t>
  </si>
  <si>
    <t>UCL/ERP</t>
  </si>
  <si>
    <t>Seismology, Marine (geo)sciences, Computer sciences</t>
  </si>
  <si>
    <t>Subbotin Institute of geophysics of NASU</t>
  </si>
  <si>
    <t>S.I. Subotin Institute of Geophysics, NAS of Ukraine</t>
  </si>
  <si>
    <t>Subbotin Institute of Geophysics of the National Academy of Sciences of Ukraine and The Taras Shevchenko National University of Kyiv</t>
  </si>
  <si>
    <t>Seismology, Engineering seismology / soil dynamics and earthquake engineering, Other Earth science field</t>
  </si>
  <si>
    <t>Retired</t>
  </si>
  <si>
    <t>Seismology, Engineering seismology / soil dynamics and earthquake engineering, Volcanology, Tsunami</t>
  </si>
  <si>
    <t>Addis Ababa University</t>
  </si>
  <si>
    <t>Virginia Polytechnic Institute and State University</t>
  </si>
  <si>
    <t>Academic Institution</t>
  </si>
  <si>
    <t>Energy Transformation/Storage; Engineering; Geohazard; Seismology</t>
  </si>
  <si>
    <t>Rock Mechanics, Rock Engineering, Rock Testing, Simulation and Modelling</t>
  </si>
  <si>
    <t>Dec 12, 2024, 1:57 PM</t>
  </si>
  <si>
    <t>Universiti Teknologi PETRONAS, Malaysia</t>
  </si>
  <si>
    <t>Seismology; Solid Earth; Other</t>
  </si>
  <si>
    <t>Geology and Geophysics</t>
  </si>
  <si>
    <t>Dec 19, 2024, 4:14 AM</t>
  </si>
  <si>
    <t>CRESCENT mailing list</t>
  </si>
  <si>
    <t>Geohazard; Seismology; Other</t>
  </si>
  <si>
    <t>Applied Geology</t>
  </si>
  <si>
    <t>Dec 18, 2024, 8:00 AM</t>
  </si>
  <si>
    <t>Newsletter or Website of Geo-INQUIRE Partner</t>
  </si>
  <si>
    <t>Ground motion simulations, Seismic hazard and risk assessment</t>
  </si>
  <si>
    <t>Dec 13, 2024, 6:29 AM</t>
  </si>
  <si>
    <t>Baylor University</t>
  </si>
  <si>
    <t>Dec 18, 2024, 1:08 PM</t>
  </si>
  <si>
    <t>Indonesian Agency for Meteorology Climatology and Geophysics</t>
  </si>
  <si>
    <t>Dec 19, 2024, 12:29 AM</t>
  </si>
  <si>
    <t>SCEC mailing list</t>
  </si>
  <si>
    <t>Fundación Venezolana de Investigaciones Sismológicas</t>
  </si>
  <si>
    <t>Dec 18, 2024, 12:32 PM</t>
  </si>
  <si>
    <t>National Research and Innovation Agency</t>
  </si>
  <si>
    <t>Dec 19, 2024, 6:15 PM</t>
  </si>
  <si>
    <t>AGU member community</t>
  </si>
  <si>
    <t>Dec 19, 2024, 2:10 AM</t>
  </si>
  <si>
    <t>Algerian Centre of Research Applied for Earthquake Engineering</t>
  </si>
  <si>
    <t>Geohazard; Solid Earth; Tsunami; Other</t>
  </si>
  <si>
    <t>neotectonics field</t>
  </si>
  <si>
    <t>Dec 12, 2024, 10:10 PM</t>
  </si>
  <si>
    <t>Centre for Excellence in Disaster Mitigation and Management, IIT Roorkee, India</t>
  </si>
  <si>
    <t>Research Experience in Engineering seismology and Seismic Hazard Management and prepardness</t>
  </si>
  <si>
    <t>Dec 19, 2024, 10:09 AM</t>
  </si>
  <si>
    <t>National Geographical Institute</t>
  </si>
  <si>
    <t>Dec 18, 2024, 9:00 PM</t>
  </si>
  <si>
    <t>Geo-INQUIRE Website</t>
  </si>
  <si>
    <t>CENEPRED</t>
  </si>
  <si>
    <t>Engineering; Geohazard; Solid Earth; Tsunami</t>
  </si>
  <si>
    <t>Dec 18, 2024, 7:51 AM</t>
  </si>
  <si>
    <t>Geo-INQUIRE mailing list</t>
  </si>
  <si>
    <t>Statewide California Earthquake Center</t>
  </si>
  <si>
    <t>Computer Science; Geohazard; Seismology; Other</t>
  </si>
  <si>
    <t>Seismology, Geophysics, Earthquake Education and Outreach</t>
  </si>
  <si>
    <t>Dec 16, 2024, 10:23 PM</t>
  </si>
  <si>
    <t>Dec 12, 2024, 1:58 PM</t>
  </si>
  <si>
    <t>CERI-University of Memphis</t>
  </si>
  <si>
    <t>Dec 20, 2024, 12:35 PM</t>
  </si>
  <si>
    <t>SZ4D mailing list</t>
  </si>
  <si>
    <t>USC</t>
  </si>
  <si>
    <t>Dec 12, 2024, 2:25 PM</t>
  </si>
  <si>
    <t>Geotech Research Team, Department of Earth Sciences, Faculty of Sciences of Meknes, University Moulay Ismail</t>
  </si>
  <si>
    <t>Dec 30, 2024, 3:52 AM</t>
  </si>
  <si>
    <t>University of California, Riverside</t>
  </si>
  <si>
    <t>UCLA</t>
  </si>
  <si>
    <t>Universidad Nacional de Asunción</t>
  </si>
  <si>
    <t>Dec 18, 2024, 7:46 AM</t>
  </si>
  <si>
    <t>Washington Geological Survey</t>
  </si>
  <si>
    <t>Dec 17, 2024, 8:48 PM</t>
  </si>
  <si>
    <t>Bogazici University Kandilli Observatory and Earthquake Research Institute</t>
  </si>
  <si>
    <t>Dec 21, 2024, 12:26 AM</t>
  </si>
  <si>
    <t>Dec 18, 2024, 7:43 AM</t>
  </si>
  <si>
    <t>San Jose State University</t>
  </si>
  <si>
    <t>University of Texas at Dallas</t>
  </si>
  <si>
    <t>Dec 18, 2024, 9:36 AM</t>
  </si>
  <si>
    <t>QUT</t>
  </si>
  <si>
    <t>Dec 17, 2024, 4:24 PM</t>
  </si>
  <si>
    <t>Tsinghua University</t>
  </si>
  <si>
    <t>Scientific Machine Learning, Nonlinear/Linear Numerical Solver</t>
  </si>
  <si>
    <t>Dec 15, 2024, 10:25 AM</t>
  </si>
  <si>
    <t>China University of Geosciences, Beijing</t>
  </si>
  <si>
    <t>Dec 15, 2024, 4:56 PM</t>
  </si>
  <si>
    <t>Industry</t>
  </si>
  <si>
    <t>Dec 19, 2024, 8:44 AM</t>
  </si>
  <si>
    <t>Computer Science; Environmental Protection; Geohazard; Seismology; Tsunami</t>
  </si>
  <si>
    <t>Dec 12, 2024, 10:15 PM</t>
  </si>
  <si>
    <t>University of Iceland (Háskóli Íslands)</t>
  </si>
  <si>
    <t>Philippine Institute of Volcanology and Seismology</t>
  </si>
  <si>
    <t>Seismology; Tsunami; Other</t>
  </si>
  <si>
    <t>Physics, Seismology, Tsunami</t>
  </si>
  <si>
    <t>Dec 18, 2024, 3:07 PM</t>
  </si>
  <si>
    <t>Goa university, India</t>
  </si>
  <si>
    <t>Oil and gas, Geophysics</t>
  </si>
  <si>
    <t>Dec 18, 2024, 9:11 PM</t>
  </si>
  <si>
    <t>California State University Northridge</t>
  </si>
  <si>
    <t>Dec 19, 2024, 8:36 AM</t>
  </si>
  <si>
    <t>CSIR Fourth Paradigm Institute</t>
  </si>
  <si>
    <t>Dec 19, 2024, 4:45 AM</t>
  </si>
  <si>
    <t>Dec 23, 2024, 8:18 AM</t>
  </si>
  <si>
    <t>Idaho National Laboratory</t>
  </si>
  <si>
    <t>Caraga State University</t>
  </si>
  <si>
    <t>Dec 21, 2024, 3:19 PM</t>
  </si>
  <si>
    <t>Center for Earthquake Research Information, The University of Memphis</t>
  </si>
  <si>
    <t>Rupture Dynamics, Slope Stability, and Space Geodesy.</t>
  </si>
  <si>
    <t>Dec 12, 2024, 7:14 PM</t>
  </si>
  <si>
    <t>California Institute of Technology</t>
  </si>
  <si>
    <t>Dec 12, 2024, 6:52 PM</t>
  </si>
  <si>
    <t>Universidade de São Paulo</t>
  </si>
  <si>
    <t>Dec 18, 2024, 2:39 AM</t>
  </si>
  <si>
    <t>Dec 17, 2024, 2:51 PM</t>
  </si>
  <si>
    <t>Stanford University, Geophysics Department</t>
  </si>
  <si>
    <t>Earthquake Seismology, Seismic Imaging/Inversion, Earthquake Rupture Mechanics, Machine Learning, HPC</t>
  </si>
  <si>
    <t>Dec 18, 2024, 1:06 PM</t>
  </si>
  <si>
    <t>Institute of Geology, China Earthquake Administration</t>
  </si>
  <si>
    <t>Dec 15, 2024, 3:54 PM</t>
  </si>
  <si>
    <t>Centro de Investigación de Astrofísica y Ciencias Espaciales, UNAN-Managua</t>
  </si>
  <si>
    <t>Atmospheric Physics; Computer Science; Seismology; Solid Earth; Tsunami; Volcanology</t>
  </si>
  <si>
    <t>I work in Geophysics and Atmospheric Physics</t>
  </si>
  <si>
    <t>Dec 12, 2024, 5:36 PM</t>
  </si>
  <si>
    <t>Linkedin</t>
  </si>
  <si>
    <t>Lawrence Livermore National Laboratory</t>
  </si>
  <si>
    <t>Energy Transformation/Storage; Seismology</t>
  </si>
  <si>
    <t>statistical earthquake forecasting</t>
  </si>
  <si>
    <t>Dec 17, 2024, 8:22 AM</t>
  </si>
  <si>
    <t>Polytechnic University of Tirana, Institute of Geosciences</t>
  </si>
  <si>
    <t>Computer Science; Engineering; Seismology; Solid Earth</t>
  </si>
  <si>
    <t>Dec 30, 2024, 6:15 AM</t>
  </si>
  <si>
    <t>Southern University of Science and Technology</t>
  </si>
  <si>
    <t>Dec 15, 2024, 11:01 PM</t>
  </si>
  <si>
    <t>Institut des sciences de la Terre, Université Grenoble Alpes</t>
  </si>
  <si>
    <t>Dec 12, 2024, 11:06 PM</t>
  </si>
  <si>
    <t>University of Pittsburgh</t>
  </si>
  <si>
    <t>Energy Transformation/Storage; Seismology; Other</t>
  </si>
  <si>
    <t>applied Geophysics: well logging, gravity, ERT, GPR, Magnetic techniques.</t>
  </si>
  <si>
    <t>Dec 18, 2024, 10:13 PM</t>
  </si>
  <si>
    <t>Geology &amp; Geophysics, Louisiana State University</t>
  </si>
  <si>
    <t>Multi-hazard Risk Assessment</t>
  </si>
  <si>
    <t>Dec 28, 2024, 11:37 AM</t>
  </si>
  <si>
    <t>Geohazard; Seismology; Solid Earth; Other</t>
  </si>
  <si>
    <t>Microseismic analysis</t>
  </si>
  <si>
    <t>Dec 18, 2024, 7:22 AM</t>
  </si>
  <si>
    <t>SEG, CRESENT, EarthScope Consortium</t>
  </si>
  <si>
    <t>Dec 18, 2024, 9:42 AM</t>
  </si>
  <si>
    <t>Computer Science; Environmental Protection; Engineering; Seismology</t>
  </si>
  <si>
    <t>Dec 15, 2024, 10:30 AM</t>
  </si>
  <si>
    <t>University of Puerto Rico</t>
  </si>
  <si>
    <t>Dec 22, 2024, 5:00 PM</t>
  </si>
  <si>
    <t>Lawrence Berkeley National Laboratory</t>
  </si>
  <si>
    <t>Dec 12, 2024, 5:28 PM</t>
  </si>
  <si>
    <t>South China Sea Institute of Oceanology,Chinese Academy of Sciences</t>
  </si>
  <si>
    <t>Energy Transformation/Storage; Geohazard; Solid Earth</t>
  </si>
  <si>
    <t>Dec 16, 2024, 2:16 PM</t>
  </si>
  <si>
    <t>Center for Earthquake Research and Information, University of Memphis</t>
  </si>
  <si>
    <t>Dec 19, 2024, 11:24 AM</t>
  </si>
  <si>
    <t>Geology Student</t>
  </si>
  <si>
    <t>planetary geology</t>
  </si>
  <si>
    <t>Dec 20, 2024, 6:45 PM</t>
  </si>
  <si>
    <t>University of Benin</t>
  </si>
  <si>
    <t>Dec 21, 2024, 10:00 PM</t>
  </si>
  <si>
    <t>Earthquake Physics</t>
  </si>
  <si>
    <t>Dec 17, 2024, 7:22 PM</t>
  </si>
  <si>
    <t>University of Puerto Rico at Mayaguez</t>
  </si>
  <si>
    <t>Dec 21, 2024, 7:04 PM</t>
  </si>
  <si>
    <t>University of Southern California</t>
  </si>
  <si>
    <t>Dec 12, 2024, 2:33 PM</t>
  </si>
  <si>
    <t>Center for Research in Astronomy, Astrophysics and Geophysics</t>
  </si>
  <si>
    <t>Dec 19, 2024, 2:15 AM</t>
  </si>
  <si>
    <t>sachinkhupat057@gmail.com</t>
  </si>
  <si>
    <t>• To undertake research studies on microearthquake investigation, strong motion measurement and seismic design parameter studies for hydroelectric projects (HE) in India, Nepal &amp; Bhutan • To assist in undertaking studies in seismic hazard assessment for HE Projects • To undertake Reservoir Induced Seismicity studies for Nuclear Power Plants in India</t>
  </si>
  <si>
    <t>University of the Philippines</t>
  </si>
  <si>
    <t>Dec 30, 2024, 1:32 AM</t>
  </si>
  <si>
    <t>Postdoc, IPGP France</t>
  </si>
  <si>
    <t>Dec 13, 2024, 3:29 AM</t>
  </si>
  <si>
    <t>Lawrence Livermore National Laboratoy</t>
  </si>
  <si>
    <t>Dec 14, 2024, 1:10 PM</t>
  </si>
  <si>
    <t>Dec 12, 2024, 4:46 AM</t>
  </si>
  <si>
    <t>California Institute of technology</t>
  </si>
  <si>
    <t>Dec 18, 2024, 9:08 AM</t>
  </si>
  <si>
    <t>Geodynamics, earthquake cycle modelling</t>
  </si>
  <si>
    <t>Dec 15, 2024, 9:28 AM</t>
  </si>
  <si>
    <t>Institute of Earthquake Forecasting, China Earthquake Administration</t>
  </si>
  <si>
    <t>solid mechanics, seismicity and earthquake simulation</t>
  </si>
  <si>
    <t>Dec 18, 2024, 1:26 AM</t>
  </si>
  <si>
    <t>National Autonomous University of Mexico</t>
  </si>
  <si>
    <t>Dec 18, 2024, 8:51 AM</t>
  </si>
  <si>
    <t>Dec 30, 2024, 5:37 AM</t>
  </si>
  <si>
    <t>Georgia Institute of Technology</t>
  </si>
  <si>
    <t>Dec 13, 2024, 10:32 PM</t>
  </si>
  <si>
    <t>National Seismic Monitoring Center Pakistan</t>
  </si>
  <si>
    <t>Dec 18, 2024, 11:57 AM</t>
  </si>
  <si>
    <t>Earthscope</t>
  </si>
  <si>
    <t>Dec 20, 2024, 7:45 AM</t>
  </si>
  <si>
    <t>National University of Science and Technology</t>
  </si>
  <si>
    <t>Dec 19, 2024, 12:45 AM</t>
  </si>
  <si>
    <t>Research Associate</t>
  </si>
  <si>
    <t>Dec 19, 2024, 11:45 PM</t>
  </si>
  <si>
    <t>MAKERERE UNIVERSITY</t>
  </si>
  <si>
    <t>Dec 18, 2024, 11:09 PM</t>
  </si>
  <si>
    <t>University of British Columbia</t>
  </si>
  <si>
    <t>Dec 13, 2024, 10:34 AM</t>
  </si>
  <si>
    <t>Dec 18, 2024, 9:17 AM</t>
  </si>
  <si>
    <t>Tongji University, Shanghai, China</t>
  </si>
  <si>
    <t>Dec 18, 2024, 8:36 PM</t>
  </si>
  <si>
    <t>Puerto Rico Seismic Ntwork/University of Puerto Rico Mayagüez Campus</t>
  </si>
  <si>
    <t>Earthquake detection and location, picking p and s phases for a local and teleseismic event, mineralogy, geochemistry, seismology</t>
  </si>
  <si>
    <t>Dec 20, 2024, 5:56 AM</t>
  </si>
  <si>
    <t>Machine Learning</t>
  </si>
  <si>
    <t>Dec 19, 2024, 2:32 AM</t>
  </si>
  <si>
    <t>The University of Memphis</t>
  </si>
  <si>
    <t>Co-seismic deformation</t>
  </si>
  <si>
    <t>Dec 18, 2024, 9:12 AM</t>
  </si>
  <si>
    <t>Dec 19, 2024, 9:36 PM</t>
  </si>
  <si>
    <t>Cal Poly Pomona</t>
  </si>
  <si>
    <t>Dec 18, 2024, 7:24 AM</t>
  </si>
  <si>
    <t>CERI, University of Memphis</t>
  </si>
  <si>
    <t>Dec 12, 2024, 2:11 PM</t>
  </si>
  <si>
    <t>Dec 20, 2024, 3:10 AM</t>
  </si>
  <si>
    <t>Dec 23, 2024, 2:15 PM</t>
  </si>
  <si>
    <t>Geophysics and Natural Hazard Laboratory, Scientific Institute Mohammed V University in Rabat Morocco</t>
  </si>
  <si>
    <t>Dec 18, 2024, 8:24 AM</t>
  </si>
  <si>
    <t>University of Nevada Reno</t>
  </si>
  <si>
    <t>Dec 17, 2024, 8:18 AM</t>
  </si>
  <si>
    <t>University of Southern California / Statewide California Earthquake Center</t>
  </si>
  <si>
    <t>Dec 12, 2024, 2:02 PM</t>
  </si>
  <si>
    <t>Focal Mechanism Stress Tensor Inversion, InSAR, Moment Tensor Inversion, Earthquake Prediction and Forecast</t>
  </si>
  <si>
    <t>Dec 22, 2024, 2:31 AM</t>
  </si>
  <si>
    <t>Institute of Seismological Research</t>
  </si>
  <si>
    <t>Dec 17, 2024, 6:24 PM</t>
  </si>
  <si>
    <t>Dec 19, 2024, 8:50 AM</t>
  </si>
  <si>
    <t>South China Sea Institute of Oceanology, Chinese Academy of Sciences</t>
  </si>
  <si>
    <t>Solid Earth; Tsunami</t>
  </si>
  <si>
    <t>Dec 15, 2024, 4:24 PM</t>
  </si>
  <si>
    <t>Geology Department, Gombe State University Nigeria</t>
  </si>
  <si>
    <t>Plate Tectonics and Geodynamic</t>
  </si>
  <si>
    <t>Dec 23, 2024, 9:09 PM</t>
  </si>
  <si>
    <t>Autonomous University of Baja California</t>
  </si>
  <si>
    <t>Dec 20, 2024, 9:23 PM</t>
  </si>
  <si>
    <t>Dec 18, 2024, 8:28 AM</t>
  </si>
  <si>
    <t>Established researcher</t>
  </si>
  <si>
    <t>Dec 19, 2024, 2:36 AM</t>
  </si>
  <si>
    <t>University of Plymouth</t>
  </si>
  <si>
    <t>Dec 23, 2024, 11:53 AM</t>
  </si>
  <si>
    <t>FM</t>
  </si>
  <si>
    <t>Dec 18, 2024, 8:56 AM</t>
  </si>
  <si>
    <t>Universidad privada de Santa Cruz de la Sierra UPSA</t>
  </si>
  <si>
    <t>Dec 30, 2024, 6:04 AM</t>
  </si>
  <si>
    <t>Dec 18, 2024, 2:15 PM</t>
  </si>
  <si>
    <t>Southern Methodist University</t>
  </si>
  <si>
    <t>Atmospheric Physics; Seismology; Solid Earth</t>
  </si>
  <si>
    <t>Dec 27, 2024, 8:55 AM</t>
  </si>
  <si>
    <t>Goma Volcano Observatory</t>
  </si>
  <si>
    <t>Dec 18, 2024, 10:31 PM</t>
  </si>
  <si>
    <t>Federal State Budget Institution of Science Research Station of the Russian Academy of Sciences in Bishkek city</t>
  </si>
  <si>
    <t>Geodynamics</t>
  </si>
  <si>
    <t>Dec 18, 2024, 6:22 PM</t>
  </si>
  <si>
    <t>University of Puerto Rico-Mayaguez</t>
  </si>
  <si>
    <t>Geomorphology</t>
  </si>
  <si>
    <t>Dec 18, 2024, 3:48 PM</t>
  </si>
  <si>
    <t>earthscope-general</t>
  </si>
  <si>
    <t>Seismology; Solid Earth; Volcanology; Other</t>
  </si>
  <si>
    <t>Dec 18, 2024, 8:54 PM</t>
  </si>
  <si>
    <t>Indian Institute of Technology Kharagpur</t>
  </si>
  <si>
    <t>Seismic hazard</t>
  </si>
  <si>
    <t>Dec 18, 2024, 8:46 AM</t>
  </si>
  <si>
    <t>Doctoral student of Tehran University of Science and Research</t>
  </si>
  <si>
    <t>Dec 18, 2024, 2:09 PM</t>
  </si>
  <si>
    <t>Masters student at Indian Institute of Technology (Indian School of Mines), Dhanbad India</t>
  </si>
  <si>
    <t>Dec 18, 2024, 8:45 AM</t>
  </si>
  <si>
    <t>Mr.</t>
  </si>
  <si>
    <t>Dec 21, 2024, 9:18 AM</t>
  </si>
  <si>
    <t>Dec 18, 2024, 8:52 AM</t>
  </si>
  <si>
    <t>French Nuclear Safty and Radiological Protection Authority</t>
  </si>
  <si>
    <t>Dec 15, 2024, 10:10 AM</t>
  </si>
  <si>
    <t>Dec 15, 2024, 10:47 PM</t>
  </si>
  <si>
    <t>Dec 15, 2024, 5:42 AM</t>
  </si>
  <si>
    <t>Dec 13, 2024, 8:58 PM</t>
  </si>
  <si>
    <t>Iowa State University</t>
  </si>
  <si>
    <t>Dec 18, 2024, 7:26 AM</t>
  </si>
  <si>
    <t>Malawi University of Business and Applied Sciences</t>
  </si>
  <si>
    <t>Atmospheric Physics; Computer Science; Engineering; Seismology</t>
  </si>
  <si>
    <t>Dec 18, 2024, 2:17 PM</t>
  </si>
  <si>
    <t>Istanbul University - Cerrahpasa</t>
  </si>
  <si>
    <t>Dec 23, 2024, 2:43 AM</t>
  </si>
  <si>
    <t>The University of Melbourne</t>
  </si>
  <si>
    <t>Dec 12, 2024, 5:00 PM</t>
  </si>
  <si>
    <t>University of memphis</t>
  </si>
  <si>
    <t>Dec 17, 2024, 2:35 PM</t>
  </si>
  <si>
    <t>Dec 18, 2024, 10:59 AM</t>
  </si>
  <si>
    <t>Independent</t>
  </si>
  <si>
    <t>Induced Seismicity, Geomechanics</t>
  </si>
  <si>
    <t>Dec 18, 2024, 12:56 AM</t>
  </si>
  <si>
    <t>Dec 12, 2024, 2:21 PM</t>
  </si>
  <si>
    <t>OVSICORI (Volcanolgial and Seismological Observatory of Costa Rica)</t>
  </si>
  <si>
    <t>Computer Science; Engineering; Seismology; Volcanology; Other</t>
  </si>
  <si>
    <t>IT Staff</t>
  </si>
  <si>
    <t>Dec 19, 2024, 10:17 AM</t>
  </si>
  <si>
    <t>Southern Illinois University Carbondale</t>
  </si>
  <si>
    <t>Dec 27, 2024, 4:20 PM</t>
  </si>
  <si>
    <t>Kegman, Inc.</t>
  </si>
  <si>
    <t>Dec 12, 2024, 2:53 PM</t>
  </si>
  <si>
    <t>Dec 22, 2024, 9:46 PM</t>
  </si>
  <si>
    <t>Eidgenössische Technische Hochschule Zürich</t>
  </si>
  <si>
    <t>Dec 15, 2024, 8:57 AM</t>
  </si>
  <si>
    <t>NOAA/NWS/Pacific Tsunami Warning Center</t>
  </si>
  <si>
    <t>Tectonic geodesy</t>
  </si>
  <si>
    <t>South China Sea Institute of Oceanology</t>
  </si>
  <si>
    <t>University of California, Los Angeles</t>
  </si>
  <si>
    <t>Dec 15, 2024, 8:53 AM</t>
  </si>
  <si>
    <t>SUN YAT-SEN UNIVERSITY</t>
  </si>
  <si>
    <t>Dec 28, 2024, 12:36 AM</t>
  </si>
  <si>
    <t>Pennsylvania State University</t>
  </si>
  <si>
    <t>Dec 15, 2024, 11:51 AM</t>
  </si>
  <si>
    <t>Nevada Seismological Laboratory</t>
  </si>
  <si>
    <t>Dec 20, 2024, 2:31 PM</t>
  </si>
  <si>
    <t>statistical seismology, earthquake forecasting and prediction</t>
  </si>
  <si>
    <t>Dec 16, 2024, 3:08 PM</t>
  </si>
  <si>
    <t>Dec 12, 2024, 2:06 PM</t>
  </si>
  <si>
    <t>Shenzhen Research Institute, the Chinese University of Hong Kong</t>
  </si>
  <si>
    <t>Dec 17, 2024, 6:11 AM</t>
  </si>
  <si>
    <t>Technische Hochschule Augsburg</t>
  </si>
  <si>
    <t>Chalmers University of Technology</t>
  </si>
  <si>
    <r>
      <rPr>
        <rFont val="&quot;Calibri&quot;"/>
        <color rgb="FF000000"/>
        <sz val="8.0"/>
      </rPr>
      <t xml:space="preserve">Geohazard; </t>
    </r>
    <r>
      <rPr>
        <rFont val="&quot;Calibri&quot;"/>
        <b/>
        <color rgb="FF000000"/>
        <sz val="8.0"/>
      </rPr>
      <t>Seismology; Solid Earth</t>
    </r>
  </si>
  <si>
    <t>Tectonophyscis</t>
  </si>
  <si>
    <t>State Mining Authority</t>
  </si>
  <si>
    <t>Mining geophysics</t>
  </si>
  <si>
    <t>Mar 3, 2025, 3:04 PM</t>
  </si>
  <si>
    <t>Faculty of Sciences Ben M'Sick. Hassan II University of Casablanca, Morocco.</t>
  </si>
  <si>
    <t>Faculty of Geology, University of Warsaw</t>
  </si>
  <si>
    <t>geoinformatics</t>
  </si>
  <si>
    <t>Mar 11, 2025, 11:00 AM</t>
  </si>
  <si>
    <t>Mar 12, 2025, 4:24 PM</t>
  </si>
  <si>
    <t>University of Warsaw, Faculty of Physics</t>
  </si>
  <si>
    <t>Astrophysics</t>
  </si>
  <si>
    <t>Mar 12, 2025, 4:53 PM</t>
  </si>
  <si>
    <t>Ss. Cyril and Methodius University Skopje</t>
  </si>
  <si>
    <t>AGH University of Krakow</t>
  </si>
  <si>
    <t>Mar 5, 2025, 12:54 PM</t>
  </si>
  <si>
    <r>
      <rPr>
        <rFont val="&quot;Calibri&quot;"/>
        <b/>
        <color rgb="FF000000"/>
        <sz val="8.0"/>
      </rPr>
      <t xml:space="preserve">Environmental Protection; </t>
    </r>
    <r>
      <rPr>
        <rFont val="&quot;Calibri&quot;"/>
        <color rgb="FF000000"/>
        <sz val="8.0"/>
      </rPr>
      <t xml:space="preserve">Geohazard; </t>
    </r>
    <r>
      <rPr>
        <rFont val="&quot;Calibri&quot;"/>
        <b/>
        <color rgb="FF000000"/>
        <sz val="8.0"/>
      </rPr>
      <t>Marine Sciences; Tsunami</t>
    </r>
  </si>
  <si>
    <t>Marine Natural Hazards such as tsunami, storm, tidal flood, submarine landslide, and coastal morphology evolution</t>
  </si>
  <si>
    <t>Uniwersytet Jagielloński</t>
  </si>
  <si>
    <r>
      <rPr>
        <rFont val="&quot;Calibri&quot;"/>
        <b/>
        <color rgb="FF000000"/>
        <sz val="8.0"/>
      </rPr>
      <t>Computer Science;</t>
    </r>
    <r>
      <rPr>
        <rFont val="&quot;Calibri&quot;"/>
        <color rgb="FF000000"/>
        <sz val="8.0"/>
      </rPr>
      <t xml:space="preserve"> Environmental Protection; Geohazard; Solid Earth</t>
    </r>
  </si>
  <si>
    <t>Mar 9, 2025, 7:49 PM</t>
  </si>
  <si>
    <t>Mar 5, 2025, 12:12 PM</t>
  </si>
  <si>
    <t>Instytut Nauk Geologicznych, Wydział Geografii i Geologii Uniwersytetu Jagiellońskiego</t>
  </si>
  <si>
    <t>Mar 7, 2025, 2:11 PM</t>
  </si>
  <si>
    <t>Jagiellonian University</t>
  </si>
  <si>
    <t>none yet</t>
  </si>
  <si>
    <t>Mar 11, 2025, 8:12 AM</t>
  </si>
  <si>
    <t>University of Silesia in Katowice</t>
  </si>
  <si>
    <t>Uniwersytet Warszawski</t>
  </si>
  <si>
    <t>Mar 7, 2025, 3:29 PM</t>
  </si>
  <si>
    <t>Environmental Protection; Geohazard; Other</t>
  </si>
  <si>
    <t>Paleoseismology</t>
  </si>
  <si>
    <t>University of Bologna</t>
  </si>
  <si>
    <t>Ground Motion Modelling</t>
  </si>
  <si>
    <t>University of Warsaw</t>
  </si>
  <si>
    <t>Earth magnetism</t>
  </si>
  <si>
    <t>Mar 12, 2025, 4:34 PM</t>
  </si>
  <si>
    <t>Geology, IT Specialist</t>
  </si>
  <si>
    <t>GFU-CAS</t>
  </si>
  <si>
    <t>Volcanology, Geoelectromagnetism, Data scientist</t>
  </si>
  <si>
    <t>IG CAS CZ</t>
  </si>
  <si>
    <t>seismological service</t>
  </si>
  <si>
    <t>Institute of Geophysics, Czech Academy of Sciences</t>
  </si>
  <si>
    <t>gravimetry, density modelling</t>
  </si>
  <si>
    <t>IRSM CAS</t>
  </si>
  <si>
    <t>Near-fault observations, Geology, Geohazards, Data scientist, geomorphology, GIS</t>
  </si>
  <si>
    <t>VUGTK, v.v.i.</t>
  </si>
  <si>
    <t>Geoelectromagnetism</t>
  </si>
  <si>
    <t>Geology, Multi-scale laboratories</t>
  </si>
  <si>
    <t>Near-fault observations, Geology, Tsunami research, Geohazards</t>
  </si>
  <si>
    <t>Geology, Geological heritage</t>
  </si>
  <si>
    <t>University of Barcelona</t>
  </si>
  <si>
    <t>Multi-scale laboratories</t>
  </si>
  <si>
    <t>Universitat de Barcelona</t>
  </si>
  <si>
    <t>Geoscience Barcelona (Geo3BCN)</t>
  </si>
  <si>
    <t>Seismology, Geodesy, Volcanology, Satellite data, Geology, Tsunami research, Earthquake engineering, Geohazards</t>
  </si>
  <si>
    <t>PhD student at ICM, CSIC</t>
  </si>
  <si>
    <t>UCM-CSIC</t>
  </si>
  <si>
    <t>Volcanology, Geoelectromagnetism</t>
  </si>
  <si>
    <t>Seismology, Anthropogenic hazard</t>
  </si>
  <si>
    <t>Seismology, Volcanology, Geology</t>
  </si>
  <si>
    <t>IEO</t>
  </si>
  <si>
    <t>Data scientist</t>
  </si>
  <si>
    <t>Seismology, Volcanology, Oceanology</t>
  </si>
  <si>
    <t>Manager</t>
  </si>
  <si>
    <t>CSIC-INIA</t>
  </si>
  <si>
    <t>Univ Complutense</t>
  </si>
  <si>
    <t>Volcanology, Geology</t>
  </si>
  <si>
    <t>Universidad Rey Juan Carlos</t>
  </si>
  <si>
    <t>Geodesy, Volcanology, Geology, Multi-scale laboratories, Geohazards, Data scientist</t>
  </si>
  <si>
    <t>Instituto Geográfico Nacioal &amp; Universidad Politécnica de Madrid</t>
  </si>
  <si>
    <t>Geodesy, Volcanology, Tsunami research, Geohazards, Data scientist, Software developer</t>
  </si>
  <si>
    <t>ign</t>
  </si>
  <si>
    <t xml:space="preserve">IGN </t>
  </si>
  <si>
    <t>Complete</t>
  </si>
  <si>
    <t>Geology, Geohazards</t>
  </si>
  <si>
    <t>Volcanology, Geology, Geohazards</t>
  </si>
  <si>
    <t xml:space="preserve">National Space Research and Development AGency </t>
  </si>
  <si>
    <t>Satellite data, Geology, Geohazards, Data scientist</t>
  </si>
  <si>
    <t>Geoelectromagnetism, Geology, Geohazards</t>
  </si>
  <si>
    <t xml:space="preserve">PhD in Seismology </t>
  </si>
  <si>
    <t>Seismology, Earthquake engineering</t>
  </si>
  <si>
    <t>emsc</t>
  </si>
  <si>
    <t>FRANCE</t>
  </si>
  <si>
    <t>Ss. Ciryl and Methodius University Skopje</t>
  </si>
  <si>
    <t>Lulea University of Technology</t>
  </si>
  <si>
    <t>Slovak Academy of Sciences</t>
  </si>
  <si>
    <t>Slovakia</t>
  </si>
  <si>
    <t>Satellite data, gravimetry, applied geophysics</t>
  </si>
  <si>
    <t>Seismology, Geodesy, Near-fault observations, Satellite data, Geology, Geohazards</t>
  </si>
  <si>
    <t>Seismology, Anthropogenic hazard, Technical staff</t>
  </si>
  <si>
    <t>Seismology, Geoelectromagnetism, Geology</t>
  </si>
  <si>
    <t>GNS Science / GeoNet</t>
  </si>
  <si>
    <t>Seismology, Geohazards, Data scientist</t>
  </si>
  <si>
    <t>Intituto Geográfico Nacional</t>
  </si>
  <si>
    <t>Satellite data, Geohazards, Data scientist</t>
  </si>
  <si>
    <t>Institute of Geodesy and Cartography</t>
  </si>
  <si>
    <t>Seismology, Multi-scale laboratories, Tsunami research, Earthquake engineering, Geohazards</t>
  </si>
  <si>
    <t>Curtin University</t>
  </si>
  <si>
    <t>Geology, Multi-scale laboratories, Data scientist</t>
  </si>
  <si>
    <t>Rey Juan Carlos University</t>
  </si>
  <si>
    <t>Geodesy, Volcanology, Satellite data, Geology, Multi-scale laboratories, Geohazards, Data scientist, Software developer, Technical staff</t>
  </si>
  <si>
    <t>University of Granada</t>
  </si>
  <si>
    <t>Sorbonne University</t>
  </si>
  <si>
    <t>Instituto Andaluz de Ciencias de la Tierra</t>
  </si>
  <si>
    <t>Geology, Data scientist</t>
  </si>
  <si>
    <t>Laboratoire Magmas et Volcans</t>
  </si>
  <si>
    <t>Seismology, Volcanology, Geohazards, acoustics</t>
  </si>
  <si>
    <t>OPGC</t>
  </si>
  <si>
    <t>Volcanology, Multi-scale laboratories</t>
  </si>
  <si>
    <t>University Clermont Auvergne and CNRS</t>
  </si>
  <si>
    <t>Volcanology, Satellite data</t>
  </si>
  <si>
    <t>Université Clermont Auvergne - Laboratoire Magmas et Volcans</t>
  </si>
  <si>
    <t>Seismology, Volcanology, Geology, Tsunami research</t>
  </si>
  <si>
    <t>LMV/OPGC</t>
  </si>
  <si>
    <t>Volcanology, Geohazards, Marine Geosciences</t>
  </si>
  <si>
    <t>University of Iceland, Natural Science Institute of Iceland</t>
  </si>
  <si>
    <t>Uknown</t>
  </si>
  <si>
    <t>Geology, Earthquake engineering</t>
  </si>
  <si>
    <t>Satellite data, Geology, Geohazards</t>
  </si>
  <si>
    <t>two people</t>
  </si>
  <si>
    <t>TU Munich, university of Toulouse</t>
  </si>
  <si>
    <t>Germany, France</t>
  </si>
  <si>
    <t>Geology, geomechanics</t>
  </si>
  <si>
    <t>EGI Foundation</t>
  </si>
  <si>
    <t>IT Specialist, Technical staff</t>
  </si>
  <si>
    <t>Seismology, Geodesy, Volcanology, Satellite data</t>
  </si>
  <si>
    <t>University of Zagreb</t>
  </si>
  <si>
    <t>IT Specialist</t>
  </si>
  <si>
    <t>Data scientist, Software developer</t>
  </si>
  <si>
    <t>Luleå University of Technology</t>
  </si>
  <si>
    <t>Geohazards, IT Architect</t>
  </si>
  <si>
    <t>france</t>
  </si>
  <si>
    <t>Lunds Universitet</t>
  </si>
  <si>
    <t>Sverige</t>
  </si>
  <si>
    <t>Anthropogenic hazard, Geology</t>
  </si>
  <si>
    <t xml:space="preserve">IMO </t>
  </si>
  <si>
    <t>Universitat Politècnica de València</t>
  </si>
  <si>
    <t>Geodesy, Satellite data, Data scientist, Software developer</t>
  </si>
  <si>
    <t>Instituto Geográfico Nacional (Spain) and Universidad Politécnica de Madrid</t>
  </si>
  <si>
    <t>Geodesy, Volcanology, Geoelectromagnetism, Tsunami research, Geohazards, Data scientist, Software developer</t>
  </si>
  <si>
    <t>Luleå university of Technology</t>
  </si>
  <si>
    <t>CNRS and Université Clermont Auvergne/OPGC</t>
  </si>
  <si>
    <t>Volcanology, Satellite data, Geohazards</t>
  </si>
  <si>
    <t>University of Florence</t>
  </si>
  <si>
    <t>INGV-OE</t>
  </si>
  <si>
    <r>
      <rPr>
        <rFont val="Calibri"/>
        <b/>
        <color rgb="FF000000"/>
      </rPr>
      <t xml:space="preserve">Computer Science; </t>
    </r>
    <r>
      <rPr>
        <rFont val="Calibri"/>
        <color rgb="FF000000"/>
      </rPr>
      <t>Seismology</t>
    </r>
    <r>
      <rPr>
        <rFont val="Calibri"/>
        <b/>
        <color rgb="FF000000"/>
      </rPr>
      <t>; Solid Earth; Volcanology</t>
    </r>
  </si>
  <si>
    <t>INGV Osservatorio Etneo</t>
  </si>
  <si>
    <t>Computer Science; Geohazard; Solid Earth; Volcanology</t>
  </si>
  <si>
    <r>
      <rPr>
        <rFont val="Calibri"/>
        <color rgb="FF000000"/>
      </rPr>
      <t>Volcano monitoring,</t>
    </r>
    <r>
      <rPr>
        <rFont val="Calibri"/>
        <b/>
        <color rgb="FF000000"/>
      </rPr>
      <t xml:space="preserve"> Geophysics, Geodesy, Numerical modeling</t>
    </r>
  </si>
  <si>
    <t>Politecnico di Milano - polimi</t>
  </si>
  <si>
    <r>
      <rPr>
        <rFont val="Calibri"/>
        <b/>
        <color rgb="FF000000"/>
      </rPr>
      <t xml:space="preserve">Environmental Protection; Engineering; </t>
    </r>
    <r>
      <rPr>
        <rFont val="Calibri"/>
        <color rgb="FF000000"/>
      </rPr>
      <t>Geohazard; Seismology; Volcanology</t>
    </r>
  </si>
  <si>
    <t>Geo-INQUIRE linkedin</t>
  </si>
  <si>
    <t>L'istituto Nazionale di Geofisica e Vulcanologia (Sezione di Pisa)</t>
  </si>
  <si>
    <t>Istituto Nazionale di Geofisica e Vulcanologia, Osservatorio Etneo - Sezione di Catania</t>
  </si>
  <si>
    <t>Institute of Geophysics, UNAM, Mexico City, Mexico - Dep. of Earth Science, University of Torino, Italy.</t>
  </si>
  <si>
    <t>Thermal satellite remote sensing of volcanic activity; multiparametric volcano monitoring; applied geophysics in volcanological research</t>
  </si>
  <si>
    <t>Instituto de Investigação em Vulcanologia e Avaliação de Riscos (IVAR) - Universidade dos Açores</t>
  </si>
  <si>
    <r>
      <rPr>
        <rFont val="Calibri"/>
        <b/>
        <color rgb="FF000000"/>
      </rPr>
      <t>Atmospheric Physics</t>
    </r>
    <r>
      <rPr>
        <rFont val="Calibri"/>
        <color rgb="FF000000"/>
      </rPr>
      <t>; Geohazard; Seismology; Solid Earth; Volcanology; Other</t>
    </r>
  </si>
  <si>
    <t>Infrasound</t>
  </si>
  <si>
    <t>Istituto Nazionale di Geofisica e Vulcanologia - Osservatorio Etneo</t>
  </si>
  <si>
    <t>Computer Science; Seismology; Solid Earth; Volcanology; Other</t>
  </si>
  <si>
    <r>
      <rPr>
        <rFont val="Calibri"/>
        <color rgb="FF000000"/>
      </rPr>
      <t xml:space="preserve">Volcanic early warning systems, short-term eruption forecasting, development of threshold-based and </t>
    </r>
    <r>
      <rPr>
        <rFont val="Calibri"/>
        <b/>
        <color rgb="FF000000"/>
      </rPr>
      <t>AI-</t>
    </r>
    <r>
      <rPr>
        <rFont val="Calibri"/>
        <color rgb="FF000000"/>
      </rPr>
      <t>integrated detection algorithms, monitoring of explosive activity at Stromboli and Etna, ground deformation analysis, volcanic and regional seismology, geophysical data interpretation, signal processing of seismic and acoustic data, multiparametric monitoring, time series analysis, statistical evaluation of early detection system vulnerabilities, machine learning applications in geophysics, classification of volcanic explosions using geophysical parameters, real-time monitoring system development, microseism analysis and ocean-seismic coupling, regression and clustering techniques, array tecniques for seismic and infrasound signals, seismic and infrasound sensors installation, data acquisition and management, structured and object-oriented programming in Matlab and Python, applied statistics and algebra for geophysical interpretation, academic tutoring and teaching support.</t>
    </r>
  </si>
  <si>
    <t>University of Napoli Federico II</t>
  </si>
  <si>
    <t>Dipartimento Scienze della Terra Università di Pisa</t>
  </si>
  <si>
    <r>
      <rPr>
        <rFont val="Calibri"/>
        <color rgb="FF000000"/>
      </rPr>
      <t>Geohazard;</t>
    </r>
    <r>
      <rPr>
        <rFont val="Calibri"/>
        <b/>
        <color rgb="FF000000"/>
      </rPr>
      <t xml:space="preserve"> Marine Sciences</t>
    </r>
    <r>
      <rPr>
        <rFont val="Calibri"/>
        <color rgb="FF000000"/>
      </rPr>
      <t>; Seismology; Solid Earth</t>
    </r>
  </si>
  <si>
    <t>Eötvös Loránd University</t>
  </si>
  <si>
    <t>Atmospheric Physics; Computer Science; Seismology</t>
  </si>
  <si>
    <t>Università di Catania</t>
  </si>
  <si>
    <t>Computer Science; Geohazard; Seismology; Volcanology; Other</t>
  </si>
  <si>
    <t>geochemistry</t>
  </si>
  <si>
    <t>Muslim Hands International</t>
  </si>
  <si>
    <r>
      <rPr>
        <rFont val="Calibri"/>
        <b/>
        <color rgb="FF000000"/>
      </rPr>
      <t xml:space="preserve">Computer Science; Environmental Protection; Engineering; Geohazard; </t>
    </r>
    <r>
      <rPr>
        <rFont val="Calibri"/>
        <color rgb="FF000000"/>
      </rPr>
      <t>Other</t>
    </r>
  </si>
  <si>
    <r>
      <rPr>
        <rFont val="Calibri"/>
        <color rgb="FF000000"/>
      </rPr>
      <t xml:space="preserve">GIS, </t>
    </r>
    <r>
      <rPr>
        <rFont val="Calibri"/>
        <b/>
        <color rgb="FF000000"/>
      </rPr>
      <t>Remote Sensing, Data Science</t>
    </r>
  </si>
  <si>
    <t>Alma Mater Studiorum University of Bologna</t>
  </si>
  <si>
    <r>
      <rPr>
        <rFont val="Calibri"/>
        <color rgb="FF000000"/>
      </rPr>
      <t xml:space="preserve">Geohazard; </t>
    </r>
    <r>
      <rPr>
        <rFont val="Calibri"/>
        <b/>
        <color rgb="FF000000"/>
      </rPr>
      <t>Seismology; Solid Earth; Tsunami</t>
    </r>
  </si>
  <si>
    <t>Computer Science; Geohazard; Other</t>
  </si>
  <si>
    <t>AI</t>
  </si>
  <si>
    <t>Universidad Católica de Chile</t>
  </si>
  <si>
    <t>BSC - CNS</t>
  </si>
  <si>
    <r>
      <rPr>
        <rFont val="Calibri"/>
        <color rgb="FF000000"/>
      </rPr>
      <t xml:space="preserve">Computer Science; Geohazard; Solid Earth; </t>
    </r>
    <r>
      <rPr>
        <rFont val="Calibri"/>
        <b/>
        <color rgb="FF000000"/>
      </rPr>
      <t>Volcanology</t>
    </r>
  </si>
  <si>
    <r>
      <rPr>
        <rFont val="Calibri"/>
        <color rgb="FF000000"/>
      </rPr>
      <t xml:space="preserve">Geohazard; </t>
    </r>
    <r>
      <rPr>
        <rFont val="Calibri"/>
        <b/>
        <color rgb="FF000000"/>
      </rPr>
      <t>Marine Sciences</t>
    </r>
    <r>
      <rPr>
        <rFont val="Calibri"/>
        <color rgb="FF000000"/>
      </rPr>
      <t>; Tsunami</t>
    </r>
  </si>
  <si>
    <t>Geosciences Barcelona -CSIC</t>
  </si>
  <si>
    <r>
      <rPr>
        <rFont val="Calibri"/>
        <b/>
        <color rgb="FF000000"/>
      </rPr>
      <t xml:space="preserve">Atmospheric Physics; </t>
    </r>
    <r>
      <rPr>
        <rFont val="Calibri"/>
        <color rgb="FF000000"/>
      </rPr>
      <t>Computer Science; Engineering; Geohazard</t>
    </r>
  </si>
  <si>
    <t>Jenderal Soedirman University</t>
  </si>
  <si>
    <r>
      <rPr>
        <rFont val="Calibri"/>
        <b/>
        <color rgb="FF000000"/>
      </rPr>
      <t>Environmental Protection</t>
    </r>
    <r>
      <rPr>
        <rFont val="Calibri"/>
        <color rgb="FF000000"/>
      </rPr>
      <t>; Geohazard; Marine Sciences; Seismology; Tsunami</t>
    </r>
  </si>
  <si>
    <t>Mathematical modeling and numerical simulation</t>
  </si>
  <si>
    <t>UiB</t>
  </si>
  <si>
    <t>Computer Science; Marine Sciences; Tsunami</t>
  </si>
  <si>
    <t>Università degli studi di Salerno</t>
  </si>
  <si>
    <t>Ilia State University</t>
  </si>
  <si>
    <t>Georgia</t>
  </si>
  <si>
    <t>mohammadia school of enginners (EMI)</t>
  </si>
  <si>
    <t>Mining and Geology</t>
  </si>
  <si>
    <t>Cineca</t>
  </si>
  <si>
    <t>PERFACCT GmbH</t>
  </si>
  <si>
    <t>Software Engineering</t>
  </si>
  <si>
    <t>GFZ Helmholtz Centre for Geosciences, Potsdam, Germany</t>
  </si>
  <si>
    <t>Instituto de Ciencias del Mar CSIC</t>
  </si>
  <si>
    <r>
      <rPr>
        <rFont val="Calibri"/>
        <color rgb="FF000000"/>
      </rPr>
      <t xml:space="preserve">Geohazard; Marine Sciences; </t>
    </r>
    <r>
      <rPr>
        <rFont val="Calibri"/>
        <b/>
        <color rgb="FF000000"/>
      </rPr>
      <t>Seismology</t>
    </r>
  </si>
  <si>
    <t>marine geophysics, tectonics and seismic reflection data</t>
  </si>
  <si>
    <t>Institute of Engineering, UNAM</t>
  </si>
  <si>
    <r>
      <rPr>
        <rFont val="Calibri"/>
        <b/>
        <color rgb="FF000000"/>
      </rPr>
      <t>Engineering</t>
    </r>
    <r>
      <rPr>
        <rFont val="Calibri"/>
        <color rgb="FF000000"/>
      </rPr>
      <t xml:space="preserve">; Geohazard; Seismology; </t>
    </r>
    <r>
      <rPr>
        <rFont val="Calibri"/>
        <b/>
        <color rgb="FF000000"/>
      </rPr>
      <t>Solid Earth;</t>
    </r>
    <r>
      <rPr>
        <rFont val="Calibri"/>
        <color rgb="FF000000"/>
      </rPr>
      <t xml:space="preserve"> Tsunami</t>
    </r>
  </si>
  <si>
    <t>Addis Ababa University &amp; Debre Berhan Universit, Ethiopia</t>
  </si>
  <si>
    <t>CN IGME (CSIC)</t>
  </si>
  <si>
    <r>
      <rPr>
        <rFont val="Calibri"/>
        <color rgb="FF000000"/>
      </rPr>
      <t xml:space="preserve">Environmental Protection; Engineering; Geohazard; Seismology; Tsunami; </t>
    </r>
    <r>
      <rPr>
        <rFont val="Calibri"/>
        <b/>
        <color rgb="FF000000"/>
      </rPr>
      <t>Volcanology</t>
    </r>
  </si>
  <si>
    <t>Hassan II University of Casablanca</t>
  </si>
  <si>
    <t>Engineering; Geohazard; Marine Sciences; Seismology; Solid Earth; Other</t>
  </si>
  <si>
    <r>
      <rPr>
        <rFont val="Calibri"/>
        <color rgb="FF000000"/>
      </rPr>
      <t xml:space="preserve">Geophysics and </t>
    </r>
    <r>
      <rPr>
        <rFont val="Calibri"/>
        <b/>
        <color rgb="FF000000"/>
      </rPr>
      <t>Geology</t>
    </r>
  </si>
  <si>
    <t>I am currently conducting a PhD candidate on tsunami hazard assessment along the Moroccan coasts. I have already performed several tsunami simulations using numerical tools such as COMCOT and NSWING, and I have published scientific articles related to tsunami scenarios triggered by submarine faults and landslides.</t>
  </si>
  <si>
    <t>CSIR-Senior Research Fellow (PhD Student) at CSIR-National Geophysical Research Institute, Hyderabad, Telangana State, India, 500007.</t>
  </si>
  <si>
    <t>Geohazard; Marine Sciences; Other</t>
  </si>
  <si>
    <r>
      <rPr>
        <rFont val="Calibri"/>
        <b/>
        <color rgb="FF000000"/>
      </rPr>
      <t>Gas hydrates</t>
    </r>
    <r>
      <rPr>
        <rFont val="Calibri"/>
        <color rgb="FF000000"/>
      </rPr>
      <t>, Submarine slope failures</t>
    </r>
  </si>
  <si>
    <t>Environmental Protection; Geohazard; Seismology; Solid Earth; Tsunami; Other</t>
  </si>
  <si>
    <t>Active Tectonics and Remote Sensing</t>
  </si>
  <si>
    <t>Seismic imaging of the uppermost lithosphere and numerical dynamic rupture simulations</t>
  </si>
  <si>
    <r>
      <rPr>
        <rFont val="Calibri"/>
        <b/>
        <color rgb="FF000000"/>
      </rPr>
      <t>Computer Science</t>
    </r>
    <r>
      <rPr>
        <rFont val="Calibri"/>
        <color rgb="FF000000"/>
      </rPr>
      <t>; Marine Sciences; Tsunami</t>
    </r>
  </si>
  <si>
    <t>Universidad Nacional Autónoma de México</t>
  </si>
  <si>
    <t>The Ohio State University</t>
  </si>
  <si>
    <t>4 EPOS Trg</t>
  </si>
  <si>
    <t>January 2025</t>
  </si>
  <si>
    <t>7 HPC Events</t>
  </si>
  <si>
    <t>5 Portal Trg</t>
  </si>
  <si>
    <t>2 ShakeMapWS</t>
  </si>
  <si>
    <t>7 ORFEUS Trg</t>
  </si>
  <si>
    <t>3 Schools</t>
  </si>
  <si>
    <t>Sum (wrong)</t>
  </si>
  <si>
    <t>id</t>
  </si>
  <si>
    <t>Do you primarily work in the private sector?</t>
  </si>
  <si>
    <t>What is your background?</t>
  </si>
  <si>
    <t>Please choose the role / career stage that best applies to you:</t>
  </si>
  <si>
    <t>Have you been familiar with the FAIR principles before?</t>
  </si>
  <si>
    <t>How did you hear about this event:</t>
  </si>
  <si>
    <t>Tags</t>
  </si>
  <si>
    <t>Bosnia-Herzegova</t>
  </si>
  <si>
    <t>Czech Republic</t>
  </si>
  <si>
    <r>
      <rPr>
        <rFont val="&quot;Aptos Narrow&quot;"/>
        <color rgb="FF1155CC"/>
        <u/>
      </rPr>
      <t>IG.CAS.CZ</t>
    </r>
  </si>
  <si>
    <t>iran</t>
  </si>
  <si>
    <t>italy</t>
  </si>
  <si>
    <t>Netherlandds</t>
  </si>
  <si>
    <t>UK</t>
  </si>
  <si>
    <t>US</t>
  </si>
  <si>
    <t>Have you used this installation (EPOS) before?</t>
  </si>
  <si>
    <t>HySEA</t>
  </si>
  <si>
    <r>
      <rPr>
        <rFont val="Calibri"/>
        <color rgb="FF000000"/>
        <sz val="11.0"/>
      </rPr>
      <t xml:space="preserve">Geohazard; Seismology; </t>
    </r>
    <r>
      <rPr>
        <rFont val="Calibri"/>
        <b/>
        <color rgb="FF000000"/>
        <sz val="11.0"/>
      </rPr>
      <t>Solid Earth</t>
    </r>
  </si>
  <si>
    <r>
      <rPr>
        <rFont val="Calibri"/>
        <color rgb="FF000000"/>
        <sz val="11.0"/>
      </rPr>
      <t xml:space="preserve">Geohazard; Seismology; Solid Earth; Tsunami; </t>
    </r>
    <r>
      <rPr>
        <rFont val="Calibri"/>
        <b/>
        <color rgb="FF000000"/>
        <sz val="11.0"/>
      </rPr>
      <t>Volcanology</t>
    </r>
  </si>
  <si>
    <r>
      <rPr>
        <rFont val="Calibri"/>
        <b/>
        <color rgb="FF000000"/>
        <sz val="11.0"/>
      </rPr>
      <t>Atmospheric Physics</t>
    </r>
    <r>
      <rPr>
        <rFont val="Calibri"/>
        <color rgb="FF000000"/>
        <sz val="11.0"/>
      </rPr>
      <t>; Geohazard; Seismology</t>
    </r>
  </si>
  <si>
    <t>SDL</t>
  </si>
  <si>
    <r>
      <rPr>
        <rFont val="Calibri"/>
        <color rgb="FF000000"/>
        <sz val="10.0"/>
      </rPr>
      <t>Computer Science; Geohazard; Seismology;</t>
    </r>
    <r>
      <rPr>
        <rFont val="Calibri"/>
        <b/>
        <color rgb="FF000000"/>
        <sz val="10.0"/>
      </rPr>
      <t xml:space="preserve"> Solid Earth;</t>
    </r>
    <r>
      <rPr>
        <rFont val="Calibri"/>
        <color rgb="FF000000"/>
        <sz val="10.0"/>
      </rPr>
      <t xml:space="preserve"> Volcanology</t>
    </r>
  </si>
  <si>
    <r>
      <rPr>
        <rFont val="&quot;Calibri&quot;"/>
        <color rgb="FF000000"/>
        <sz val="8.0"/>
      </rPr>
      <t>Geohazard; Seismology;</t>
    </r>
    <r>
      <rPr>
        <rFont val="&quot;Calibri&quot;"/>
        <b/>
        <color rgb="FF000000"/>
        <sz val="8.0"/>
      </rPr>
      <t xml:space="preserve"> Tsunami</t>
    </r>
    <r>
      <rPr>
        <rFont val="&quot;Calibri&quot;"/>
        <color rgb="FF000000"/>
        <sz val="8.0"/>
      </rPr>
      <t>; Volcanology</t>
    </r>
  </si>
  <si>
    <r>
      <rPr>
        <rFont val="&quot;Calibri&quot;"/>
        <color rgb="FF000000"/>
        <sz val="8.0"/>
      </rPr>
      <t xml:space="preserve">Geohazard; </t>
    </r>
    <r>
      <rPr>
        <rFont val="&quot;Calibri&quot;"/>
        <b/>
        <color rgb="FF000000"/>
        <sz val="8.0"/>
      </rPr>
      <t>Marine Sciences</t>
    </r>
    <r>
      <rPr>
        <rFont val="&quot;Calibri&quot;"/>
        <color rgb="FF000000"/>
        <sz val="8.0"/>
      </rPr>
      <t>; Tsunami</t>
    </r>
  </si>
  <si>
    <t>Country Of Affiliation</t>
  </si>
  <si>
    <t>Are You An Early Career Scientist?</t>
  </si>
  <si>
    <t>Do You Work In Industry, Start-Up Or Small/Medium Enterprise?</t>
  </si>
  <si>
    <t>What Is Your Scientific Expertise? (Multiple Choice)</t>
  </si>
  <si>
    <t>Scientific Expertise - Other(s):</t>
  </si>
  <si>
    <t>Have you been familiar with any of the involved Geo-INQUIRE services before?</t>
  </si>
  <si>
    <t>Data Science; Energy Transformation/Storage; Natural Hazard Management; Marine Geology / Geophysics; Volcanology; Seismology; Tsunami; Geodesy; Remote sensing; Geology; Hydrology</t>
  </si>
  <si>
    <t>Computational Science and Engineering, Simulation software</t>
  </si>
  <si>
    <t>LRZ</t>
  </si>
  <si>
    <t>Physiker</t>
  </si>
  <si>
    <r>
      <rPr>
        <rFont val="Calibri"/>
        <color rgb="FF000000"/>
      </rPr>
      <t>Computer Science;</t>
    </r>
    <r>
      <rPr>
        <rFont val="Calibri"/>
        <b/>
        <color rgb="FF000000"/>
      </rPr>
      <t xml:space="preserve"> Data Science; Natural Hazard Management</t>
    </r>
    <r>
      <rPr>
        <rFont val="Calibri"/>
        <color rgb="FF000000"/>
      </rPr>
      <t xml:space="preserve">; Seismology; </t>
    </r>
    <r>
      <rPr>
        <rFont val="Calibri"/>
        <b/>
        <color rgb="FF000000"/>
      </rPr>
      <t>Tsunami; Geodesy;</t>
    </r>
    <r>
      <rPr>
        <rFont val="Calibri"/>
        <color rgb="FF000000"/>
      </rPr>
      <t xml:space="preserve"> Other</t>
    </r>
  </si>
  <si>
    <t>Earthquake resistant systems</t>
  </si>
  <si>
    <t>Advanced Micro Devices GmbH</t>
  </si>
  <si>
    <t>Rock Mechanics</t>
  </si>
  <si>
    <t>University of Padua</t>
  </si>
  <si>
    <t>University of Trento</t>
  </si>
  <si>
    <t>Applied Mathematics</t>
  </si>
  <si>
    <t>Johannes Gutenberg-Universität Mainz</t>
  </si>
  <si>
    <t>UCSD</t>
  </si>
  <si>
    <t>Computer Science; Data Science; Seismology; Tsunami; Geodesy</t>
  </si>
  <si>
    <t>Starting at SCCS in July</t>
  </si>
  <si>
    <t>Natural Hazard Management; Geology</t>
  </si>
  <si>
    <t>Numerical modelling</t>
  </si>
  <si>
    <r>
      <rPr>
        <rFont val="Calibri"/>
        <b/>
        <color rgb="FF000000"/>
      </rPr>
      <t>Marine Geology / Geophysics</t>
    </r>
    <r>
      <rPr>
        <rFont val="Calibri"/>
        <color rgb="FF000000"/>
      </rPr>
      <t>; Seismology; Tsunami</t>
    </r>
  </si>
  <si>
    <t>Numerical models/simulations, signal processing.</t>
  </si>
  <si>
    <t>Leibniz-Rechenzentrum der BAdW</t>
  </si>
  <si>
    <t>Research Data Management, Astrophysics</t>
  </si>
  <si>
    <t>University of California San Diego</t>
  </si>
  <si>
    <t>Marine Geology / Geophysics; Seismology</t>
  </si>
  <si>
    <t>widening/associated countries</t>
  </si>
  <si>
    <t>ASNR</t>
  </si>
  <si>
    <t>Earthquake Rupture Dynamics</t>
  </si>
  <si>
    <t>different countries</t>
  </si>
  <si>
    <t>different scientific fields</t>
  </si>
  <si>
    <t>MunichRE</t>
  </si>
  <si>
    <t>Natural Hazard Management; Marine Geology / Geophysics; Volcanology; Seismology; Tsunami</t>
  </si>
  <si>
    <t>NVIDIA</t>
  </si>
  <si>
    <t>Computer Science; Data Science; Seismology; Tsunami</t>
  </si>
  <si>
    <t>Institute of Geophysics and Planetary Physics, Scripps Institution of Oceanography, University of California San Diego, La Jolla, CA, USA</t>
  </si>
  <si>
    <t>IPGP - Institut de Physique du Globe de Paris</t>
  </si>
  <si>
    <r>
      <rPr>
        <rFont val="Calibri"/>
        <b/>
        <color rgb="FF000000"/>
      </rPr>
      <t>Remote sensing;</t>
    </r>
    <r>
      <rPr>
        <rFont val="Calibri"/>
        <color rgb="FF000000"/>
      </rPr>
      <t xml:space="preserve"> Geology</t>
    </r>
  </si>
  <si>
    <t>Durham University</t>
  </si>
  <si>
    <t>National Science Foundation - National Center for Atmospheric Research (NSF-NCAR)</t>
  </si>
  <si>
    <r>
      <rPr>
        <rFont val="Calibri"/>
        <color rgb="FF000000"/>
      </rPr>
      <t xml:space="preserve">Computer Science; </t>
    </r>
    <r>
      <rPr>
        <rFont val="Calibri"/>
        <b/>
        <color rgb="FF000000"/>
      </rPr>
      <t>Oceanography;</t>
    </r>
    <r>
      <rPr>
        <rFont val="Calibri"/>
        <color rgb="FF000000"/>
      </rPr>
      <t xml:space="preserve"> Tsunami; Other</t>
    </r>
  </si>
  <si>
    <t>storm surge, climate change, risk analysis</t>
  </si>
  <si>
    <t>Seismology; Geodesy; Remote sensing</t>
  </si>
  <si>
    <t>Physics, Chemistry, Biology</t>
  </si>
  <si>
    <t>TU Dortmund, Germany</t>
  </si>
  <si>
    <t>Natural Hazard Management; Seismology; Remote sensing; Geology</t>
  </si>
  <si>
    <t>Institut Teknologi Sepuluh Nopember</t>
  </si>
  <si>
    <t>LMU Munich</t>
  </si>
  <si>
    <t>Self</t>
  </si>
  <si>
    <t>Intel</t>
  </si>
  <si>
    <t>Computer Science; Data Science</t>
  </si>
  <si>
    <t>Minebea AccessSolutions Deuschland GmbH</t>
  </si>
  <si>
    <t>UNICAMP</t>
  </si>
  <si>
    <r>
      <rPr>
        <rFont val="Calibri"/>
        <color rgb="FF000000"/>
      </rPr>
      <t xml:space="preserve">Computer Science; Data Science; </t>
    </r>
    <r>
      <rPr>
        <rFont val="Calibri"/>
        <b/>
        <color rgb="FF000000"/>
      </rPr>
      <t>Energy Transformation/Storage</t>
    </r>
  </si>
  <si>
    <t>AMD</t>
  </si>
  <si>
    <t>École Normale supérieure - PSL University</t>
  </si>
  <si>
    <t>Polish Academy of Sciences</t>
  </si>
  <si>
    <t>Marine Geology / Geophysics</t>
  </si>
  <si>
    <t>Institute of Geohpysics Polish Academy of sciences</t>
  </si>
  <si>
    <t>Data Science; Energy Transformation/Storage; Marine Geology / Geophysics</t>
  </si>
  <si>
    <t>Computer Science; Data Science; Energy Transformation/Storage; Natural Hazard Management; Marine Geology / Geophysics; Oceanography; Marine biology / ecology; Volcanology; Seismology; Tsunami; Geodesy; Remote sensing; Geology; Hydrology; Other</t>
  </si>
  <si>
    <t>Seismology; Geology</t>
  </si>
  <si>
    <r>
      <rPr>
        <rFont val="Calibri"/>
        <b/>
        <color rgb="FF000000"/>
      </rPr>
      <t>Numerical analysis</t>
    </r>
    <r>
      <rPr>
        <rFont val="Calibri"/>
        <color rgb="FF000000"/>
      </rPr>
      <t>, Numerical relativity</t>
    </r>
  </si>
  <si>
    <t>University of California, San Diego</t>
  </si>
  <si>
    <t>Computer Science; Marine Geology / Geophysics; Seismology; Other</t>
  </si>
  <si>
    <t>Structural Engineering</t>
  </si>
  <si>
    <t>University of Texas at Austin</t>
  </si>
  <si>
    <r>
      <rPr>
        <rFont val="Calibri"/>
        <color rgb="FF000000"/>
      </rPr>
      <t xml:space="preserve">Geohazard; Marine Sciences; </t>
    </r>
    <r>
      <rPr>
        <rFont val="Calibri"/>
        <b/>
        <color rgb="FF000000"/>
      </rPr>
      <t>Seismology</t>
    </r>
  </si>
  <si>
    <r>
      <rPr>
        <rFont val="Calibri"/>
        <b/>
        <color rgb="FF000000"/>
      </rPr>
      <t>Engineering</t>
    </r>
    <r>
      <rPr>
        <rFont val="Calibri"/>
        <color rgb="FF000000"/>
      </rPr>
      <t xml:space="preserve">; Geohazard; Seismology; </t>
    </r>
    <r>
      <rPr>
        <rFont val="Calibri"/>
        <b/>
        <color rgb="FF000000"/>
      </rPr>
      <t>Solid Earth;</t>
    </r>
    <r>
      <rPr>
        <rFont val="Calibri"/>
        <color rgb="FF000000"/>
      </rPr>
      <t xml:space="preserve"> Tsunami</t>
    </r>
  </si>
  <si>
    <r>
      <rPr>
        <rFont val="Calibri"/>
        <color rgb="FF000000"/>
      </rPr>
      <t xml:space="preserve">Environmental Protection; Engineering; Geohazard; Seismology; Tsunami; </t>
    </r>
    <r>
      <rPr>
        <rFont val="Calibri"/>
        <b/>
        <color rgb="FF000000"/>
      </rPr>
      <t>Volcanology</t>
    </r>
  </si>
  <si>
    <r>
      <rPr>
        <rFont val="Calibri"/>
        <color rgb="FF000000"/>
      </rPr>
      <t xml:space="preserve">Geophysics and </t>
    </r>
    <r>
      <rPr>
        <rFont val="Calibri"/>
        <b/>
        <color rgb="FF000000"/>
      </rPr>
      <t>Geology</t>
    </r>
  </si>
  <si>
    <r>
      <rPr>
        <rFont val="Calibri"/>
        <b/>
        <color rgb="FF000000"/>
      </rPr>
      <t>Gas hydrates</t>
    </r>
    <r>
      <rPr>
        <rFont val="Calibri"/>
        <color rgb="FF000000"/>
      </rPr>
      <t>, Submarine slope failures</t>
    </r>
  </si>
  <si>
    <r>
      <rPr>
        <rFont val="Calibri"/>
        <b/>
        <color rgb="FF000000"/>
      </rPr>
      <t>Computer Science</t>
    </r>
    <r>
      <rPr>
        <rFont val="Calibri"/>
        <color rgb="FF000000"/>
      </rPr>
      <t>; Marine Sciences; Tsunami</t>
    </r>
  </si>
  <si>
    <t>Have you been familiar</t>
  </si>
  <si>
    <r>
      <rPr>
        <rFont val="Calibri"/>
        <b/>
        <color rgb="FF000000"/>
      </rPr>
      <t xml:space="preserve">Computer Science; Environmental Protection; Engineering; Geohazard; </t>
    </r>
    <r>
      <rPr>
        <rFont val="Calibri"/>
        <color rgb="FF000000"/>
      </rPr>
      <t>Other</t>
    </r>
  </si>
  <si>
    <r>
      <rPr>
        <rFont val="Calibri"/>
        <color rgb="FF000000"/>
      </rPr>
      <t xml:space="preserve">GIS, </t>
    </r>
    <r>
      <rPr>
        <rFont val="Calibri"/>
        <b/>
        <color rgb="FF000000"/>
      </rPr>
      <t>Remote Sensing, Data Science</t>
    </r>
  </si>
  <si>
    <r>
      <rPr>
        <rFont val="Calibri"/>
        <color rgb="FF000000"/>
      </rPr>
      <t xml:space="preserve">Geohazard; </t>
    </r>
    <r>
      <rPr>
        <rFont val="Calibri"/>
        <b/>
        <color rgb="FF000000"/>
      </rPr>
      <t>Seismology; Solid Earth; Tsunami</t>
    </r>
  </si>
  <si>
    <r>
      <rPr>
        <rFont val="Calibri"/>
        <color rgb="FF000000"/>
      </rPr>
      <t xml:space="preserve">Computer Science; Geohazard; Solid Earth; </t>
    </r>
    <r>
      <rPr>
        <rFont val="Calibri"/>
        <b/>
        <color rgb="FF000000"/>
      </rPr>
      <t>Volcanology</t>
    </r>
  </si>
  <si>
    <r>
      <rPr>
        <rFont val="Calibri"/>
        <color rgb="FF000000"/>
      </rPr>
      <t xml:space="preserve">Geohazard; </t>
    </r>
    <r>
      <rPr>
        <rFont val="Calibri"/>
        <b/>
        <color rgb="FF000000"/>
      </rPr>
      <t>Marine Sciences</t>
    </r>
    <r>
      <rPr>
        <rFont val="Calibri"/>
        <color rgb="FF000000"/>
      </rPr>
      <t>; Tsunami</t>
    </r>
  </si>
  <si>
    <r>
      <rPr>
        <rFont val="Calibri"/>
        <b/>
        <color rgb="FF000000"/>
      </rPr>
      <t xml:space="preserve">Atmospheric Physics; </t>
    </r>
    <r>
      <rPr>
        <rFont val="Calibri"/>
        <color rgb="FF000000"/>
      </rPr>
      <t>Computer Science; Engineering; Geohazard</t>
    </r>
  </si>
  <si>
    <r>
      <rPr>
        <rFont val="Calibri"/>
        <b/>
        <color rgb="FF000000"/>
      </rPr>
      <t>Environmental Protection</t>
    </r>
    <r>
      <rPr>
        <rFont val="Calibri"/>
        <color rgb="FF000000"/>
      </rPr>
      <t>; Geohazard; Marine Sciences; Seismology; Tsunami</t>
    </r>
  </si>
  <si>
    <t>How did you hear about this event?</t>
  </si>
  <si>
    <r>
      <rPr>
        <rFont val="Calibri"/>
        <b/>
        <color rgb="FF000000"/>
      </rPr>
      <t xml:space="preserve">Computer Science; </t>
    </r>
    <r>
      <rPr>
        <rFont val="Calibri"/>
        <color rgb="FF000000"/>
      </rPr>
      <t>Seismology</t>
    </r>
    <r>
      <rPr>
        <rFont val="Calibri"/>
        <b/>
        <color rgb="FF000000"/>
      </rPr>
      <t>; Solid Earth; Volcanology</t>
    </r>
  </si>
  <si>
    <r>
      <rPr>
        <rFont val="Calibri"/>
        <color rgb="FF000000"/>
      </rPr>
      <t>Volcano monitoring,</t>
    </r>
    <r>
      <rPr>
        <rFont val="Calibri"/>
        <b/>
        <color rgb="FF000000"/>
      </rPr>
      <t xml:space="preserve"> Geophysics, Geodesy, Numerical modeling</t>
    </r>
  </si>
  <si>
    <r>
      <rPr>
        <rFont val="Calibri"/>
        <b/>
        <color rgb="FF000000"/>
      </rPr>
      <t xml:space="preserve">Environmental Protection; Engineering; </t>
    </r>
    <r>
      <rPr>
        <rFont val="Calibri"/>
        <color rgb="FF000000"/>
      </rPr>
      <t>Geohazard; Seismology; Volcanology</t>
    </r>
  </si>
  <si>
    <r>
      <rPr>
        <rFont val="Calibri"/>
        <b/>
        <color rgb="FF000000"/>
      </rPr>
      <t>Atmospheric Physics</t>
    </r>
    <r>
      <rPr>
        <rFont val="Calibri"/>
        <color rgb="FF000000"/>
      </rPr>
      <t>; Geohazard; Seismology; Solid Earth; Volcanology; Other</t>
    </r>
  </si>
  <si>
    <r>
      <rPr>
        <rFont val="Calibri"/>
        <color rgb="FF000000"/>
      </rPr>
      <t xml:space="preserve">Volcanic early warning systems, short-term eruption forecasting, development of threshold-based and </t>
    </r>
    <r>
      <rPr>
        <rFont val="Calibri"/>
        <b/>
        <color rgb="FF000000"/>
      </rPr>
      <t>AI-</t>
    </r>
    <r>
      <rPr>
        <rFont val="Calibri"/>
        <color rgb="FF000000"/>
      </rPr>
      <t>integrated detection algorithms, monitoring of explosive activity at Stromboli and Etna, ground deformation analysis, volcanic and regional seismology, geophysical data interpretation, signal processing of seismic and acoustic data, multiparametric monitoring, time series analysis, statistical evaluation of early detection system vulnerabilities, machine learning applications in geophysics, classification of volcanic explosions using geophysical parameters, real-time monitoring system development, microseism analysis and ocean-seismic coupling, regression and clustering techniques, array tecniques for seismic and infrasound signals, seismic and infrasound sensors installation, data acquisition and management, structured and object-oriented programming in Matlab and Python, applied statistics and algebra for geophysical interpretation, academic tutoring and teaching support.</t>
    </r>
  </si>
  <si>
    <r>
      <rPr>
        <rFont val="Calibri"/>
        <color rgb="FF000000"/>
      </rPr>
      <t>Geohazard;</t>
    </r>
    <r>
      <rPr>
        <rFont val="Calibri"/>
        <b/>
        <color rgb="FF000000"/>
      </rPr>
      <t xml:space="preserve"> Marine Sciences</t>
    </r>
    <r>
      <rPr>
        <rFont val="Calibri"/>
        <color rgb="FF000000"/>
      </rPr>
      <t>; Seismology; Solid Earth</t>
    </r>
  </si>
  <si>
    <t>Color</t>
  </si>
  <si>
    <t>ai4seismology</t>
  </si>
  <si>
    <t>Université libre de Bruxelles</t>
  </si>
  <si>
    <t>Universität Hamburg, Institut für Geophysik</t>
  </si>
  <si>
    <t>ScaDS.AI</t>
  </si>
  <si>
    <t>Leipzig University</t>
  </si>
  <si>
    <t>CNRS ISTerre</t>
  </si>
  <si>
    <t>Université Grenoble Alpes, ISTerre</t>
  </si>
  <si>
    <t>Affiliation (no abbreviations)</t>
  </si>
  <si>
    <t>Have you been familiar with Quakeworx before?</t>
  </si>
  <si>
    <t>Have you used the EPOS TCS AH Episodes platform before?</t>
  </si>
  <si>
    <r>
      <rPr>
        <rFont val="&quot;Calibri&quot;"/>
        <color rgb="FF000000"/>
        <sz val="8.0"/>
      </rPr>
      <t xml:space="preserve">Geohazard; </t>
    </r>
    <r>
      <rPr>
        <rFont val="&quot;Calibri&quot;"/>
        <b/>
        <color rgb="FF000000"/>
        <sz val="8.0"/>
      </rPr>
      <t>Seismology; Solid Earth</t>
    </r>
  </si>
  <si>
    <r>
      <rPr>
        <rFont val="&quot;Calibri&quot;"/>
        <b/>
        <color rgb="FF000000"/>
        <sz val="8.0"/>
      </rPr>
      <t xml:space="preserve">Environmental Protection; </t>
    </r>
    <r>
      <rPr>
        <rFont val="&quot;Calibri&quot;"/>
        <color rgb="FF000000"/>
        <sz val="8.0"/>
      </rPr>
      <t xml:space="preserve">Geohazard; </t>
    </r>
    <r>
      <rPr>
        <rFont val="&quot;Calibri&quot;"/>
        <b/>
        <color rgb="FF000000"/>
        <sz val="8.0"/>
      </rPr>
      <t>Marine Sciences; Tsunami</t>
    </r>
  </si>
  <si>
    <r>
      <rPr>
        <rFont val="&quot;Calibri&quot;"/>
        <b/>
        <color rgb="FF000000"/>
        <sz val="8.0"/>
      </rPr>
      <t>Computer Science;</t>
    </r>
    <r>
      <rPr>
        <rFont val="&quot;Calibri&quot;"/>
        <color rgb="FF000000"/>
        <sz val="8.0"/>
      </rPr>
      <t xml:space="preserve"> Environmental Protection; Geohazard; Solid Earth</t>
    </r>
  </si>
  <si>
    <r>
      <rPr>
        <rFont val="&quot;Calibri&quot;"/>
        <color rgb="FF000000"/>
        <sz val="8.0"/>
      </rPr>
      <t xml:space="preserve">Computer Science; </t>
    </r>
    <r>
      <rPr>
        <rFont val="&quot;Calibri&quot;"/>
        <b/>
        <color rgb="FF000000"/>
        <sz val="8.0"/>
      </rPr>
      <t>Environmental Protection</t>
    </r>
  </si>
  <si>
    <r>
      <rPr>
        <rFont val="&quot;Calibri&quot;"/>
        <color rgb="FF000000"/>
        <sz val="8.0"/>
      </rPr>
      <t xml:space="preserve">Environmental Protection; </t>
    </r>
    <r>
      <rPr>
        <rFont val="&quot;Calibri&quot;"/>
        <b/>
        <color rgb="FF000000"/>
        <sz val="8.0"/>
      </rPr>
      <t>Marine Sciences</t>
    </r>
  </si>
  <si>
    <r>
      <rPr>
        <rFont val="&quot;Calibri&quot;"/>
        <b/>
        <color rgb="FF000000"/>
        <sz val="8.0"/>
      </rPr>
      <t>Atmospheric Physics</t>
    </r>
    <r>
      <rPr>
        <rFont val="&quot;Calibri&quot;"/>
        <color rgb="FF000000"/>
        <sz val="8.0"/>
      </rPr>
      <t>; Solid Earth</t>
    </r>
  </si>
  <si>
    <r>
      <rPr>
        <rFont val="&quot;Calibri&quot;"/>
        <color rgb="FF000000"/>
        <sz val="8.0"/>
      </rPr>
      <t xml:space="preserve">Seismology; </t>
    </r>
    <r>
      <rPr>
        <rFont val="&quot;Calibri&quot;"/>
        <b/>
        <color rgb="FF000000"/>
        <sz val="8.0"/>
      </rPr>
      <t>Tsunami; Volcanology</t>
    </r>
  </si>
  <si>
    <r>
      <rPr>
        <rFont val="&quot;Calibri&quot;"/>
        <color rgb="FF000000"/>
        <sz val="8.0"/>
      </rPr>
      <t xml:space="preserve">Environmental Protection; </t>
    </r>
    <r>
      <rPr>
        <rFont val="&quot;Calibri&quot;"/>
        <b/>
        <color rgb="FF000000"/>
        <sz val="8.0"/>
      </rPr>
      <t>Energy Transformation/Storage</t>
    </r>
  </si>
  <si>
    <r>
      <rPr>
        <rFont val="&quot;Calibri&quot;"/>
        <color rgb="FF000000"/>
        <sz val="8.0"/>
      </rPr>
      <t xml:space="preserve">Computer Science; </t>
    </r>
    <r>
      <rPr>
        <rFont val="&quot;Calibri&quot;"/>
        <b/>
        <color rgb="FF000000"/>
        <sz val="8.0"/>
      </rPr>
      <t>Energy Transformation/Storage; Engineering</t>
    </r>
    <r>
      <rPr>
        <rFont val="&quot;Calibri&quot;"/>
        <color rgb="FF000000"/>
        <sz val="8.0"/>
      </rPr>
      <t>; Geohazard; Seismology; Solid Earth; Volcanology</t>
    </r>
  </si>
  <si>
    <r>
      <rPr>
        <rFont val="&quot;Calibri&quot;"/>
        <color rgb="FF000000"/>
        <sz val="8.0"/>
      </rPr>
      <t xml:space="preserve">Seismology; </t>
    </r>
    <r>
      <rPr>
        <rFont val="&quot;Calibri&quot;"/>
        <b/>
        <color rgb="FF000000"/>
        <sz val="8.0"/>
      </rPr>
      <t>Tsunami</t>
    </r>
  </si>
  <si>
    <r>
      <rPr>
        <rFont val="&quot;Calibri&quot;"/>
        <b/>
        <color rgb="FF000000"/>
        <sz val="8.0"/>
      </rPr>
      <t>Environmental Protection;</t>
    </r>
    <r>
      <rPr>
        <rFont val="&quot;Calibri&quot;"/>
        <color rgb="FF000000"/>
        <sz val="8.0"/>
      </rPr>
      <t xml:space="preserve"> Geohazard</t>
    </r>
  </si>
  <si>
    <r>
      <rPr>
        <rFont val="&quot;Calibri&quot;"/>
        <color rgb="FF000000"/>
        <sz val="8.0"/>
      </rPr>
      <t xml:space="preserve">Geohazard; </t>
    </r>
    <r>
      <rPr>
        <rFont val="&quot;Calibri&quot;"/>
        <b/>
        <color rgb="FF000000"/>
        <sz val="8.0"/>
      </rPr>
      <t xml:space="preserve">Marine Sciences; </t>
    </r>
    <r>
      <rPr>
        <rFont val="&quot;Calibri&quot;"/>
        <color rgb="FF000000"/>
        <sz val="8.0"/>
      </rPr>
      <t>Tsunami</t>
    </r>
  </si>
  <si>
    <r>
      <rPr>
        <rFont val="&quot;Calibri&quot;"/>
        <b/>
        <color rgb="FF000000"/>
        <sz val="8.0"/>
      </rPr>
      <t>Atmospheric Physics</t>
    </r>
    <r>
      <rPr>
        <rFont val="&quot;Calibri&quot;"/>
        <color rgb="FF000000"/>
        <sz val="8.0"/>
      </rPr>
      <t>; Environmental Protection</t>
    </r>
  </si>
  <si>
    <r>
      <rPr>
        <rFont val="Calibri"/>
        <b/>
        <color theme="1"/>
      </rPr>
      <t>Geohazard</t>
    </r>
    <r>
      <rPr>
        <rFont val="Calibri"/>
        <color theme="1"/>
      </rPr>
      <t>; Seismology; Tsunami</t>
    </r>
  </si>
  <si>
    <r>
      <rPr>
        <rFont val="Calibri"/>
        <b/>
        <color theme="1"/>
      </rPr>
      <t>Environmental Protectio</t>
    </r>
    <r>
      <rPr>
        <rFont val="Calibri"/>
        <color theme="1"/>
      </rPr>
      <t>n; Engineering; Marine Sciences</t>
    </r>
  </si>
  <si>
    <r>
      <rPr>
        <rFont val="Calibri"/>
        <b/>
        <color theme="1"/>
      </rPr>
      <t xml:space="preserve">Geodesy </t>
    </r>
    <r>
      <rPr>
        <rFont val="Calibri"/>
        <color theme="1"/>
      </rPr>
      <t>- Sea level</t>
    </r>
  </si>
  <si>
    <r>
      <rPr>
        <rFont val="&quot;Calibri&quot;"/>
        <b/>
        <color rgb="FF000000"/>
        <sz val="8.0"/>
      </rPr>
      <t>Engineering;</t>
    </r>
    <r>
      <rPr>
        <rFont val="&quot;Calibri&quot;"/>
        <color rgb="FF000000"/>
        <sz val="8.0"/>
      </rPr>
      <t xml:space="preserve"> Geohazard</t>
    </r>
  </si>
  <si>
    <r>
      <rPr>
        <rFont val="&quot;Calibri&quot;"/>
        <b/>
        <color rgb="FF000000"/>
        <sz val="8.0"/>
      </rPr>
      <t>Volcanology</t>
    </r>
    <r>
      <rPr>
        <rFont val="&quot;Calibri&quot;"/>
        <color rgb="FF000000"/>
        <sz val="8.0"/>
      </rPr>
      <t>; Other</t>
    </r>
  </si>
  <si>
    <r>
      <rPr>
        <rFont val="&quot;Calibri&quot;"/>
        <b/>
        <color rgb="FF000000"/>
        <sz val="8.0"/>
      </rPr>
      <t>Atmospheric Physics</t>
    </r>
    <r>
      <rPr>
        <rFont val="&quot;Calibri&quot;"/>
        <color rgb="FF000000"/>
        <sz val="8.0"/>
      </rPr>
      <t>; Solid Earth; Other</t>
    </r>
  </si>
  <si>
    <r>
      <rPr>
        <rFont val="&quot;Calibri&quot;"/>
        <color rgb="FF000000"/>
        <sz val="8.0"/>
      </rPr>
      <t xml:space="preserve">Geohazard; Seismology; </t>
    </r>
    <r>
      <rPr>
        <rFont val="&quot;Calibri&quot;"/>
        <b/>
        <color rgb="FF000000"/>
        <sz val="8.0"/>
      </rPr>
      <t>Tsunami</t>
    </r>
  </si>
  <si>
    <r>
      <rPr>
        <rFont val="&quot;Calibri&quot;"/>
        <color rgb="FF000000"/>
        <sz val="8.0"/>
      </rPr>
      <t>Engineering; S</t>
    </r>
    <r>
      <rPr>
        <rFont val="&quot;Calibri&quot;"/>
        <b/>
        <color rgb="FF000000"/>
        <sz val="8.0"/>
      </rPr>
      <t>eismology</t>
    </r>
  </si>
  <si>
    <r>
      <rPr>
        <rFont val="&quot;Calibri&quot;"/>
        <color rgb="FF000000"/>
        <sz val="8.0"/>
      </rPr>
      <t xml:space="preserve">Geohazard; Solid Earth; </t>
    </r>
    <r>
      <rPr>
        <rFont val="&quot;Calibri&quot;"/>
        <b/>
        <color rgb="FF000000"/>
        <sz val="8.0"/>
      </rPr>
      <t>Volcanology</t>
    </r>
  </si>
  <si>
    <r>
      <rPr>
        <rFont val="&quot;Calibri&quot;"/>
        <b/>
        <color rgb="FF000000"/>
        <sz val="8.0"/>
      </rPr>
      <t>Environmental Protection</t>
    </r>
    <r>
      <rPr>
        <rFont val="&quot;Calibri&quot;"/>
        <color rgb="FF000000"/>
        <sz val="8.0"/>
      </rPr>
      <t>; Engineering</t>
    </r>
  </si>
  <si>
    <r>
      <rPr>
        <rFont val="&quot;Calibri&quot;"/>
        <color rgb="FF000000"/>
        <sz val="8.0"/>
      </rPr>
      <t>Environmental Protection; Geohazard; Marine Sciences;</t>
    </r>
    <r>
      <rPr>
        <rFont val="&quot;Calibri&quot;"/>
        <b/>
        <color rgb="FF000000"/>
        <sz val="8.0"/>
      </rPr>
      <t xml:space="preserve"> Tsunami</t>
    </r>
  </si>
  <si>
    <t>Id</t>
  </si>
  <si>
    <r>
      <rPr>
        <rFont val="&quot;Calibri&quot;"/>
        <b/>
        <color rgb="FF000000"/>
        <sz val="8.0"/>
      </rPr>
      <t>Atmospheric Physics</t>
    </r>
    <r>
      <rPr>
        <rFont val="&quot;Calibri&quot;"/>
        <color rgb="FF000000"/>
        <sz val="8.0"/>
      </rPr>
      <t>; Engineering; Geohazard; Seismology</t>
    </r>
  </si>
  <si>
    <r>
      <rPr>
        <rFont val="&quot;Calibri&quot;"/>
        <color rgb="FF000000"/>
        <sz val="8.0"/>
      </rPr>
      <t xml:space="preserve">Geohazard; </t>
    </r>
    <r>
      <rPr>
        <rFont val="&quot;Calibri&quot;"/>
        <b/>
        <color rgb="FF000000"/>
        <sz val="8.0"/>
      </rPr>
      <t>Marine Sciences</t>
    </r>
  </si>
  <si>
    <r>
      <rPr>
        <rFont val="&quot;Calibri&quot;"/>
        <color rgb="FF000000"/>
        <sz val="8.0"/>
      </rPr>
      <t xml:space="preserve">Computer Science; </t>
    </r>
    <r>
      <rPr>
        <rFont val="&quot;Calibri&quot;"/>
        <b/>
        <color rgb="FF000000"/>
        <sz val="8.0"/>
      </rPr>
      <t>Environmental Protection;</t>
    </r>
    <r>
      <rPr>
        <rFont val="&quot;Calibri&quot;"/>
        <color rgb="FF000000"/>
        <sz val="8.0"/>
      </rPr>
      <t xml:space="preserve"> Geohazard; Seismology; </t>
    </r>
    <r>
      <rPr>
        <rFont val="&quot;Calibri&quot;"/>
        <b/>
        <color rgb="FF000000"/>
        <sz val="8.0"/>
      </rPr>
      <t>Tsunami;</t>
    </r>
    <r>
      <rPr>
        <rFont val="&quot;Calibri&quot;"/>
        <color rgb="FF000000"/>
        <sz val="8.0"/>
      </rPr>
      <t xml:space="preserve"> Volcanology</t>
    </r>
  </si>
  <si>
    <t>Have you used HySEA before?</t>
  </si>
  <si>
    <t>Tag</t>
  </si>
  <si>
    <r>
      <rPr>
        <rFont val="&quot;Calibri&quot;"/>
        <color rgb="FF000000"/>
        <sz val="8.0"/>
      </rPr>
      <t xml:space="preserve">Solid Earth; </t>
    </r>
    <r>
      <rPr>
        <rFont val="&quot;Calibri&quot;"/>
        <b/>
        <color rgb="FF000000"/>
        <sz val="8.0"/>
      </rPr>
      <t>Volcanology</t>
    </r>
  </si>
  <si>
    <r>
      <rPr>
        <rFont val="&quot;Calibri&quot;"/>
        <b/>
        <color rgb="FF000000"/>
        <sz val="8.0"/>
      </rPr>
      <t xml:space="preserve">Environmental Protection; Geohazard; </t>
    </r>
    <r>
      <rPr>
        <rFont val="&quot;Calibri&quot;"/>
        <color rgb="FF000000"/>
        <sz val="8.0"/>
      </rPr>
      <t>Seismology</t>
    </r>
  </si>
  <si>
    <r>
      <rPr>
        <rFont val="&quot;Calibri&quot;"/>
        <color rgb="FF000000"/>
        <sz val="8.0"/>
      </rPr>
      <t>Geohazard; M</t>
    </r>
    <r>
      <rPr>
        <rFont val="&quot;Calibri&quot;"/>
        <b/>
        <color rgb="FF000000"/>
        <sz val="8.0"/>
      </rPr>
      <t>arine Sciences</t>
    </r>
    <r>
      <rPr>
        <rFont val="&quot;Calibri&quot;"/>
        <color rgb="FF000000"/>
        <sz val="8.0"/>
      </rPr>
      <t>; Seismology; Solid Earth; Tsunami</t>
    </r>
  </si>
  <si>
    <r>
      <rPr>
        <rFont val="&quot;Calibri&quot;"/>
        <color rgb="FF000000"/>
        <sz val="8.0"/>
      </rPr>
      <t xml:space="preserve">Environmental Science and </t>
    </r>
    <r>
      <rPr>
        <rFont val="&quot;Calibri&quot;"/>
        <b/>
        <color rgb="FF000000"/>
        <sz val="8.0"/>
      </rPr>
      <t>Geology</t>
    </r>
    <r>
      <rPr>
        <rFont val="&quot;Calibri&quot;"/>
        <color rgb="FF000000"/>
        <sz val="8.0"/>
      </rPr>
      <t xml:space="preserve"> (general)</t>
    </r>
  </si>
  <si>
    <t>Have you been familiar with seismic site effects and/or ground motion simulations before?</t>
  </si>
  <si>
    <r>
      <rPr>
        <rFont val="&quot;Calibri&quot;"/>
        <color rgb="FF000000"/>
        <sz val="8.0"/>
      </rPr>
      <t xml:space="preserve">Engineering; Geohazard; Seismology; </t>
    </r>
    <r>
      <rPr>
        <rFont val="&quot;Calibri&quot;"/>
        <b/>
        <color rgb="FF000000"/>
        <sz val="8.0"/>
      </rPr>
      <t>Tsunami</t>
    </r>
  </si>
  <si>
    <r>
      <rPr>
        <rFont val="&quot;Calibri&quot;"/>
        <color rgb="FF000000"/>
        <sz val="8.0"/>
      </rPr>
      <t>Engineering; Geohazard</t>
    </r>
    <r>
      <rPr>
        <rFont val="&quot;Calibri&quot;"/>
        <b/>
        <color rgb="FF000000"/>
        <sz val="8.0"/>
      </rPr>
      <t>; Marine Sciences</t>
    </r>
  </si>
  <si>
    <r>
      <rPr>
        <rFont val="&quot;Calibri&quot;"/>
        <color rgb="FF000000"/>
        <sz val="8.0"/>
      </rPr>
      <t xml:space="preserve">Seismology; </t>
    </r>
    <r>
      <rPr>
        <rFont val="&quot;Calibri&quot;"/>
        <b/>
        <color rgb="FF000000"/>
        <sz val="8.0"/>
      </rPr>
      <t>Volcanology</t>
    </r>
  </si>
  <si>
    <t>Geography theacher</t>
  </si>
  <si>
    <t>Generic user (i.e. office tools, web browser)</t>
  </si>
  <si>
    <t>Experienced user with programming skills (e.g. Matlab, Python, Mathematica, R, shell scripting, etc.)</t>
  </si>
  <si>
    <t>Tsunami research</t>
  </si>
  <si>
    <t>Seismology, Tsunami research, Earthquake engineering, Geohazards, Technical staff</t>
  </si>
  <si>
    <t>Seismology, Geology, Geohazards</t>
  </si>
  <si>
    <t>Earthquake engineering, Software developer</t>
  </si>
  <si>
    <t>Seismology, Geodesy, Technical staff</t>
  </si>
  <si>
    <t>Seismology, Volcanology, Geohazards</t>
  </si>
  <si>
    <t>Advanced user (software management, installation and configuration of complex software packages, deploying virtual machines, etc.)</t>
  </si>
  <si>
    <t>Seismology, Geodesy, Earthquake engineering</t>
  </si>
  <si>
    <t>Seismology, Volcanology, Geohazards, Data scientist</t>
  </si>
  <si>
    <t>Seismology, Geohazards</t>
  </si>
  <si>
    <t>Seismology, Geodesy, Geology, Geohazards</t>
  </si>
  <si>
    <t>Geodesy, Satellite data, Geology</t>
  </si>
  <si>
    <t>Anthropogenic hazard</t>
  </si>
  <si>
    <t>Satellite data, Tsunami research, Geohazards, Data scientist</t>
  </si>
  <si>
    <t>Seismology, Geology, Earthquake engineering, Geohazards</t>
  </si>
  <si>
    <t>Seismology, Geology</t>
  </si>
  <si>
    <t>Tsunami research, Software developer</t>
  </si>
  <si>
    <t>Geoelectromagnetism, IT Specialist</t>
  </si>
  <si>
    <t>Seismology, Geodesy, Near-fault observations, Satellite data, Anthropogenic hazard</t>
  </si>
  <si>
    <t>Satellite data</t>
  </si>
  <si>
    <t>Physicist</t>
  </si>
  <si>
    <t>geography</t>
  </si>
  <si>
    <t>Seismology, Near-fault observations, Data scientist</t>
  </si>
  <si>
    <t>Geodesy, Volcanology, Satellite data</t>
  </si>
  <si>
    <t>Seismology, Geology, Earthquake engineering, Data scientist</t>
  </si>
  <si>
    <t>Seismology, Data scientist, Software developer</t>
  </si>
  <si>
    <t>IT developer (developing IT solutions)</t>
  </si>
  <si>
    <t>Geohazards, Data scientist</t>
  </si>
  <si>
    <t>Geology, Geohazards, oceanography</t>
  </si>
  <si>
    <t>Satellite data, Anthropogenic hazard, Multi-scale laboratories, Earthquake engineering, Data scientist</t>
  </si>
  <si>
    <t>Physical geography</t>
  </si>
  <si>
    <t>Seismology, Anthropogenic hazard, Earthquake engineering</t>
  </si>
  <si>
    <t>Seismology, Geodesy, Data scientist</t>
  </si>
  <si>
    <t>Seismology, Geology, Earthquake engineering, Geohazards, Data scientist</t>
  </si>
  <si>
    <t>Timestamp</t>
  </si>
  <si>
    <t>What type of user are you?</t>
  </si>
  <si>
    <t>What is your affiliation?</t>
  </si>
  <si>
    <t>What is your country of affiliation?</t>
  </si>
  <si>
    <t>How old are you?</t>
  </si>
  <si>
    <t>What is your gender?</t>
  </si>
  <si>
    <t>What is your background? (multiple choices)</t>
  </si>
  <si>
    <t>What are your IT skills?</t>
  </si>
  <si>
    <t xml:space="preserve">Have you used the EPOS Platform before? </t>
  </si>
  <si>
    <t>How many times have you used the EPOS Platform before?</t>
  </si>
  <si>
    <t>What was the purpose of the EPOS Platform usage?</t>
  </si>
  <si>
    <t>Are you satisfied with the response time of the portal?</t>
  </si>
  <si>
    <t>Do you consider the portal easy to understand and navigate through?</t>
  </si>
  <si>
    <t>How do you rate the following features in the EPOS Platform? [Search features]</t>
  </si>
  <si>
    <t>How do you rate the following features in the EPOS Platform? [Visualization features]</t>
  </si>
  <si>
    <t>How do you rate the following features in the EPOS Platform? [Service configuration features]</t>
  </si>
  <si>
    <t>How do you rate the following features in the EPOS Platform? [Download features]</t>
  </si>
  <si>
    <t>How do you rate the following features in the EPOS Platform? [Metadata content]</t>
  </si>
  <si>
    <t>How clear is the general layout of the portal?</t>
  </si>
  <si>
    <t>Do you think you will use the EPOS Platform again?</t>
  </si>
  <si>
    <t>If not, or not sure what would prevent you from using it again? Please select up to three reasons.</t>
  </si>
  <si>
    <t>Does the EPOS Platform cover data you could use for your research?</t>
  </si>
  <si>
    <t>Is DATA QUALITY in EPOS Platform sufficient for your research?</t>
  </si>
  <si>
    <t>What kind of data/service/feature you would like to find in the portal that is not yet there?</t>
  </si>
  <si>
    <t xml:space="preserve">How would you evaluate this approach for training? </t>
  </si>
  <si>
    <t>Have you learned anything useful during the training today?</t>
  </si>
  <si>
    <t>Do you feel that after the training you acquired the skills to use the portal?</t>
  </si>
  <si>
    <t>How would you evaluate individual parts of the training? [Introduction to Open Science]</t>
  </si>
  <si>
    <t>How would you evaluate individual parts of the training? [Presentation of the EPOS infrastructure]</t>
  </si>
  <si>
    <t>How would you evaluate individual parts of the training? [Demo of the EPOS Platform]</t>
  </si>
  <si>
    <t>How would you evaluate individual parts of the training? [Hands-on session]</t>
  </si>
  <si>
    <t>Would you be interested in further training on the EPOS Platform?</t>
  </si>
  <si>
    <t>Scientific user (cross-disciplinary scientist, domain scientist)</t>
  </si>
  <si>
    <t>CZ</t>
  </si>
  <si>
    <t>31-40</t>
  </si>
  <si>
    <t>Near-fault observations, Volcanology, Geoelectromagnetism</t>
  </si>
  <si>
    <t>Better than expected</t>
  </si>
  <si>
    <t>Can't assess - not applicable</t>
  </si>
  <si>
    <t>I acquired basic skills but I would need further assistance on specific services</t>
  </si>
  <si>
    <t>Can't evaluate</t>
  </si>
  <si>
    <t>Well done</t>
  </si>
  <si>
    <t>I don't know</t>
  </si>
  <si>
    <t>Scientific user (cross-disciplinary scientist, domain scientist), Early career scientist or student (below 35 years)</t>
  </si>
  <si>
    <t>Seismology, Data scientist, Software developer, Mathematics</t>
  </si>
  <si>
    <t>Just fine</t>
  </si>
  <si>
    <t>Could be improved</t>
  </si>
  <si>
    <t>Yes, on specific services, Yes, on scientific use cases in my specific domain</t>
  </si>
  <si>
    <t>Early career scientist or student (below 35 years)</t>
  </si>
  <si>
    <t>gravimetry</t>
  </si>
  <si>
    <t>Twice</t>
  </si>
  <si>
    <t>Just curious and trying out</t>
  </si>
  <si>
    <t>I can find the data I need elsewhere and I am already familiar with that platform/application</t>
  </si>
  <si>
    <t>Yes, absolutely</t>
  </si>
  <si>
    <t>Yes, on specific services, Yes, on scientific use cases in my specific domain, Yes, on non-academic uses of the portal (e.g. for education, citizen science etc)</t>
  </si>
  <si>
    <t>I can find the data I need elsewhere and I am already familiar with that platform/application, The portal does not include data I need in my field of research</t>
  </si>
  <si>
    <t>Ground temperatures</t>
  </si>
  <si>
    <t>Yes, on scientific use cases in my specific domain</t>
  </si>
  <si>
    <t>Scientific user (cross-disciplinary scientist, domain scientist), IT Expert</t>
  </si>
  <si>
    <t>51-69</t>
  </si>
  <si>
    <t>man</t>
  </si>
  <si>
    <t>Geodesy, Data scientist, Software developer, IT Specialist</t>
  </si>
  <si>
    <t>Insufficient</t>
  </si>
  <si>
    <t>The portal does not include data I need in my field of research</t>
  </si>
  <si>
    <t>more GNSS RINEX and time series data</t>
  </si>
  <si>
    <t>environmental magnetism</t>
  </si>
  <si>
    <t>just I need to understand how to use it</t>
  </si>
  <si>
    <t>magnetic data</t>
  </si>
  <si>
    <t>No, I would need more training</t>
  </si>
  <si>
    <t>Yes, on specific services</t>
  </si>
  <si>
    <t>woman</t>
  </si>
  <si>
    <t>Seismology, Technical staff</t>
  </si>
  <si>
    <t>Data discovery</t>
  </si>
  <si>
    <t>Unknown</t>
  </si>
  <si>
    <t>May 22 2024 10:55</t>
  </si>
  <si>
    <t>May 22 2024 10:56</t>
  </si>
  <si>
    <t>Satellite data, Anthropogenic hazard, Geohazards</t>
  </si>
  <si>
    <t>May 22 2024 10:58</t>
  </si>
  <si>
    <t>Geoelectromagnetism, Geohazards, Data scientist, Software developer</t>
  </si>
  <si>
    <t>May 22 2024 10:59</t>
  </si>
  <si>
    <t>May 22 2024 11:02</t>
  </si>
  <si>
    <t>May 22 2024 11:05</t>
  </si>
  <si>
    <t>Anthropogenic hazard, Geology, Geohazards</t>
  </si>
  <si>
    <t>Seismology, Anthropogenic hazard, Geology</t>
  </si>
  <si>
    <t>May 22 2024 11:06</t>
  </si>
  <si>
    <t>May 22 2024 11:09</t>
  </si>
  <si>
    <t>Volcanology, Anthropogenic hazard, Geology, Geohazards</t>
  </si>
  <si>
    <t>Tsunami research, Geohazards</t>
  </si>
  <si>
    <t>May 22 2024 11:10</t>
  </si>
  <si>
    <t>Geology, Geohazards, Data scientist,</t>
  </si>
  <si>
    <t>Multi-scale laboratories, Geohazards, Technical staff</t>
  </si>
  <si>
    <t>May 22 2024 11:11</t>
  </si>
  <si>
    <t>Software developer</t>
  </si>
  <si>
    <t>May 22 2024 11:14</t>
  </si>
  <si>
    <t>May 22 2024 11:16</t>
  </si>
  <si>
    <t>Seismology, Geodesy, Near-fault observations, Volcanology, Satellite data, Geology, Multi-scale laboratories, Geohazards, Data scientist, Software developer</t>
  </si>
  <si>
    <t>Data scientist, IT Architect</t>
  </si>
  <si>
    <t>May 22 2024 11:18</t>
  </si>
  <si>
    <t>Volcanology, Geology, Civil Protection</t>
  </si>
  <si>
    <t>May 22 2024 11:20</t>
  </si>
  <si>
    <t>Geoelectromagnetism, Geohazards</t>
  </si>
  <si>
    <t>Geology, Data scientist, IT Architect, Technical staff</t>
  </si>
  <si>
    <t>May 22 2024 11:23</t>
  </si>
  <si>
    <t>May 22 2024 11:24</t>
  </si>
  <si>
    <t>May 22 2024 11:25</t>
  </si>
  <si>
    <t>Geodesy, Volcanology, Satellite data, Data scientist</t>
  </si>
  <si>
    <t>Geodesy, Volcanology, Physics</t>
  </si>
  <si>
    <t>May 22 2024 11:27</t>
  </si>
  <si>
    <t>May 22 2024 11:30</t>
  </si>
  <si>
    <t>Seismology, Satellite data</t>
  </si>
  <si>
    <t>May 22 2024 11:47</t>
  </si>
  <si>
    <t>Geoelectromagnetism, Data scientist, Software developer</t>
  </si>
  <si>
    <t>May 22 2024 11:50</t>
  </si>
  <si>
    <t>May 22 2024 11:53</t>
  </si>
  <si>
    <t>May 22 2024 12:00</t>
  </si>
  <si>
    <t>Software developer, IT Specialist, Technical staff</t>
  </si>
  <si>
    <t>Mar 14, 2024, 16:49</t>
  </si>
  <si>
    <t>Mar 14, 2024, 17:00</t>
  </si>
  <si>
    <t>Seismology, Anthropogenic hazard, near surface geophysics</t>
  </si>
  <si>
    <t>Mar 14, 2024, 17:06</t>
  </si>
  <si>
    <t>Mar 14, 2024, 17:08</t>
  </si>
  <si>
    <t>Geodesy, Satellite data, Data scientist, Software developer, GNSS Positioning, Navigation</t>
  </si>
  <si>
    <t>Mar 14, 2024, 17:20</t>
  </si>
  <si>
    <t>Mar 14, 2024, 17:21</t>
  </si>
  <si>
    <t>Geodesy, Volcanology, Geology</t>
  </si>
  <si>
    <t>Mar 14, 2024, 17:23</t>
  </si>
  <si>
    <t>Mar 14, 2024, 17:28</t>
  </si>
  <si>
    <t>May 28 2024 15:13</t>
  </si>
  <si>
    <t>May 28 2024 15:27</t>
  </si>
  <si>
    <t>Seismology, Near-fault observations, Geoelectromagnetism, Geology, Earthquake engineering, Geohazards</t>
  </si>
  <si>
    <t>May 28 2024 15:35</t>
  </si>
  <si>
    <t>Geoelectromagnetism, Geology</t>
  </si>
  <si>
    <t>May 28 2024 15:36</t>
  </si>
  <si>
    <t>Seismology, Satellite data, Geology, Geohazards</t>
  </si>
  <si>
    <t>Satellite data, Geology, Data scientist</t>
  </si>
  <si>
    <t>Soil Scientist</t>
  </si>
  <si>
    <t>Satellite data, IT Architect, IT Specialist</t>
  </si>
  <si>
    <t>Seismology, Physics</t>
  </si>
  <si>
    <t>Satellite data, Anthropogenic hazard, Environmental in-situ observations</t>
  </si>
  <si>
    <t>Seismology, Geodesy, Satellite data</t>
  </si>
  <si>
    <t>Oct 22 2024 10:36</t>
  </si>
  <si>
    <t>Oct 22 2024 11:13</t>
  </si>
  <si>
    <t>Oct 22 2024 11:17</t>
  </si>
  <si>
    <t>Oct 22 2024 11:26</t>
  </si>
  <si>
    <t>Seismology, Geodesy, Near-fault observations, Satellite data, Geology</t>
  </si>
  <si>
    <t>Oct 22 2024 11:42</t>
  </si>
  <si>
    <t>Oct 22 2024 14:49</t>
  </si>
  <si>
    <t>Geodesy, Satellite data, Geology, Geohazards</t>
  </si>
  <si>
    <t>Oct 28 2024 09:44</t>
  </si>
  <si>
    <t>Have you used the installation ETRiS/EPOS TCS Tsunami (VA2-35-1) before?</t>
  </si>
  <si>
    <t>Have you heard about any of these Research Infrastructure/Consortia/Projects?</t>
  </si>
  <si>
    <r>
      <rPr>
        <rFont val="Calibri"/>
        <color rgb="FF000000"/>
        <sz val="11.0"/>
      </rPr>
      <t xml:space="preserve">Seismology; </t>
    </r>
    <r>
      <rPr>
        <rFont val="Calibri"/>
        <b/>
        <color rgb="FF000000"/>
        <sz val="11.0"/>
      </rPr>
      <t>Solid Earth</t>
    </r>
  </si>
  <si>
    <t>Cheese; DT-Geo; EPOS; Geo-INQUIRE</t>
  </si>
  <si>
    <t>ARISE; Cheese; DT-Geo; ECCSEL; EMSO; EPOS; Geo-INQUIRE</t>
  </si>
  <si>
    <t>38 SMEs</t>
  </si>
  <si>
    <r>
      <rPr>
        <rFont val="Calibri"/>
        <color rgb="FF000000"/>
        <sz val="11.0"/>
      </rPr>
      <t xml:space="preserve">Geohazard; Seismology; </t>
    </r>
    <r>
      <rPr>
        <rFont val="Calibri"/>
        <b/>
        <color rgb="FF000000"/>
        <sz val="11.0"/>
      </rPr>
      <t>Solid Earth</t>
    </r>
  </si>
  <si>
    <r>
      <rPr>
        <rFont val="Calibri"/>
        <color rgb="FF000000"/>
        <sz val="11.0"/>
      </rPr>
      <t xml:space="preserve">Geohazard; Seismology; Solid Earth; Tsunami; </t>
    </r>
    <r>
      <rPr>
        <rFont val="Calibri"/>
        <b/>
        <color rgb="FF000000"/>
        <sz val="11.0"/>
      </rPr>
      <t>Volcanology</t>
    </r>
  </si>
  <si>
    <r>
      <rPr>
        <rFont val="Calibri"/>
        <b/>
        <color rgb="FF000000"/>
        <sz val="11.0"/>
      </rPr>
      <t>Atmospheric Physics</t>
    </r>
    <r>
      <rPr>
        <rFont val="Calibri"/>
        <color rgb="FF000000"/>
        <sz val="11.0"/>
      </rPr>
      <t>; Geohazard; Seismology</t>
    </r>
  </si>
  <si>
    <t>Europe (new</t>
  </si>
  <si>
    <t>Professional Background - Other:</t>
  </si>
  <si>
    <t>Professional Background</t>
  </si>
  <si>
    <t>widening counry</t>
  </si>
  <si>
    <r>
      <rPr>
        <rFont val="Calibri"/>
        <color rgb="FF000000"/>
        <sz val="10.0"/>
      </rPr>
      <t xml:space="preserve">Computer Science; Geohazard; Seismology; </t>
    </r>
    <r>
      <rPr>
        <rFont val="Calibri"/>
        <b/>
        <color rgb="FF000000"/>
        <sz val="10.0"/>
      </rPr>
      <t>Volcanology</t>
    </r>
  </si>
  <si>
    <t>associated country</t>
  </si>
  <si>
    <t>Senior Researcher</t>
  </si>
  <si>
    <r>
      <rPr>
        <rFont val="Calibri"/>
        <color rgb="FF000000"/>
        <sz val="10.0"/>
      </rPr>
      <t>geology, geotechnics,</t>
    </r>
    <r>
      <rPr>
        <rFont val="Calibri"/>
        <b/>
        <color rgb="FF000000"/>
        <sz val="10.0"/>
      </rPr>
      <t xml:space="preserve"> hydrogeology</t>
    </r>
    <r>
      <rPr>
        <rFont val="Calibri"/>
        <color rgb="FF000000"/>
        <sz val="10.0"/>
      </rPr>
      <t>, construction</t>
    </r>
  </si>
  <si>
    <r>
      <rPr>
        <rFont val="Calibri"/>
        <color rgb="FF000000"/>
        <sz val="10.0"/>
      </rPr>
      <t xml:space="preserve">Computer Science; Engineering; Geohazard; Seismology; </t>
    </r>
    <r>
      <rPr>
        <rFont val="Calibri"/>
        <b/>
        <color rgb="FF000000"/>
        <sz val="10.0"/>
      </rPr>
      <t>Solid Earth</t>
    </r>
  </si>
  <si>
    <t>USA</t>
  </si>
  <si>
    <t>widening Countries</t>
  </si>
  <si>
    <t>What is your scientific expertise</t>
  </si>
  <si>
    <t>Scientfic expertise-other</t>
  </si>
  <si>
    <t>Have you used Geo-INQUIRE services (https://www.geo-inquire.eu) before?</t>
  </si>
  <si>
    <t>Invited/Non-invited</t>
  </si>
  <si>
    <t>Motiviation Letter (Non-invited)</t>
  </si>
  <si>
    <t>No.</t>
  </si>
  <si>
    <t>Invited</t>
  </si>
  <si>
    <t>morocco</t>
  </si>
  <si>
    <t>Non-Invited</t>
  </si>
  <si>
    <t>If Scientific expertise - Other(s):</t>
  </si>
  <si>
    <t>Participation</t>
  </si>
  <si>
    <t>online</t>
  </si>
  <si>
    <r>
      <rPr>
        <rFont val="&quot;Calibri&quot;"/>
        <color rgb="FF000000"/>
        <sz val="8.0"/>
      </rPr>
      <t xml:space="preserve">Seismology; </t>
    </r>
    <r>
      <rPr>
        <rFont val="&quot;Calibri&quot;"/>
        <b/>
        <color rgb="FF000000"/>
        <sz val="8.0"/>
      </rPr>
      <t>Volcanology</t>
    </r>
  </si>
  <si>
    <r>
      <rPr>
        <rFont val="&quot;Calibri&quot;"/>
        <b/>
        <color rgb="FF000000"/>
        <sz val="8.0"/>
      </rPr>
      <t>Computer Science</t>
    </r>
    <r>
      <rPr>
        <rFont val="&quot;Calibri&quot;"/>
        <color rgb="FF000000"/>
        <sz val="8.0"/>
      </rPr>
      <t>; Seismology</t>
    </r>
  </si>
  <si>
    <t>On-site</t>
  </si>
  <si>
    <r>
      <rPr>
        <rFont val="&quot;Calibri&quot;"/>
        <b/>
        <color rgb="FF000000"/>
        <sz val="8.0"/>
      </rPr>
      <t>Marine Sciences</t>
    </r>
    <r>
      <rPr>
        <rFont val="&quot;Calibri&quot;"/>
        <color rgb="FF000000"/>
        <sz val="8.0"/>
      </rPr>
      <t>; Seismology; Solid Earth</t>
    </r>
  </si>
  <si>
    <t>Have you used PyBetVH before?</t>
  </si>
  <si>
    <r>
      <rPr>
        <rFont val="Calibri"/>
        <color rgb="FF000000"/>
        <sz val="10.0"/>
      </rPr>
      <t>Computer Science; Geohazard; Seismology;</t>
    </r>
    <r>
      <rPr>
        <rFont val="Calibri"/>
        <b/>
        <color rgb="FF000000"/>
        <sz val="10.0"/>
      </rPr>
      <t xml:space="preserve"> Solid Earth;</t>
    </r>
    <r>
      <rPr>
        <rFont val="Calibri"/>
        <color rgb="FF000000"/>
        <sz val="10.0"/>
      </rPr>
      <t xml:space="preserve"> Volcanology</t>
    </r>
  </si>
  <si>
    <r>
      <rPr>
        <rFont val="&quot;Calibri&quot;"/>
        <color rgb="FF000000"/>
        <sz val="8.0"/>
      </rPr>
      <t>Geohazard; Seismology;</t>
    </r>
    <r>
      <rPr>
        <rFont val="&quot;Calibri&quot;"/>
        <b/>
        <color rgb="FF000000"/>
        <sz val="8.0"/>
      </rPr>
      <t xml:space="preserve"> Tsunami</t>
    </r>
    <r>
      <rPr>
        <rFont val="&quot;Calibri&quot;"/>
        <color rgb="FF000000"/>
        <sz val="8.0"/>
      </rPr>
      <t>; Volcanology</t>
    </r>
  </si>
  <si>
    <r>
      <rPr>
        <rFont val="&quot;Calibri&quot;"/>
        <color rgb="FF000000"/>
        <sz val="8.0"/>
      </rPr>
      <t xml:space="preserve">Geohazard; </t>
    </r>
    <r>
      <rPr>
        <rFont val="&quot;Calibri&quot;"/>
        <b/>
        <color rgb="FF000000"/>
        <sz val="8.0"/>
      </rPr>
      <t>Marine Sciences</t>
    </r>
    <r>
      <rPr>
        <rFont val="&quot;Calibri&quot;"/>
        <color rgb="FF000000"/>
        <sz val="8.0"/>
      </rPr>
      <t>; Tsunami</t>
    </r>
  </si>
  <si>
    <t>La Reunion</t>
  </si>
  <si>
    <t>Mayotte</t>
  </si>
  <si>
    <t>Canarias</t>
  </si>
  <si>
    <t>Azores</t>
  </si>
  <si>
    <t>Madeira</t>
  </si>
  <si>
    <t>Saint-Martin</t>
  </si>
  <si>
    <t>Guadeloupe</t>
  </si>
  <si>
    <t>Martinique</t>
  </si>
  <si>
    <t>Guyana</t>
  </si>
  <si>
    <t>Armenia</t>
  </si>
  <si>
    <t>Faroe Islands</t>
  </si>
  <si>
    <t>Kosovo</t>
  </si>
  <si>
    <t>Moldova</t>
  </si>
  <si>
    <t>Estonia</t>
  </si>
  <si>
    <t>Latvia</t>
  </si>
  <si>
    <t>Lithuania</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</si>
</sst>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yyyy"/>
    <numFmt numFmtId="165" formatCode="dd.mm.yyyy"/>
    <numFmt numFmtId="166" formatCode="mmmm yyyy"/>
    <numFmt numFmtId="167" formatCode="mmmm-d"/>
    <numFmt numFmtId="168" formatCode="mmm d, yyyy, hh:mm"/>
    <numFmt numFmtId="169" formatCode="d.m.yyyy hh:mm:ss"/>
    <numFmt numFmtId="170" formatCode="yyyy-mm-dd hh:mm:ss"/>
    <numFmt numFmtId="171" formatCode="m/d/yyyy h:mm:ss"/>
    <numFmt numFmtId="172" formatCode="yyyy-mm-dd hh:mm"/>
    <numFmt numFmtId="173" formatCode="mmm d, yyyy hh:mm:ss"/>
    <numFmt numFmtId="174" formatCode="mmm d yyyy hh:mm"/>
  </numFmts>
  <fonts count="41">
    <font>
      <sz val="11.0"/>
      <color rgb="FF000000"/>
      <name val="Calibri"/>
      <scheme val="minor"/>
    </font>
    <font>
      <b/>
      <sz val="11.0"/>
      <color rgb="FF000000"/>
      <name val="Calibri"/>
    </font>
    <font>
      <b/>
      <sz val="11.0"/>
      <color rgb="FFCCCCCC"/>
      <name val="Calibri"/>
    </font>
    <font>
      <sz val="11.0"/>
      <color rgb="FF000000"/>
      <name val="Calibri"/>
    </font>
    <font>
      <color theme="1"/>
      <name val="Calibri"/>
    </font>
    <font>
      <color rgb="FF000000"/>
      <name val="Calibri"/>
    </font>
    <font>
      <color theme="1"/>
      <name val="Calibri"/>
      <scheme val="minor"/>
    </font>
    <font>
      <b/>
      <color theme="1"/>
      <name val="Calibri"/>
      <scheme val="minor"/>
    </font>
    <font>
      <b/>
      <color rgb="FF000000"/>
      <name val="Calibri"/>
      <scheme val="minor"/>
    </font>
    <font>
      <color theme="0"/>
      <name val="Calibri"/>
      <scheme val="minor"/>
    </font>
    <font>
      <color rgb="FF000000"/>
      <name val="Calibri"/>
      <scheme val="minor"/>
    </font>
    <font>
      <i/>
      <sz val="11.0"/>
      <color rgb="FF000000"/>
      <name val="Calibri"/>
    </font>
    <font>
      <b/>
      <i/>
      <sz val="11.0"/>
      <color rgb="FF000000"/>
      <name val="Calibri"/>
    </font>
    <font>
      <b/>
      <color theme="1"/>
      <name val="Calibri"/>
    </font>
    <font>
      <b/>
      <color rgb="FF000000"/>
      <name val="Calibri"/>
    </font>
    <font>
      <sz val="9.0"/>
      <color theme="1"/>
      <name val="Calibri"/>
    </font>
    <font>
      <strike/>
      <color theme="1"/>
      <name val="Calibri"/>
    </font>
    <font>
      <sz val="10.0"/>
      <color rgb="FF000000"/>
      <name val="Calibri"/>
    </font>
    <font>
      <sz val="8.0"/>
      <color rgb="FF000000"/>
      <name val="Calibri"/>
    </font>
    <font>
      <sz val="8.0"/>
      <color theme="1"/>
      <name val="Calibri"/>
    </font>
    <font>
      <sz val="8.0"/>
      <color rgb="FF000000"/>
      <name val="Arial"/>
    </font>
    <font>
      <b/>
      <sz val="8.0"/>
      <color rgb="FF000000"/>
      <name val="Calibri"/>
    </font>
    <font>
      <sz val="8.0"/>
      <color rgb="FF000000"/>
      <name val="&quot;Calibri&quot;"/>
    </font>
    <font>
      <sz val="8.0"/>
      <color theme="1"/>
      <name val="&quot;Calibri&quot;"/>
    </font>
    <font>
      <sz val="8.0"/>
      <color rgb="FF000000"/>
      <name val="&quot;Arial&quot;"/>
    </font>
    <font>
      <sz val="8.0"/>
      <color theme="1"/>
      <name val="&quot;Arial&quot;"/>
    </font>
    <font>
      <b/>
      <sz val="8.0"/>
      <color rgb="FF000000"/>
      <name val="&quot;Calibri&quot;"/>
    </font>
    <font>
      <sz val="11.0"/>
      <color rgb="FF000000"/>
      <name val="Arial"/>
    </font>
    <font>
      <color rgb="FF000000"/>
      <name val="Arial"/>
    </font>
    <font>
      <color rgb="FF434343"/>
      <name val="Roboto"/>
    </font>
    <font>
      <u/>
      <color rgb="FF0000FF"/>
      <name val="&quot;Aptos Narrow&quot;"/>
    </font>
    <font>
      <color rgb="FF000000"/>
      <name val="Roboto"/>
    </font>
    <font>
      <color theme="1"/>
      <name val="Arial"/>
    </font>
    <font>
      <sz val="11.0"/>
      <color rgb="FF434343"/>
      <name val="Roboto"/>
    </font>
    <font>
      <b/>
      <color rgb="FF000000"/>
      <name val="Arial"/>
    </font>
    <font>
      <sz val="11.0"/>
      <color rgb="FF000000"/>
      <name val="&quot;Aptos Narrow&quot;"/>
    </font>
    <font>
      <sz val="11.0"/>
      <color theme="1"/>
      <name val="Arial"/>
    </font>
    <font>
      <sz val="11.0"/>
      <color theme="1"/>
      <name val="Calibri"/>
    </font>
    <font>
      <sz val="11.0"/>
      <color rgb="FF000000"/>
      <name val="Docs-Calibri"/>
    </font>
    <font>
      <color theme="1"/>
      <name val="Roboto"/>
    </font>
    <font>
      <b/>
      <sz val="10.0"/>
      <color rgb="FF000000"/>
      <name val="Calibri"/>
    </font>
  </fonts>
  <fills count="25">
    <fill>
      <patternFill patternType="none"/>
    </fill>
    <fill>
      <patternFill patternType="lightGray"/>
    </fill>
    <fill>
      <patternFill patternType="solid">
        <fgColor rgb="FFF4CCCC"/>
        <bgColor rgb="FFF4CCCC"/>
      </patternFill>
    </fill>
    <fill>
      <patternFill patternType="solid">
        <fgColor rgb="FF999999"/>
        <bgColor rgb="FF999999"/>
      </patternFill>
    </fill>
    <fill>
      <patternFill patternType="solid">
        <fgColor rgb="FFEFEFEF"/>
        <bgColor rgb="FFEFEFEF"/>
      </patternFill>
    </fill>
    <fill>
      <patternFill patternType="solid">
        <fgColor rgb="FFB7B7B7"/>
        <bgColor rgb="FFB7B7B7"/>
      </patternFill>
    </fill>
    <fill>
      <patternFill patternType="solid">
        <fgColor rgb="FFCCCCCC"/>
        <bgColor rgb="FFCCCCCC"/>
      </patternFill>
    </fill>
    <fill>
      <patternFill patternType="solid">
        <fgColor rgb="FFF3F3F3"/>
        <bgColor rgb="FFF3F3F3"/>
      </patternFill>
    </fill>
    <fill>
      <patternFill patternType="solid">
        <fgColor rgb="FFD9D9D9"/>
        <bgColor rgb="FFD9D9D9"/>
      </patternFill>
    </fill>
    <fill>
      <patternFill patternType="solid">
        <fgColor rgb="FFFFFF00"/>
        <bgColor rgb="FFFFFF00"/>
      </patternFill>
    </fill>
    <fill>
      <patternFill patternType="solid">
        <fgColor rgb="FFFF00FF"/>
        <bgColor rgb="FFFF00FF"/>
      </patternFill>
    </fill>
    <fill>
      <patternFill patternType="solid">
        <fgColor rgb="FFEA9999"/>
        <bgColor rgb="FFEA9999"/>
      </patternFill>
    </fill>
    <fill>
      <patternFill patternType="solid">
        <fgColor rgb="FFFFF2CC"/>
        <bgColor rgb="FFFFF2CC"/>
      </patternFill>
    </fill>
    <fill>
      <patternFill patternType="solid">
        <fgColor rgb="FFD9EAD3"/>
        <bgColor rgb="FFD9EAD3"/>
      </patternFill>
    </fill>
    <fill>
      <patternFill patternType="solid">
        <fgColor rgb="FFFF0000"/>
        <bgColor rgb="FFFF0000"/>
      </patternFill>
    </fill>
    <fill>
      <patternFill patternType="solid">
        <fgColor rgb="FFE7E6E6"/>
        <bgColor rgb="FFE7E6E6"/>
      </patternFill>
    </fill>
    <fill>
      <patternFill patternType="solid">
        <fgColor rgb="FFBF9000"/>
        <bgColor rgb="FFBF9000"/>
      </patternFill>
    </fill>
    <fill>
      <patternFill patternType="solid">
        <fgColor rgb="FFFFBF00"/>
        <bgColor rgb="FFFFBF00"/>
      </patternFill>
    </fill>
    <fill>
      <patternFill patternType="solid">
        <fgColor rgb="FFFFFFFF"/>
        <bgColor rgb="FFFFFFFF"/>
      </patternFill>
    </fill>
    <fill>
      <patternFill patternType="solid">
        <fgColor rgb="FFF8F9FA"/>
        <bgColor rgb="FFF8F9FA"/>
      </patternFill>
    </fill>
    <fill>
      <patternFill patternType="solid">
        <fgColor rgb="FFFF9900"/>
        <bgColor rgb="FFFF9900"/>
      </patternFill>
    </fill>
    <fill>
      <patternFill patternType="solid">
        <fgColor theme="5"/>
        <bgColor theme="5"/>
      </patternFill>
    </fill>
    <fill>
      <patternFill patternType="solid">
        <fgColor rgb="FF00FF00"/>
        <bgColor rgb="FF00FF00"/>
      </patternFill>
    </fill>
    <fill>
      <patternFill patternType="solid">
        <fgColor rgb="FFE2EFDA"/>
        <bgColor rgb="FFE2EFDA"/>
      </patternFill>
    </fill>
    <fill>
      <patternFill patternType="solid">
        <fgColor rgb="FFFFC000"/>
        <bgColor rgb="FFFFC000"/>
      </patternFill>
    </fill>
  </fills>
  <borders count="12">
    <border/>
    <border>
      <left/>
      <right/>
      <top/>
      <bottom/>
    </border>
    <border>
      <right/>
      <top/>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right/>
      <top/>
    </border>
    <border>
      <right style="thin">
        <color rgb="FFFFFFFF"/>
      </right>
      <top style="thin">
        <color rgb="FFFFFFFF"/>
      </top>
      <bottom style="thin">
        <color rgb="FFFFFFFF"/>
      </bottom>
    </border>
    <border>
      <right style="thin">
        <color rgb="FFF8F9FA"/>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0" fillId="0" fontId="1" numFmtId="17" xfId="0" applyAlignment="1" applyFont="1" applyNumberFormat="1">
      <alignment horizontal="center"/>
    </xf>
    <xf borderId="0" fillId="0" fontId="1" numFmtId="0" xfId="0" applyFont="1"/>
    <xf borderId="0" fillId="0" fontId="1" numFmtId="9" xfId="0" applyFont="1" applyNumberFormat="1"/>
    <xf borderId="0" fillId="2" fontId="1" numFmtId="9" xfId="0" applyFill="1" applyFont="1" applyNumberFormat="1"/>
    <xf borderId="0" fillId="0" fontId="2" numFmtId="0" xfId="0" applyFont="1"/>
    <xf borderId="0" fillId="0" fontId="3" numFmtId="17" xfId="0" applyAlignment="1" applyFont="1" applyNumberFormat="1">
      <alignment horizontal="center"/>
    </xf>
    <xf borderId="0" fillId="0" fontId="4" numFmtId="0" xfId="0" applyFont="1"/>
    <xf borderId="0" fillId="0" fontId="3" numFmtId="9" xfId="0" applyFont="1" applyNumberFormat="1"/>
    <xf borderId="0" fillId="0" fontId="5" numFmtId="0" xfId="0" applyFont="1"/>
    <xf borderId="0" fillId="2" fontId="3" numFmtId="9" xfId="0" applyFont="1" applyNumberFormat="1"/>
    <xf borderId="0" fillId="0" fontId="3" numFmtId="0" xfId="0" applyFont="1"/>
    <xf borderId="0" fillId="3" fontId="4" numFmtId="0" xfId="0" applyFill="1" applyFont="1"/>
    <xf borderId="0" fillId="3" fontId="3" numFmtId="9" xfId="0" applyFont="1" applyNumberFormat="1"/>
    <xf borderId="0" fillId="0" fontId="3" numFmtId="0" xfId="0" applyAlignment="1" applyFont="1">
      <alignment horizontal="center" readingOrder="0"/>
    </xf>
    <xf borderId="0" fillId="0" fontId="4" numFmtId="0" xfId="0" applyAlignment="1" applyFont="1">
      <alignment readingOrder="0"/>
    </xf>
    <xf borderId="0" fillId="0" fontId="6" numFmtId="0" xfId="0" applyFont="1"/>
    <xf borderId="0" fillId="0" fontId="6" numFmtId="0" xfId="0" applyAlignment="1" applyFont="1">
      <alignment readingOrder="0"/>
    </xf>
    <xf borderId="0" fillId="0" fontId="5" numFmtId="0" xfId="0" applyAlignment="1" applyFont="1">
      <alignment readingOrder="0"/>
    </xf>
    <xf borderId="0" fillId="0" fontId="3" numFmtId="9" xfId="0" applyAlignment="1" applyFont="1" applyNumberFormat="1">
      <alignment readingOrder="0"/>
    </xf>
    <xf borderId="0" fillId="2" fontId="3" numFmtId="9" xfId="0" applyAlignment="1" applyFont="1" applyNumberFormat="1">
      <alignment readingOrder="0"/>
    </xf>
    <xf borderId="0" fillId="4" fontId="3" numFmtId="164" xfId="0" applyAlignment="1" applyFill="1" applyFont="1" applyNumberFormat="1">
      <alignment horizontal="center" readingOrder="0"/>
    </xf>
    <xf borderId="0" fillId="5" fontId="4" numFmtId="0" xfId="0" applyFill="1" applyFont="1"/>
    <xf borderId="0" fillId="4" fontId="3" numFmtId="0" xfId="0" applyAlignment="1" applyFont="1">
      <alignment horizontal="center" readingOrder="0"/>
    </xf>
    <xf borderId="0" fillId="0" fontId="6" numFmtId="9" xfId="0" applyAlignment="1" applyFont="1" applyNumberFormat="1">
      <alignment readingOrder="0"/>
    </xf>
    <xf borderId="0" fillId="2" fontId="6" numFmtId="9" xfId="0" applyAlignment="1" applyFont="1" applyNumberFormat="1">
      <alignment readingOrder="0"/>
    </xf>
    <xf borderId="0" fillId="0" fontId="4" numFmtId="9" xfId="0" applyAlignment="1" applyFont="1" applyNumberFormat="1">
      <alignment readingOrder="0"/>
    </xf>
    <xf borderId="0" fillId="5" fontId="4" numFmtId="0" xfId="0" applyAlignment="1" applyFont="1">
      <alignment readingOrder="0"/>
    </xf>
    <xf borderId="0" fillId="6" fontId="7" numFmtId="0" xfId="0" applyAlignment="1" applyFill="1" applyFont="1">
      <alignment readingOrder="0"/>
    </xf>
    <xf borderId="0" fillId="6" fontId="7" numFmtId="0" xfId="0" applyFont="1"/>
    <xf borderId="0" fillId="6" fontId="1" numFmtId="9" xfId="0" applyFont="1" applyNumberFormat="1"/>
    <xf borderId="0" fillId="6" fontId="8" numFmtId="0" xfId="0" applyFont="1"/>
    <xf borderId="0" fillId="6" fontId="1" numFmtId="9" xfId="0" applyAlignment="1" applyFont="1" applyNumberFormat="1">
      <alignment readingOrder="0"/>
    </xf>
    <xf borderId="0" fillId="3" fontId="7" numFmtId="0" xfId="0" applyAlignment="1" applyFont="1">
      <alignment readingOrder="0"/>
    </xf>
    <xf borderId="0" fillId="3" fontId="1" numFmtId="9" xfId="0" applyFont="1" applyNumberFormat="1"/>
    <xf borderId="0" fillId="0" fontId="7" numFmtId="0" xfId="0" applyFont="1"/>
    <xf borderId="0" fillId="0" fontId="7" numFmtId="9" xfId="0" applyAlignment="1" applyFont="1" applyNumberFormat="1">
      <alignment readingOrder="0"/>
    </xf>
    <xf borderId="0" fillId="0" fontId="9" numFmtId="0" xfId="0" applyAlignment="1" applyFont="1">
      <alignment readingOrder="0"/>
    </xf>
    <xf borderId="0" fillId="0" fontId="10" numFmtId="0" xfId="0" applyFont="1"/>
    <xf borderId="0" fillId="4" fontId="3" numFmtId="17" xfId="0" applyAlignment="1" applyFont="1" applyNumberFormat="1">
      <alignment horizontal="center"/>
    </xf>
    <xf borderId="0" fillId="4" fontId="4" numFmtId="0" xfId="0" applyFont="1"/>
    <xf borderId="0" fillId="4" fontId="3" numFmtId="9" xfId="0" applyFont="1" applyNumberFormat="1"/>
    <xf borderId="0" fillId="4" fontId="5" numFmtId="0" xfId="0" applyFont="1"/>
    <xf borderId="0" fillId="4" fontId="3" numFmtId="0" xfId="0" applyFont="1"/>
    <xf borderId="1" fillId="3" fontId="3" numFmtId="0" xfId="0" applyBorder="1" applyFont="1"/>
    <xf borderId="1" fillId="3" fontId="3" numFmtId="9" xfId="0" applyBorder="1" applyFont="1" applyNumberFormat="1"/>
    <xf borderId="0" fillId="4" fontId="2" numFmtId="0" xfId="0" applyFont="1"/>
    <xf borderId="0" fillId="4" fontId="1" numFmtId="0" xfId="0" applyFont="1"/>
    <xf borderId="0" fillId="4" fontId="4" numFmtId="0" xfId="0" applyAlignment="1" applyFont="1">
      <alignment readingOrder="0"/>
    </xf>
    <xf borderId="0" fillId="4" fontId="3" numFmtId="17" xfId="0" applyAlignment="1" applyFont="1" applyNumberFormat="1">
      <alignment horizontal="center" readingOrder="0"/>
    </xf>
    <xf borderId="0" fillId="4" fontId="3" numFmtId="0" xfId="0" applyAlignment="1" applyFont="1">
      <alignment readingOrder="0"/>
    </xf>
    <xf borderId="0" fillId="7" fontId="4" numFmtId="0" xfId="0" applyFill="1" applyFont="1"/>
    <xf borderId="0" fillId="8" fontId="4" numFmtId="0" xfId="0" applyFill="1" applyFont="1"/>
    <xf borderId="0" fillId="8" fontId="3" numFmtId="9" xfId="0" applyFont="1" applyNumberFormat="1"/>
    <xf borderId="0" fillId="9" fontId="4" numFmtId="0" xfId="0" applyFill="1" applyFont="1"/>
    <xf borderId="0" fillId="9" fontId="4" numFmtId="0" xfId="0" applyAlignment="1" applyFont="1">
      <alignment readingOrder="0"/>
    </xf>
    <xf borderId="0" fillId="9" fontId="3" numFmtId="9" xfId="0" applyFont="1" applyNumberFormat="1"/>
    <xf borderId="0" fillId="9" fontId="3" numFmtId="17" xfId="0" applyAlignment="1" applyFont="1" applyNumberFormat="1">
      <alignment horizontal="center" readingOrder="0"/>
    </xf>
    <xf borderId="0" fillId="4" fontId="6" numFmtId="0" xfId="0" applyAlignment="1" applyFont="1">
      <alignment readingOrder="0"/>
    </xf>
    <xf borderId="0" fillId="9" fontId="6" numFmtId="0" xfId="0" applyAlignment="1" applyFont="1">
      <alignment horizontal="center" readingOrder="0"/>
    </xf>
    <xf borderId="0" fillId="8" fontId="7" numFmtId="0" xfId="0" applyAlignment="1" applyFont="1">
      <alignment readingOrder="0"/>
    </xf>
    <xf borderId="0" fillId="8" fontId="7" numFmtId="0" xfId="0" applyFont="1"/>
    <xf borderId="0" fillId="8" fontId="1" numFmtId="9" xfId="0" applyFont="1" applyNumberFormat="1"/>
    <xf borderId="0" fillId="8" fontId="8" numFmtId="0" xfId="0" applyFont="1"/>
    <xf borderId="0" fillId="3" fontId="7" numFmtId="0" xfId="0" applyFont="1"/>
    <xf borderId="0" fillId="0" fontId="3" numFmtId="17" xfId="0" applyAlignment="1" applyFont="1" applyNumberFormat="1">
      <alignment horizontal="center" readingOrder="0"/>
    </xf>
    <xf borderId="0" fillId="0" fontId="3" numFmtId="0" xfId="0" applyAlignment="1" applyFont="1">
      <alignment readingOrder="0"/>
    </xf>
    <xf borderId="0" fillId="0" fontId="11" numFmtId="0" xfId="0" applyFont="1"/>
    <xf borderId="0" fillId="8" fontId="1" numFmtId="0" xfId="0" applyAlignment="1" applyFont="1">
      <alignment horizontal="center" readingOrder="0"/>
    </xf>
    <xf borderId="0" fillId="8" fontId="1" numFmtId="0" xfId="0" applyAlignment="1" applyFont="1">
      <alignment readingOrder="0"/>
    </xf>
    <xf borderId="0" fillId="8" fontId="12" numFmtId="0" xfId="0" applyFont="1"/>
    <xf borderId="0" fillId="0" fontId="12" numFmtId="0" xfId="0" applyFont="1"/>
    <xf borderId="0" fillId="0" fontId="4" numFmtId="1" xfId="0" applyFont="1" applyNumberFormat="1"/>
    <xf borderId="0" fillId="4" fontId="11" numFmtId="0" xfId="0" applyFont="1"/>
    <xf borderId="0" fillId="4" fontId="6" numFmtId="0" xfId="0" applyFont="1"/>
    <xf borderId="0" fillId="9" fontId="3" numFmtId="165" xfId="0" applyAlignment="1" applyFont="1" applyNumberFormat="1">
      <alignment horizontal="center" readingOrder="0"/>
    </xf>
    <xf borderId="0" fillId="10" fontId="4" numFmtId="0" xfId="0" applyAlignment="1" applyFill="1" applyFont="1">
      <alignment readingOrder="0"/>
    </xf>
    <xf borderId="0" fillId="0" fontId="4" numFmtId="1" xfId="0" applyAlignment="1" applyFont="1" applyNumberFormat="1">
      <alignment readingOrder="0"/>
    </xf>
    <xf borderId="0" fillId="3" fontId="12" numFmtId="0" xfId="0" applyFont="1"/>
    <xf borderId="0" fillId="0" fontId="4" numFmtId="166" xfId="0" applyAlignment="1" applyFont="1" applyNumberFormat="1">
      <alignment horizontal="center" readingOrder="0"/>
    </xf>
    <xf borderId="0" fillId="9" fontId="4" numFmtId="166" xfId="0" applyAlignment="1" applyFont="1" applyNumberFormat="1">
      <alignment horizontal="center" readingOrder="0"/>
    </xf>
    <xf borderId="0" fillId="3" fontId="6" numFmtId="0" xfId="0" applyAlignment="1" applyFont="1">
      <alignment readingOrder="0"/>
    </xf>
    <xf borderId="0" fillId="9" fontId="6" numFmtId="0" xfId="0" applyAlignment="1" applyFont="1">
      <alignment readingOrder="0"/>
    </xf>
    <xf borderId="0" fillId="9" fontId="6" numFmtId="0" xfId="0" applyFont="1"/>
    <xf borderId="0" fillId="0" fontId="10" numFmtId="0" xfId="0" applyAlignment="1" applyFont="1">
      <alignment readingOrder="0"/>
    </xf>
    <xf borderId="0" fillId="3" fontId="6" numFmtId="0" xfId="0" applyFont="1"/>
    <xf borderId="0" fillId="11" fontId="1" numFmtId="9" xfId="0" applyFill="1" applyFont="1" applyNumberFormat="1"/>
    <xf borderId="0" fillId="4" fontId="4" numFmtId="0" xfId="0" applyAlignment="1" applyFont="1">
      <alignment horizontal="center"/>
    </xf>
    <xf borderId="0" fillId="4" fontId="3" numFmtId="0" xfId="0" applyAlignment="1" applyFont="1">
      <alignment horizontal="left"/>
    </xf>
    <xf borderId="0" fillId="4" fontId="4" numFmtId="166" xfId="0" applyAlignment="1" applyFont="1" applyNumberFormat="1">
      <alignment horizontal="center"/>
    </xf>
    <xf borderId="0" fillId="4" fontId="4" numFmtId="166" xfId="0" applyAlignment="1" applyFont="1" applyNumberFormat="1">
      <alignment horizontal="center" readingOrder="0"/>
    </xf>
    <xf borderId="0" fillId="4" fontId="3" numFmtId="0" xfId="0" applyAlignment="1" applyFont="1">
      <alignment horizontal="left" readingOrder="0"/>
    </xf>
    <xf borderId="0" fillId="4" fontId="5" numFmtId="0" xfId="0" applyAlignment="1" applyFont="1">
      <alignment readingOrder="0"/>
    </xf>
    <xf borderId="0" fillId="4" fontId="4" numFmtId="0" xfId="0" applyAlignment="1" applyFont="1">
      <alignment horizontal="center" readingOrder="0"/>
    </xf>
    <xf borderId="0" fillId="12" fontId="4" numFmtId="166" xfId="0" applyAlignment="1" applyFill="1" applyFont="1" applyNumberFormat="1">
      <alignment horizontal="center" readingOrder="0"/>
    </xf>
    <xf borderId="0" fillId="12" fontId="3" numFmtId="0" xfId="0" applyAlignment="1" applyFont="1">
      <alignment horizontal="left" readingOrder="0"/>
    </xf>
    <xf borderId="0" fillId="12" fontId="4" numFmtId="0" xfId="0" applyAlignment="1" applyFont="1">
      <alignment readingOrder="0"/>
    </xf>
    <xf borderId="0" fillId="12" fontId="3" numFmtId="9" xfId="0" applyFont="1" applyNumberFormat="1"/>
    <xf borderId="0" fillId="12" fontId="5" numFmtId="0" xfId="0" applyAlignment="1" applyFont="1">
      <alignment readingOrder="0"/>
    </xf>
    <xf borderId="0" fillId="13" fontId="1" numFmtId="0" xfId="0" applyAlignment="1" applyFill="1" applyFont="1">
      <alignment horizontal="center" readingOrder="0"/>
    </xf>
    <xf borderId="0" fillId="13" fontId="1" numFmtId="0" xfId="0" applyAlignment="1" applyFont="1">
      <alignment readingOrder="0"/>
    </xf>
    <xf borderId="0" fillId="13" fontId="12" numFmtId="0" xfId="0" applyFont="1"/>
    <xf borderId="0" fillId="13" fontId="1" numFmtId="9" xfId="0" applyFont="1" applyNumberFormat="1"/>
    <xf borderId="0" fillId="0" fontId="13" numFmtId="1" xfId="0" applyAlignment="1" applyFont="1" applyNumberFormat="1">
      <alignment readingOrder="0"/>
    </xf>
    <xf borderId="0" fillId="4" fontId="3" numFmtId="0" xfId="0" applyAlignment="1" applyFont="1">
      <alignment horizontal="center"/>
    </xf>
    <xf borderId="0" fillId="2" fontId="4" numFmtId="0" xfId="0" applyFont="1"/>
    <xf borderId="0" fillId="4" fontId="4" numFmtId="9" xfId="0" applyFont="1" applyNumberFormat="1"/>
    <xf borderId="0" fillId="4" fontId="3" numFmtId="167" xfId="0" applyAlignment="1" applyFont="1" applyNumberFormat="1">
      <alignment horizontal="center" readingOrder="0"/>
    </xf>
    <xf borderId="0" fillId="4" fontId="3" numFmtId="9" xfId="0" applyAlignment="1" applyFont="1" applyNumberFormat="1">
      <alignment readingOrder="0"/>
    </xf>
    <xf borderId="0" fillId="9" fontId="4" numFmtId="0" xfId="0" applyAlignment="1" applyFont="1">
      <alignment horizontal="center" readingOrder="0"/>
    </xf>
    <xf borderId="0" fillId="2" fontId="3" numFmtId="0" xfId="0" applyAlignment="1" applyFont="1">
      <alignment horizontal="left" readingOrder="0"/>
    </xf>
    <xf borderId="0" fillId="3" fontId="4" numFmtId="0" xfId="0" applyAlignment="1" applyFont="1">
      <alignment readingOrder="0"/>
    </xf>
    <xf borderId="0" fillId="9" fontId="3" numFmtId="0" xfId="0" applyAlignment="1" applyFont="1">
      <alignment horizontal="left" readingOrder="0"/>
    </xf>
    <xf borderId="0" fillId="6" fontId="1" numFmtId="0" xfId="0" applyAlignment="1" applyFont="1">
      <alignment horizontal="center" readingOrder="0"/>
    </xf>
    <xf borderId="0" fillId="6" fontId="14" numFmtId="0" xfId="0" applyAlignment="1" applyFont="1">
      <alignment readingOrder="0"/>
    </xf>
    <xf borderId="0" fillId="14" fontId="1" numFmtId="9" xfId="0" applyFill="1" applyFont="1" applyNumberFormat="1"/>
    <xf borderId="0" fillId="6" fontId="3" numFmtId="9" xfId="0" applyFont="1" applyNumberFormat="1"/>
    <xf borderId="0" fillId="6" fontId="8" numFmtId="9" xfId="0" applyFont="1" applyNumberFormat="1"/>
    <xf borderId="0" fillId="3" fontId="8" numFmtId="0" xfId="0" applyFont="1"/>
    <xf borderId="0" fillId="3" fontId="8" numFmtId="9" xfId="0" applyFont="1" applyNumberFormat="1"/>
    <xf borderId="0" fillId="0" fontId="8" numFmtId="0" xfId="0" applyFont="1"/>
    <xf borderId="0" fillId="0" fontId="8" numFmtId="1" xfId="0" applyFont="1" applyNumberFormat="1"/>
    <xf borderId="1" fillId="15" fontId="1" numFmtId="17" xfId="0" applyAlignment="1" applyBorder="1" applyFill="1" applyFont="1" applyNumberFormat="1">
      <alignment horizontal="center"/>
    </xf>
    <xf borderId="1" fillId="15" fontId="1" numFmtId="0" xfId="0" applyBorder="1" applyFont="1"/>
    <xf borderId="1" fillId="15" fontId="1" numFmtId="9" xfId="0" applyBorder="1" applyFont="1" applyNumberFormat="1"/>
    <xf borderId="1" fillId="9" fontId="1" numFmtId="9" xfId="0" applyBorder="1" applyFont="1" applyNumberFormat="1"/>
    <xf borderId="1" fillId="15" fontId="1" numFmtId="1" xfId="0" applyBorder="1" applyFont="1" applyNumberFormat="1"/>
    <xf borderId="0" fillId="16" fontId="3" numFmtId="17" xfId="0" applyAlignment="1" applyFill="1" applyFont="1" applyNumberFormat="1">
      <alignment horizontal="center"/>
    </xf>
    <xf borderId="0" fillId="16" fontId="6" numFmtId="0" xfId="0" applyAlignment="1" applyFont="1">
      <alignment readingOrder="0"/>
    </xf>
    <xf borderId="0" fillId="16" fontId="6" numFmtId="0" xfId="0" applyFont="1"/>
    <xf borderId="0" fillId="16" fontId="3" numFmtId="9" xfId="0" applyFont="1" applyNumberFormat="1"/>
    <xf borderId="1" fillId="15" fontId="1" numFmtId="0" xfId="0" applyAlignment="1" applyBorder="1" applyFont="1">
      <alignment readingOrder="0"/>
    </xf>
    <xf borderId="0" fillId="0" fontId="13" numFmtId="0" xfId="0" applyFont="1"/>
    <xf borderId="1" fillId="15" fontId="3" numFmtId="0" xfId="0" applyBorder="1" applyFont="1"/>
    <xf borderId="0" fillId="0" fontId="15" numFmtId="0" xfId="0" applyFont="1"/>
    <xf borderId="0" fillId="0" fontId="4" numFmtId="0" xfId="0" applyFont="1"/>
    <xf borderId="0" fillId="0" fontId="6" numFmtId="0" xfId="0" applyFont="1"/>
    <xf borderId="0" fillId="9" fontId="4" numFmtId="0" xfId="0" applyFont="1"/>
    <xf borderId="0" fillId="0" fontId="16" numFmtId="0" xfId="0" applyFont="1"/>
    <xf borderId="0" fillId="0" fontId="16" numFmtId="0" xfId="0" applyFont="1"/>
    <xf borderId="0" fillId="0" fontId="6" numFmtId="0" xfId="0" applyAlignment="1" applyFont="1">
      <alignment horizontal="left" readingOrder="0"/>
    </xf>
    <xf borderId="0" fillId="10" fontId="6" numFmtId="0" xfId="0" applyFont="1"/>
    <xf borderId="1" fillId="9" fontId="3" numFmtId="0" xfId="0" applyBorder="1" applyFont="1"/>
    <xf borderId="0" fillId="7" fontId="7" numFmtId="0" xfId="0" applyFont="1"/>
    <xf borderId="0" fillId="0" fontId="17" numFmtId="0" xfId="0" applyFont="1"/>
    <xf borderId="1" fillId="9" fontId="17" numFmtId="0" xfId="0" applyBorder="1" applyFont="1"/>
    <xf borderId="0" fillId="0" fontId="18" numFmtId="0" xfId="0" applyAlignment="1" applyFont="1">
      <alignment horizontal="right" vertical="bottom"/>
    </xf>
    <xf borderId="0" fillId="0" fontId="18" numFmtId="0" xfId="0" applyAlignment="1" applyFont="1">
      <alignment horizontal="left" vertical="bottom"/>
    </xf>
    <xf borderId="0" fillId="0" fontId="19" numFmtId="0" xfId="0" applyAlignment="1" applyFont="1">
      <alignment horizontal="left" vertical="bottom"/>
    </xf>
    <xf borderId="0" fillId="9" fontId="18" numFmtId="0" xfId="0" applyAlignment="1" applyFont="1">
      <alignment horizontal="left" vertical="bottom"/>
    </xf>
    <xf borderId="0" fillId="0" fontId="18" numFmtId="168" xfId="0" applyAlignment="1" applyFont="1" applyNumberFormat="1">
      <alignment horizontal="left" vertical="bottom"/>
    </xf>
    <xf borderId="0" fillId="0" fontId="20" numFmtId="0" xfId="0" applyAlignment="1" applyFont="1">
      <alignment horizontal="left" vertical="bottom"/>
    </xf>
    <xf borderId="0" fillId="9" fontId="21" numFmtId="0" xfId="0" applyAlignment="1" applyFont="1">
      <alignment horizontal="left" vertical="bottom"/>
    </xf>
    <xf borderId="0" fillId="0" fontId="22" numFmtId="0" xfId="0" applyAlignment="1" applyFont="1">
      <alignment horizontal="right" readingOrder="0" vertical="bottom"/>
    </xf>
    <xf borderId="0" fillId="0" fontId="22" numFmtId="0" xfId="0" applyAlignment="1" applyFont="1">
      <alignment horizontal="left" readingOrder="0" vertical="bottom"/>
    </xf>
    <xf borderId="0" fillId="0" fontId="23" numFmtId="0" xfId="0" applyAlignment="1" applyFont="1">
      <alignment horizontal="left" vertical="bottom"/>
    </xf>
    <xf borderId="0" fillId="0" fontId="23" numFmtId="0" xfId="0" applyAlignment="1" applyFont="1">
      <alignment horizontal="left" readingOrder="0" vertical="bottom"/>
    </xf>
    <xf borderId="0" fillId="0" fontId="22" numFmtId="168" xfId="0" applyAlignment="1" applyFont="1" applyNumberFormat="1">
      <alignment horizontal="left" readingOrder="0" vertical="bottom"/>
    </xf>
    <xf borderId="0" fillId="0" fontId="24" numFmtId="0" xfId="0" applyAlignment="1" applyFont="1">
      <alignment horizontal="left" readingOrder="0" vertical="bottom"/>
    </xf>
    <xf borderId="0" fillId="0" fontId="24" numFmtId="0" xfId="0" applyAlignment="1" applyFont="1">
      <alignment horizontal="right" readingOrder="0" vertical="bottom"/>
    </xf>
    <xf borderId="0" fillId="17" fontId="24" numFmtId="0" xfId="0" applyAlignment="1" applyFill="1" applyFont="1">
      <alignment horizontal="left" readingOrder="0" vertical="bottom"/>
    </xf>
    <xf borderId="0" fillId="9" fontId="24" numFmtId="0" xfId="0" applyAlignment="1" applyFont="1">
      <alignment horizontal="left" readingOrder="0" vertical="bottom"/>
    </xf>
    <xf borderId="0" fillId="0" fontId="25" numFmtId="0" xfId="0" applyAlignment="1" applyFont="1">
      <alignment horizontal="left" readingOrder="0" vertical="bottom"/>
    </xf>
    <xf borderId="0" fillId="0" fontId="25" numFmtId="0" xfId="0" applyAlignment="1" applyFont="1">
      <alignment horizontal="left" vertical="bottom"/>
    </xf>
    <xf borderId="0" fillId="0" fontId="24" numFmtId="169" xfId="0" applyAlignment="1" applyFont="1" applyNumberFormat="1">
      <alignment horizontal="right" readingOrder="0" vertical="bottom"/>
    </xf>
    <xf borderId="0" fillId="0" fontId="26" numFmtId="0" xfId="0" applyAlignment="1" applyFont="1">
      <alignment horizontal="left" readingOrder="0" vertical="bottom"/>
    </xf>
    <xf borderId="0" fillId="0" fontId="6" numFmtId="168" xfId="0" applyAlignment="1" applyFont="1" applyNumberFormat="1">
      <alignment readingOrder="0"/>
    </xf>
    <xf borderId="0" fillId="0" fontId="7" numFmtId="0" xfId="0" applyAlignment="1" applyFont="1">
      <alignment readingOrder="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27" numFmtId="0" xfId="0" applyAlignment="1" applyFont="1">
      <alignment readingOrder="0" shrinkToFit="0" vertical="bottom" wrapText="0"/>
    </xf>
    <xf borderId="0" fillId="18" fontId="28" numFmtId="0" xfId="0" applyAlignment="1" applyFill="1" applyFont="1">
      <alignment readingOrder="0" shrinkToFit="0" wrapText="0"/>
    </xf>
    <xf borderId="0" fillId="0" fontId="3" numFmtId="170" xfId="0" applyAlignment="1" applyFont="1" applyNumberFormat="1">
      <alignment readingOrder="0" shrinkToFit="0" vertical="bottom" wrapText="0"/>
    </xf>
    <xf borderId="0" fillId="0" fontId="3" numFmtId="0" xfId="0" applyAlignment="1" applyFont="1">
      <alignment readingOrder="0" vertical="bottom"/>
    </xf>
    <xf borderId="0" fillId="19" fontId="28" numFmtId="0" xfId="0" applyAlignment="1" applyFill="1" applyFont="1">
      <alignment readingOrder="0" shrinkToFit="0" wrapText="0"/>
    </xf>
    <xf borderId="0" fillId="0" fontId="28" numFmtId="0" xfId="0" applyAlignment="1" applyFont="1">
      <alignment horizontal="right" readingOrder="0" vertical="bottom"/>
    </xf>
    <xf borderId="0" fillId="0" fontId="28" numFmtId="0" xfId="0" applyAlignment="1" applyFont="1">
      <alignment horizontal="left" readingOrder="0" vertical="bottom"/>
    </xf>
    <xf borderId="0" fillId="0" fontId="29" numFmtId="0" xfId="0" applyAlignment="1" applyFont="1">
      <alignment horizontal="left" readingOrder="0" vertical="bottom"/>
    </xf>
    <xf borderId="0" fillId="0" fontId="30" numFmtId="0" xfId="0" applyAlignment="1" applyFont="1">
      <alignment horizontal="left" readingOrder="0" vertical="bottom"/>
    </xf>
    <xf borderId="0" fillId="0" fontId="31" numFmtId="0" xfId="0" applyAlignment="1" applyFont="1">
      <alignment horizontal="left" readingOrder="0" vertical="bottom"/>
    </xf>
    <xf borderId="0" fillId="6" fontId="22" numFmtId="0" xfId="0" applyAlignment="1" applyFont="1">
      <alignment horizontal="right" readingOrder="0" vertical="bottom"/>
    </xf>
    <xf borderId="0" fillId="6" fontId="22" numFmtId="0" xfId="0" applyAlignment="1" applyFont="1">
      <alignment horizontal="left" readingOrder="0" vertical="bottom"/>
    </xf>
    <xf borderId="0" fillId="6" fontId="23" numFmtId="0" xfId="0" applyAlignment="1" applyFont="1">
      <alignment horizontal="left" vertical="bottom"/>
    </xf>
    <xf borderId="0" fillId="18" fontId="29" numFmtId="0" xfId="0" applyAlignment="1" applyFont="1">
      <alignment shrinkToFit="0" wrapText="0"/>
    </xf>
    <xf borderId="0" fillId="19" fontId="29" numFmtId="0" xfId="0" applyAlignment="1" applyFont="1">
      <alignment readingOrder="0" shrinkToFit="0" wrapText="0"/>
    </xf>
    <xf borderId="0" fillId="18" fontId="29" numFmtId="0" xfId="0" applyAlignment="1" applyFont="1">
      <alignment readingOrder="0" shrinkToFit="0" wrapText="0"/>
    </xf>
    <xf borderId="0" fillId="18" fontId="29" numFmtId="171" xfId="0" applyAlignment="1" applyFont="1" applyNumberFormat="1">
      <alignment horizontal="right" shrinkToFit="0" wrapText="0"/>
    </xf>
    <xf borderId="0" fillId="18" fontId="29" numFmtId="0" xfId="0" applyAlignment="1" applyFont="1">
      <alignment horizontal="right" readingOrder="0" shrinkToFit="0" wrapText="0"/>
    </xf>
    <xf borderId="0" fillId="19" fontId="29" numFmtId="0" xfId="0" applyAlignment="1" applyFont="1">
      <alignment shrinkToFit="0" wrapText="0"/>
    </xf>
    <xf borderId="0" fillId="19" fontId="29" numFmtId="171" xfId="0" applyAlignment="1" applyFont="1" applyNumberFormat="1">
      <alignment horizontal="right" shrinkToFit="0" wrapText="0"/>
    </xf>
    <xf borderId="0" fillId="18" fontId="29" numFmtId="0" xfId="0" applyAlignment="1" applyFont="1">
      <alignment horizontal="right" readingOrder="0" shrinkToFit="0" wrapText="0"/>
    </xf>
    <xf borderId="0" fillId="18" fontId="32" numFmtId="0" xfId="0" applyFont="1"/>
    <xf borderId="0" fillId="19" fontId="32" numFmtId="0" xfId="0" applyFont="1"/>
    <xf borderId="0" fillId="18" fontId="29" numFmtId="0" xfId="0" applyAlignment="1" applyFont="1">
      <alignment shrinkToFit="0" wrapText="0"/>
    </xf>
    <xf borderId="0" fillId="18" fontId="33" numFmtId="0" xfId="0" applyAlignment="1" applyFont="1">
      <alignment readingOrder="0" shrinkToFit="0" vertical="bottom" wrapText="0"/>
    </xf>
    <xf borderId="0" fillId="18" fontId="33" numFmtId="0" xfId="0" applyAlignment="1" applyFont="1">
      <alignment horizontal="right" readingOrder="0" shrinkToFit="0" vertical="bottom" wrapText="0"/>
    </xf>
    <xf borderId="0" fillId="19" fontId="29" numFmtId="0" xfId="0" applyAlignment="1" applyFont="1">
      <alignment shrinkToFit="0" wrapText="0"/>
    </xf>
    <xf borderId="0" fillId="19" fontId="33" numFmtId="0" xfId="0" applyAlignment="1" applyFont="1">
      <alignment readingOrder="0" shrinkToFit="0" vertical="bottom" wrapText="0"/>
    </xf>
    <xf borderId="0" fillId="18" fontId="32" numFmtId="0" xfId="0" applyFont="1"/>
    <xf borderId="0" fillId="19" fontId="32" numFmtId="0" xfId="0" applyFont="1"/>
    <xf borderId="0" fillId="0" fontId="10" numFmtId="0" xfId="0" applyAlignment="1" applyFont="1">
      <alignment horizontal="right" readingOrder="0" vertical="bottom"/>
    </xf>
    <xf borderId="0" fillId="0" fontId="10" numFmtId="0" xfId="0" applyAlignment="1" applyFont="1">
      <alignment horizontal="left" readingOrder="0" vertical="bottom"/>
    </xf>
    <xf borderId="0" fillId="0" fontId="8" numFmtId="0" xfId="0" applyAlignment="1" applyFont="1">
      <alignment horizontal="left" readingOrder="0" vertical="bottom"/>
    </xf>
    <xf borderId="0" fillId="0" fontId="6" numFmtId="0" xfId="0" applyAlignment="1" applyFont="1">
      <alignment horizontal="left" vertical="bottom"/>
    </xf>
    <xf borderId="0" fillId="0" fontId="10" numFmtId="172" xfId="0" applyAlignment="1" applyFont="1" applyNumberFormat="1">
      <alignment horizontal="right" readingOrder="0" vertical="bottom"/>
    </xf>
    <xf borderId="0" fillId="0" fontId="6" numFmtId="0" xfId="0" applyAlignment="1" applyFont="1">
      <alignment horizontal="center" readingOrder="0"/>
    </xf>
    <xf borderId="0" fillId="0" fontId="6" numFmtId="9" xfId="0" applyFont="1" applyNumberFormat="1"/>
    <xf borderId="0" fillId="0" fontId="6" numFmtId="0" xfId="0" applyAlignment="1" applyFont="1">
      <alignment horizontal="center"/>
    </xf>
    <xf borderId="0" fillId="0" fontId="6" numFmtId="17" xfId="0" applyAlignment="1" applyFont="1" applyNumberFormat="1">
      <alignment horizontal="center"/>
    </xf>
    <xf borderId="0" fillId="0" fontId="6" numFmtId="17" xfId="0" applyAlignment="1" applyFont="1" applyNumberFormat="1">
      <alignment horizontal="center" readingOrder="0"/>
    </xf>
    <xf borderId="0" fillId="4" fontId="7" numFmtId="0" xfId="0" applyAlignment="1" applyFont="1">
      <alignment horizontal="center"/>
    </xf>
    <xf borderId="0" fillId="4" fontId="7" numFmtId="0" xfId="0" applyAlignment="1" applyFont="1">
      <alignment readingOrder="0"/>
    </xf>
    <xf borderId="0" fillId="4" fontId="7" numFmtId="0" xfId="0" applyFont="1"/>
    <xf borderId="1" fillId="4" fontId="1" numFmtId="9" xfId="0" applyBorder="1" applyFont="1" applyNumberFormat="1"/>
    <xf borderId="0" fillId="0" fontId="34" numFmtId="0" xfId="0" applyAlignment="1" applyFont="1">
      <alignment horizontal="left" readingOrder="0" vertical="bottom"/>
    </xf>
    <xf borderId="1" fillId="0" fontId="3" numFmtId="0" xfId="0" applyBorder="1" applyFont="1"/>
    <xf borderId="0" fillId="20" fontId="6" numFmtId="0" xfId="0" applyFill="1" applyFont="1"/>
    <xf borderId="0" fillId="20" fontId="4" numFmtId="0" xfId="0" applyFont="1"/>
    <xf borderId="1" fillId="20" fontId="3" numFmtId="0" xfId="0" applyBorder="1" applyFont="1"/>
    <xf borderId="0" fillId="12" fontId="6" numFmtId="0" xfId="0" applyFont="1"/>
    <xf borderId="0" fillId="12" fontId="4" numFmtId="0" xfId="0" applyFont="1"/>
    <xf borderId="1" fillId="12" fontId="3" numFmtId="0" xfId="0" applyBorder="1" applyFont="1"/>
    <xf borderId="0" fillId="20" fontId="6" numFmtId="0" xfId="0" applyAlignment="1" applyFont="1">
      <alignment readingOrder="0"/>
    </xf>
    <xf borderId="0" fillId="15" fontId="1" numFmtId="0" xfId="0" applyFont="1"/>
    <xf borderId="0" fillId="15" fontId="1" numFmtId="0" xfId="0" applyAlignment="1" applyFont="1">
      <alignment readingOrder="0"/>
    </xf>
    <xf borderId="2" fillId="15" fontId="1" numFmtId="0" xfId="0" applyBorder="1" applyFont="1"/>
    <xf borderId="0" fillId="0" fontId="35"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0"/>
    </xf>
    <xf borderId="3" fillId="18" fontId="29" numFmtId="0" xfId="0" applyAlignment="1" applyBorder="1" applyFont="1">
      <alignment shrinkToFit="0" wrapText="0"/>
    </xf>
    <xf borderId="4" fillId="19" fontId="29" numFmtId="0" xfId="0" applyAlignment="1" applyBorder="1" applyFont="1">
      <alignment shrinkToFit="0" wrapText="0"/>
    </xf>
    <xf borderId="0" fillId="0" fontId="3" numFmtId="0" xfId="0" applyAlignment="1" applyFont="1">
      <alignment readingOrder="0" vertical="bottom"/>
    </xf>
    <xf borderId="0" fillId="19" fontId="29" numFmtId="0" xfId="0" applyAlignment="1" applyFont="1">
      <alignment shrinkToFit="0" wrapText="0"/>
    </xf>
    <xf borderId="0" fillId="18" fontId="5" numFmtId="0" xfId="0" applyAlignment="1" applyFont="1">
      <alignment readingOrder="0" shrinkToFit="0" wrapText="0"/>
    </xf>
    <xf borderId="0" fillId="18" fontId="29" numFmtId="0" xfId="0" applyAlignment="1" applyFont="1">
      <alignment shrinkToFit="0" wrapText="0"/>
    </xf>
    <xf borderId="0" fillId="0" fontId="36" numFmtId="0" xfId="0" applyAlignment="1" applyFont="1">
      <alignment vertical="bottom"/>
    </xf>
    <xf borderId="0" fillId="9" fontId="6" numFmtId="0" xfId="0" applyFont="1"/>
    <xf borderId="0" fillId="21" fontId="6" numFmtId="0" xfId="0" applyAlignment="1" applyFill="1" applyFont="1">
      <alignment readingOrder="0"/>
    </xf>
    <xf borderId="0" fillId="21" fontId="6" numFmtId="0" xfId="0" applyFont="1"/>
    <xf borderId="5" fillId="15" fontId="1" numFmtId="0" xfId="0" applyBorder="1" applyFont="1"/>
    <xf borderId="5" fillId="15" fontId="1" numFmtId="0" xfId="0" applyAlignment="1" applyBorder="1" applyFont="1">
      <alignment readingOrder="0"/>
    </xf>
    <xf borderId="0" fillId="19" fontId="37" numFmtId="0" xfId="0" applyAlignment="1" applyFont="1">
      <alignment vertical="bottom"/>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7" numFmtId="0" xfId="0" applyAlignment="1" applyFont="1">
      <alignment vertical="bottom"/>
    </xf>
    <xf borderId="0" fillId="0" fontId="37" numFmtId="0" xfId="0" applyAlignment="1" applyFont="1">
      <alignment vertical="bottom"/>
    </xf>
    <xf borderId="0" fillId="0" fontId="37" numFmtId="170" xfId="0" applyAlignment="1" applyFont="1" applyNumberFormat="1">
      <alignment vertical="bottom"/>
    </xf>
    <xf borderId="0" fillId="18" fontId="29" numFmtId="0" xfId="0" applyAlignment="1" applyFont="1">
      <alignment readingOrder="0" shrinkToFit="0" wrapText="0"/>
    </xf>
    <xf borderId="6" fillId="18" fontId="29" numFmtId="0" xfId="0" applyAlignment="1" applyBorder="1" applyFont="1">
      <alignment readingOrder="0" shrinkToFit="0" wrapText="0"/>
    </xf>
    <xf borderId="7" fillId="19" fontId="29" numFmtId="0" xfId="0" applyAlignment="1" applyBorder="1" applyFont="1">
      <alignment readingOrder="0" shrinkToFit="0" wrapText="0"/>
    </xf>
    <xf borderId="6" fillId="18" fontId="29" numFmtId="0" xfId="0" applyAlignment="1" applyBorder="1" applyFont="1">
      <alignment shrinkToFit="0" wrapText="0"/>
    </xf>
    <xf borderId="7" fillId="19" fontId="29" numFmtId="0" xfId="0" applyAlignment="1" applyBorder="1" applyFont="1">
      <alignment shrinkToFit="0" wrapText="0"/>
    </xf>
    <xf borderId="0" fillId="18" fontId="33" numFmtId="0" xfId="0" applyAlignment="1" applyFont="1">
      <alignment shrinkToFit="0" vertical="bottom" wrapText="0"/>
    </xf>
    <xf borderId="0" fillId="19" fontId="37" numFmtId="0" xfId="0" applyAlignment="1" applyFont="1">
      <alignment vertical="bottom"/>
    </xf>
    <xf borderId="0" fillId="19" fontId="29" numFmtId="0" xfId="0" applyAlignment="1" applyFont="1">
      <alignment horizontal="right" shrinkToFit="0" wrapText="0"/>
    </xf>
    <xf borderId="0" fillId="19" fontId="33" numFmtId="0" xfId="0" applyAlignment="1" applyFont="1">
      <alignment shrinkToFit="0" vertical="bottom" wrapText="0"/>
    </xf>
    <xf borderId="0" fillId="18" fontId="37" numFmtId="0" xfId="0" applyAlignment="1" applyFont="1">
      <alignment vertical="bottom"/>
    </xf>
    <xf borderId="0" fillId="0" fontId="6" numFmtId="0" xfId="0" applyFont="1"/>
    <xf borderId="0" fillId="9" fontId="22" numFmtId="0" xfId="0" applyAlignment="1" applyFont="1">
      <alignment horizontal="left" readingOrder="0" vertical="bottom"/>
    </xf>
    <xf borderId="0" fillId="22" fontId="23" numFmtId="0" xfId="0" applyAlignment="1" applyFill="1" applyFont="1">
      <alignment horizontal="left" vertical="bottom"/>
    </xf>
    <xf borderId="0" fillId="0" fontId="32" numFmtId="0" xfId="0" applyAlignment="1" applyFont="1">
      <alignment vertical="bottom"/>
    </xf>
    <xf borderId="0" fillId="0" fontId="32" numFmtId="171" xfId="0" applyAlignment="1" applyFont="1" applyNumberFormat="1">
      <alignment horizontal="right" readingOrder="0" vertical="bottom"/>
    </xf>
    <xf borderId="0" fillId="18" fontId="38" numFmtId="0" xfId="0" applyAlignment="1" applyFont="1">
      <alignment horizontal="left" readingOrder="0"/>
    </xf>
    <xf borderId="0" fillId="0" fontId="32" numFmtId="171" xfId="0" applyAlignment="1" applyFont="1" applyNumberFormat="1">
      <alignment horizontal="right" vertical="bottom"/>
    </xf>
    <xf borderId="0" fillId="23" fontId="3" numFmtId="0" xfId="0" applyAlignment="1" applyFill="1" applyFont="1">
      <alignment readingOrder="0" shrinkToFit="0" vertical="bottom" wrapText="0"/>
    </xf>
    <xf borderId="0" fillId="0" fontId="3" numFmtId="0" xfId="0" applyAlignment="1" applyFont="1">
      <alignment readingOrder="0" shrinkToFit="0" vertical="bottom" wrapText="0"/>
    </xf>
    <xf borderId="0" fillId="0" fontId="3" numFmtId="173" xfId="0" applyAlignment="1" applyFont="1" applyNumberFormat="1">
      <alignment readingOrder="0" shrinkToFit="0" vertical="bottom" wrapText="0"/>
    </xf>
    <xf borderId="0" fillId="0" fontId="39" numFmtId="0" xfId="0" applyAlignment="1" applyFont="1">
      <alignment horizontal="left" readingOrder="0" shrinkToFit="0" vertical="center" wrapText="0"/>
    </xf>
    <xf borderId="8" fillId="18" fontId="29" numFmtId="171" xfId="0" applyAlignment="1" applyBorder="1" applyFont="1" applyNumberFormat="1">
      <alignment horizontal="right" shrinkToFit="0" vertical="center" wrapText="0"/>
    </xf>
    <xf borderId="3" fillId="18" fontId="29" numFmtId="0" xfId="0" applyAlignment="1" applyBorder="1" applyFont="1">
      <alignment shrinkToFit="0" vertical="center" wrapText="0"/>
    </xf>
    <xf borderId="3" fillId="18" fontId="29" numFmtId="0" xfId="0" applyAlignment="1" applyBorder="1" applyFont="1">
      <alignment readingOrder="0" shrinkToFit="0" vertical="center" wrapText="0"/>
    </xf>
    <xf borderId="3" fillId="18" fontId="32" numFmtId="0" xfId="0" applyAlignment="1" applyBorder="1" applyFont="1">
      <alignment shrinkToFit="0" vertical="center" wrapText="0"/>
    </xf>
    <xf borderId="3" fillId="18" fontId="29" numFmtId="0" xfId="0" applyAlignment="1" applyBorder="1" applyFont="1">
      <alignment horizontal="right" shrinkToFit="0" vertical="center" wrapText="0"/>
    </xf>
    <xf borderId="9" fillId="19" fontId="29" numFmtId="171" xfId="0" applyAlignment="1" applyBorder="1" applyFont="1" applyNumberFormat="1">
      <alignment horizontal="right" shrinkToFit="0" vertical="center" wrapText="0"/>
    </xf>
    <xf borderId="4" fillId="19" fontId="29" numFmtId="0" xfId="0" applyAlignment="1" applyBorder="1" applyFont="1">
      <alignment shrinkToFit="0" vertical="center" wrapText="0"/>
    </xf>
    <xf borderId="4" fillId="19" fontId="32" numFmtId="0" xfId="0" applyAlignment="1" applyBorder="1" applyFont="1">
      <alignment shrinkToFit="0" vertical="center" wrapText="0"/>
    </xf>
    <xf borderId="4" fillId="19" fontId="29" numFmtId="0" xfId="0" applyAlignment="1" applyBorder="1" applyFont="1">
      <alignment horizontal="right" shrinkToFit="0" vertical="center" wrapText="0"/>
    </xf>
    <xf borderId="10" fillId="18" fontId="29" numFmtId="171" xfId="0" applyAlignment="1" applyBorder="1" applyFont="1" applyNumberFormat="1">
      <alignment horizontal="right" shrinkToFit="0" vertical="center" wrapText="0"/>
    </xf>
    <xf borderId="11" fillId="18" fontId="29" numFmtId="0" xfId="0" applyAlignment="1" applyBorder="1" applyFont="1">
      <alignment shrinkToFit="0" vertical="center" wrapText="0"/>
    </xf>
    <xf borderId="11" fillId="18" fontId="29" numFmtId="0" xfId="0" applyAlignment="1" applyBorder="1" applyFont="1">
      <alignment horizontal="right" shrinkToFit="0" vertical="center" wrapText="0"/>
    </xf>
    <xf borderId="11" fillId="18" fontId="32" numFmtId="0" xfId="0" applyAlignment="1" applyBorder="1" applyFont="1">
      <alignment shrinkToFit="0" vertical="center" wrapText="0"/>
    </xf>
    <xf borderId="0" fillId="0" fontId="35" numFmtId="0" xfId="0" applyAlignment="1" applyFont="1">
      <alignment readingOrder="0" shrinkToFit="0" vertical="bottom" wrapText="0"/>
    </xf>
    <xf borderId="0" fillId="0" fontId="28"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shrinkToFit="0" wrapText="1"/>
    </xf>
    <xf borderId="0" fillId="19" fontId="5" numFmtId="0" xfId="0" applyAlignment="1" applyFont="1">
      <alignment readingOrder="0" shrinkToFit="0" wrapText="0"/>
    </xf>
    <xf borderId="0" fillId="0" fontId="37" numFmtId="0" xfId="0" applyFont="1"/>
    <xf borderId="0" fillId="0" fontId="37" numFmtId="0" xfId="0" applyFont="1"/>
    <xf borderId="1" fillId="24" fontId="3" numFmtId="0" xfId="0" applyBorder="1" applyFill="1" applyFont="1"/>
    <xf borderId="1" fillId="9" fontId="1" numFmtId="0" xfId="0" applyBorder="1" applyFont="1"/>
    <xf borderId="0" fillId="0" fontId="37" numFmtId="0" xfId="0" applyAlignment="1" applyFont="1">
      <alignment readingOrder="0"/>
    </xf>
    <xf borderId="0" fillId="0" fontId="37" numFmtId="171" xfId="0" applyAlignment="1" applyFont="1" applyNumberFormat="1">
      <alignment horizontal="right" readingOrder="0" vertical="bottom"/>
    </xf>
    <xf borderId="0" fillId="18" fontId="3" numFmtId="0" xfId="0" applyAlignment="1" applyFont="1">
      <alignment horizontal="left" readingOrder="0"/>
    </xf>
    <xf borderId="0" fillId="0" fontId="28" numFmtId="0" xfId="0" applyAlignment="1" applyFont="1">
      <alignment readingOrder="0" shrinkToFit="0" vertical="bottom" wrapText="0"/>
    </xf>
    <xf borderId="0" fillId="0" fontId="28" numFmtId="0" xfId="0" applyAlignment="1" applyFont="1">
      <alignment readingOrder="0" vertical="bottom"/>
    </xf>
    <xf borderId="0" fillId="0" fontId="28" numFmtId="174" xfId="0" applyAlignment="1" applyFont="1" applyNumberFormat="1">
      <alignment horizontal="right" readingOrder="0" shrinkToFit="0" vertical="bottom" wrapText="0"/>
    </xf>
    <xf borderId="0" fillId="18" fontId="28" numFmtId="0" xfId="0" applyAlignment="1" applyFont="1">
      <alignment horizontal="right" readingOrder="0" shrinkToFit="0" wrapText="0"/>
    </xf>
    <xf borderId="0" fillId="19" fontId="28" numFmtId="0" xfId="0" applyAlignment="1" applyFont="1">
      <alignment horizontal="right" readingOrder="0" shrinkToFit="0" wrapText="0"/>
    </xf>
    <xf borderId="0" fillId="0" fontId="40" numFmtId="0" xfId="0" applyFont="1"/>
    <xf borderId="0" fillId="0" fontId="17" numFmtId="0" xfId="0" applyAlignment="1" applyFont="1">
      <alignment readingOrder="0"/>
    </xf>
    <xf borderId="0" fillId="6" fontId="17" numFmtId="0" xfId="0" applyFont="1"/>
    <xf borderId="0" fillId="0" fontId="4" numFmtId="0" xfId="0" applyAlignment="1" applyFont="1">
      <alignment horizontal="right"/>
    </xf>
    <xf borderId="0" fillId="20" fontId="4" numFmtId="0" xfId="0" applyAlignment="1" applyFont="1">
      <alignment horizontal="right"/>
    </xf>
    <xf borderId="0" fillId="9" fontId="4" numFmtId="0" xfId="0" applyAlignment="1" applyFont="1">
      <alignment horizontal="right"/>
    </xf>
    <xf borderId="0" fillId="0" fontId="21" numFmtId="0" xfId="0" applyAlignment="1" applyFont="1">
      <alignment horizontal="left" vertical="bottom"/>
    </xf>
    <xf borderId="0" fillId="10" fontId="4" numFmtId="0" xfId="0" applyFont="1"/>
    <xf borderId="0" fillId="9" fontId="13" numFmtId="0" xfId="0" applyFont="1"/>
    <xf borderId="0" fillId="20" fontId="13" numFmtId="0" xfId="0" applyFont="1"/>
    <xf borderId="1" fillId="20" fontId="1" numFmtId="0" xfId="0" applyBorder="1" applyFont="1"/>
    <xf borderId="0" fillId="8" fontId="26" numFmtId="0" xfId="0" applyAlignment="1" applyFont="1">
      <alignment horizontal="left" readingOrder="0" vertical="bottom"/>
    </xf>
    <xf borderId="0" fillId="8" fontId="6" numFmtId="0" xfId="0" applyFont="1"/>
    <xf borderId="0" fillId="6" fontId="4"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s>
  <tableStyles count="31">
    <tableStyle count="2" pivot="0" name="AllParticpants-style">
      <tableStyleElement dxfId="1" type="firstRowStripe"/>
      <tableStyleElement dxfId="2" type="secondRowStripe"/>
    </tableStyle>
    <tableStyle count="2" pivot="0" name="AllParticpants-style 2">
      <tableStyleElement dxfId="1" type="firstRowStripe"/>
      <tableStyleElement dxfId="2" type="secondRowStripe"/>
    </tableStyle>
    <tableStyle count="2" pivot="0" name="EPOS Platform Trg - Online (12--style">
      <tableStyleElement dxfId="1" type="firstRowStripe"/>
      <tableStyleElement dxfId="2" type="secondRowStripe"/>
    </tableStyle>
    <tableStyle count="2" pivot="0" name="EPOS Platform Trg - Online (12--style 2">
      <tableStyleElement dxfId="1" type="firstRowStripe"/>
      <tableStyleElement dxfId="2" type="secondRowStripe"/>
    </tableStyle>
    <tableStyle count="2" pivot="0" name="EPOS Platform Trg - Online (12--style 3">
      <tableStyleElement dxfId="1" type="firstRowStripe"/>
      <tableStyleElement dxfId="2" type="secondRowStripe"/>
    </tableStyle>
    <tableStyle count="2" pivot="0" name="EPOS Platform Trg - Online (12--style 4">
      <tableStyleElement dxfId="1" type="firstRowStripe"/>
      <tableStyleElement dxfId="2" type="secondRowStripe"/>
    </tableStyle>
    <tableStyle count="2" pivot="0" name="EPOS Platform Trg - Online (12--style 5">
      <tableStyleElement dxfId="1" type="firstRowStripe"/>
      <tableStyleElement dxfId="2" type="secondRowStripe"/>
    </tableStyle>
    <tableStyle count="2" pivot="0" name="EPOS Platform Trg - Online (12--style 6">
      <tableStyleElement dxfId="1" type="firstRowStripe"/>
      <tableStyleElement dxfId="2" type="secondRowStripe"/>
    </tableStyle>
    <tableStyle count="2" pivot="0" name="EPOS Platform Trg - EGU25-style">
      <tableStyleElement dxfId="2" type="firstRowStripe"/>
      <tableStyleElement dxfId="1" type="secondRowStripe"/>
    </tableStyle>
    <tableStyle count="2" pivot="0" name="EPOS Platform Trg - EGU25-style 2">
      <tableStyleElement dxfId="2" type="firstRowStripe"/>
      <tableStyleElement dxfId="1" type="secondRowStripe"/>
    </tableStyle>
    <tableStyle count="2" pivot="0" name="EPOS Platform Trg - EGU25-style 3">
      <tableStyleElement dxfId="2" type="firstRowStripe"/>
      <tableStyleElement dxfId="1" type="secondRowStripe"/>
    </tableStyle>
    <tableStyle count="2" pivot="0" name="EPOS Platform Trg - EGU25-style 4">
      <tableStyleElement dxfId="2" type="firstRowStripe"/>
      <tableStyleElement dxfId="1" type="secondRowStripe"/>
    </tableStyle>
    <tableStyle count="2" pivot="0" name="EPOS Platform Trg - EGU25-style 5">
      <tableStyleElement dxfId="2" type="firstRowStripe"/>
      <tableStyleElement dxfId="1" type="secondRowStripe"/>
    </tableStyle>
    <tableStyle count="2" pivot="0" name="EPOS Platform Trg - EGU25-style 6">
      <tableStyleElement dxfId="2" type="firstRowStripe"/>
      <tableStyleElement dxfId="1" type="secondRowStripe"/>
    </tableStyle>
    <tableStyle count="2" pivot="0" name="EPOS Platform Trg - Clermont-Fe-style">
      <tableStyleElement dxfId="1" type="firstRowStripe"/>
      <tableStyleElement dxfId="2" type="secondRowStripe"/>
    </tableStyle>
    <tableStyle count="2" pivot="0" name="EPOS Platform Trg - Clermont-Fe-style 2">
      <tableStyleElement dxfId="1" type="firstRowStripe"/>
      <tableStyleElement dxfId="2" type="secondRowStripe"/>
    </tableStyle>
    <tableStyle count="2" pivot="0" name="EPOS Platform Trg - Clermont-Fe-style 3">
      <tableStyleElement dxfId="1" type="firstRowStripe"/>
      <tableStyleElement dxfId="2" type="secondRowStripe"/>
    </tableStyle>
    <tableStyle count="2" pivot="0" name="EPOS Platform Trg - Clermont-Fe-style 4">
      <tableStyleElement dxfId="1" type="firstRowStripe"/>
      <tableStyleElement dxfId="2" type="secondRowStripe"/>
    </tableStyle>
    <tableStyle count="2" pivot="0" name="EPOS Platform Trg - Clermont-Fe-style 5">
      <tableStyleElement dxfId="1" type="firstRowStripe"/>
      <tableStyleElement dxfId="2" type="secondRowStripe"/>
    </tableStyle>
    <tableStyle count="2" pivot="0" name="EPOS Platform Trg - Clermont-Fe-style 6">
      <tableStyleElement dxfId="1" type="firstRowStripe"/>
      <tableStyleElement dxfId="2" type="secondRowStripe"/>
    </tableStyle>
    <tableStyle count="2" pivot="0" name="EPOS Platform Trg - S4E-style">
      <tableStyleElement dxfId="1" type="firstRowStripe"/>
      <tableStyleElement dxfId="2" type="secondRowStripe"/>
    </tableStyle>
    <tableStyle count="2" pivot="0" name="EPOS Platform Trg - S4E-style 2">
      <tableStyleElement dxfId="1" type="firstRowStripe"/>
      <tableStyleElement dxfId="2" type="secondRowStripe"/>
    </tableStyle>
    <tableStyle count="2" pivot="0" name="EPOS Platform Trg - Summer Scho-style">
      <tableStyleElement dxfId="1" type="firstRowStripe"/>
      <tableStyleElement dxfId="2" type="secondRowStripe"/>
    </tableStyle>
    <tableStyle count="2" pivot="0" name="EPOS Platform Trg - Summer Scho-style 2">
      <tableStyleElement dxfId="1" type="firstRowStripe"/>
      <tableStyleElement dxfId="2" type="secondRowStripe"/>
    </tableStyle>
    <tableStyle count="2" pivot="0" name="EPOS Platform Trg - Summer Scho-style 3">
      <tableStyleElement dxfId="1" type="firstRowStripe"/>
      <tableStyleElement dxfId="2" type="secondRowStripe"/>
    </tableStyle>
    <tableStyle count="2" pivot="0" name="EPOS Platform Trg - Spain-style">
      <tableStyleElement dxfId="1" type="firstRowStripe"/>
      <tableStyleElement dxfId="2" type="secondRowStripe"/>
    </tableStyle>
    <tableStyle count="2" pivot="0" name="EPOS Platform Trg - Spain-style 2">
      <tableStyleElement dxfId="1" type="firstRowStripe"/>
      <tableStyleElement dxfId="2" type="secondRowStripe"/>
    </tableStyle>
    <tableStyle count="2" pivot="0" name="EPOS Platform Trg - Spain-style 3">
      <tableStyleElement dxfId="1" type="firstRowStripe"/>
      <tableStyleElement dxfId="2" type="secondRowStripe"/>
    </tableStyle>
    <tableStyle count="2" pivot="0" name="EPOS Platform Trg - CZ-style">
      <tableStyleElement dxfId="1" type="firstRowStripe"/>
      <tableStyleElement dxfId="2" type="secondRowStripe"/>
    </tableStyle>
    <tableStyle count="2" pivot="0" name="EPOS Platform Trg - CZ-style 2">
      <tableStyleElement dxfId="1" type="firstRowStripe"/>
      <tableStyleElement dxfId="2" type="secondRowStripe"/>
    </tableStyle>
    <tableStyle count="4" pivot="0" name="EPOS Platform 2026-05-style">
      <tableStyleElement dxfId="3" type="headerRow"/>
      <tableStyleElement dxfId="1" type="firstRowStripe"/>
      <tableStyleElement dxfId="2"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54"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Geo-INQUIRE Dissemination Events 2023/2024</a:t>
            </a:r>
          </a:p>
        </c:rich>
      </c:tx>
      <c:overlay val="0"/>
    </c:title>
    <c:plotArea>
      <c:layout/>
      <c:barChart>
        <c:barDir val="col"/>
        <c:ser>
          <c:idx val="0"/>
          <c:order val="0"/>
          <c:tx>
            <c:strRef>
              <c:f>Overview!$C$1</c:f>
            </c:strRef>
          </c:tx>
          <c:spPr>
            <a:solidFill>
              <a:schemeClr val="accent1"/>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Overview!$B$2:$B$77</c:f>
            </c:strRef>
          </c:cat>
          <c:val>
            <c:numRef>
              <c:f>Overview!$C$2:$C$77</c:f>
              <c:numCache/>
            </c:numRef>
          </c:val>
        </c:ser>
        <c:axId val="354372342"/>
        <c:axId val="1877731367"/>
      </c:barChart>
      <c:lineChart>
        <c:varyColors val="0"/>
        <c:ser>
          <c:idx val="1"/>
          <c:order val="1"/>
          <c:tx>
            <c:strRef>
              <c:f>Overview!$E$1</c:f>
            </c:strRef>
          </c:tx>
          <c:spPr>
            <a:ln cmpd="sng">
              <a:solidFill>
                <a:srgbClr val="ED7D31"/>
              </a:solidFill>
            </a:ln>
          </c:spPr>
          <c:marker>
            <c:symbol val="none"/>
          </c:marker>
          <c:cat>
            <c:strRef>
              <c:f>Overview!$B$2:$B$77</c:f>
            </c:strRef>
          </c:cat>
          <c:val>
            <c:numRef>
              <c:f>Overview!$E$2:$E$76</c:f>
              <c:numCache/>
            </c:numRef>
          </c:val>
          <c:smooth val="0"/>
        </c:ser>
        <c:axId val="354372342"/>
        <c:axId val="1877731367"/>
      </c:lineChart>
      <c:catAx>
        <c:axId val="3543723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1877731367"/>
      </c:catAx>
      <c:valAx>
        <c:axId val="1877731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 of People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54372342"/>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World-Wide Attention</a:t>
            </a:r>
          </a:p>
        </c:rich>
      </c:tx>
      <c:overlay val="0"/>
    </c:title>
    <c:plotArea>
      <c:layout/>
      <c:barChart>
        <c:barDir val="col"/>
        <c:ser>
          <c:idx val="0"/>
          <c:order val="0"/>
          <c:tx>
            <c:strRef>
              <c:f>Overview!$V$1</c:f>
            </c:strRef>
          </c:tx>
          <c:spPr>
            <a:solidFill>
              <a:schemeClr val="accent1"/>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Overview!$B$2:$B$77</c:f>
            </c:strRef>
          </c:cat>
          <c:val>
            <c:numRef>
              <c:f>Overview!$V$2:$V$77</c:f>
              <c:numCache/>
            </c:numRef>
          </c:val>
        </c:ser>
        <c:axId val="369716640"/>
        <c:axId val="336614809"/>
      </c:barChart>
      <c:catAx>
        <c:axId val="3697166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336614809"/>
      </c:catAx>
      <c:valAx>
        <c:axId val="336614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 of different Countries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69716640"/>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Geographical Balance</a:t>
            </a:r>
          </a:p>
        </c:rich>
      </c:tx>
      <c:overlay val="0"/>
    </c:title>
    <c:plotArea>
      <c:layout/>
      <c:barChart>
        <c:barDir val="col"/>
        <c:grouping val="stacked"/>
        <c:ser>
          <c:idx val="0"/>
          <c:order val="0"/>
          <c:tx>
            <c:strRef>
              <c:f>Overview!$T$1</c:f>
            </c:strRef>
          </c:tx>
          <c:spPr>
            <a:solidFill>
              <a:schemeClr val="accent1"/>
            </a:solidFill>
            <a:ln cmpd="sng">
              <a:noFill/>
            </a:ln>
          </c:spPr>
          <c:cat>
            <c:strRef>
              <c:f>Overview!$B$2:$B$77</c:f>
            </c:strRef>
          </c:cat>
          <c:val>
            <c:numRef>
              <c:f>Overview!$T$2:$T$72</c:f>
              <c:numCache/>
            </c:numRef>
          </c:val>
        </c:ser>
        <c:ser>
          <c:idx val="1"/>
          <c:order val="1"/>
          <c:tx>
            <c:strRef>
              <c:f>Overview!$X$1</c:f>
            </c:strRef>
          </c:tx>
          <c:spPr>
            <a:solidFill>
              <a:schemeClr val="accent2"/>
            </a:solidFill>
            <a:ln cmpd="sng">
              <a:noFill/>
            </a:ln>
          </c:spPr>
          <c:cat>
            <c:strRef>
              <c:f>Overview!$B$2:$B$77</c:f>
            </c:strRef>
          </c:cat>
          <c:val>
            <c:numRef>
              <c:f>Overview!$X$2:$X$72</c:f>
              <c:numCache/>
            </c:numRef>
          </c:val>
        </c:ser>
        <c:overlap val="100"/>
        <c:axId val="330346726"/>
        <c:axId val="400095246"/>
      </c:barChart>
      <c:catAx>
        <c:axId val="33034672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Training</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00095246"/>
      </c:catAx>
      <c:valAx>
        <c:axId val="4000952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of Registrations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30346726"/>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Cross-Disciplinarity of Geo-INQUIRE Events</a:t>
            </a:r>
          </a:p>
        </c:rich>
      </c:tx>
      <c:overlay val="0"/>
    </c:title>
    <c:plotArea>
      <c:layout/>
      <c:barChart>
        <c:barDir val="col"/>
        <c:ser>
          <c:idx val="0"/>
          <c:order val="0"/>
          <c:tx>
            <c:strRef>
              <c:f>Overview!$U$1</c:f>
            </c:strRef>
          </c:tx>
          <c:spPr>
            <a:solidFill>
              <a:srgbClr val="6AA84F"/>
            </a:solidFill>
            <a:ln cmpd="sng">
              <a:noFill/>
            </a:ln>
          </c:spPr>
          <c:cat>
            <c:strRef>
              <c:f>Overview!$B$2:$B$77</c:f>
            </c:strRef>
          </c:cat>
          <c:val>
            <c:numRef>
              <c:f>Overview!$U$2:$U$77</c:f>
              <c:numCache/>
            </c:numRef>
          </c:val>
        </c:ser>
        <c:axId val="304953834"/>
        <c:axId val="1028019233"/>
      </c:barChart>
      <c:catAx>
        <c:axId val="304953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1028019233"/>
      </c:catAx>
      <c:valAx>
        <c:axId val="10280192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 of different scientific fields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04953834"/>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Experienced or New Users?</a:t>
            </a:r>
          </a:p>
        </c:rich>
      </c:tx>
      <c:overlay val="0"/>
    </c:title>
    <c:plotArea>
      <c:layout/>
      <c:barChart>
        <c:barDir val="col"/>
        <c:ser>
          <c:idx val="0"/>
          <c:order val="0"/>
          <c:tx>
            <c:strRef>
              <c:f>Overview!$P$1</c:f>
            </c:strRef>
          </c:tx>
          <c:spPr>
            <a:solidFill>
              <a:srgbClr val="38761D"/>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Overview!$B$2:$B$77</c:f>
            </c:strRef>
          </c:cat>
          <c:val>
            <c:numRef>
              <c:f>Overview!$P$2:$P$77</c:f>
              <c:numCache/>
            </c:numRef>
          </c:val>
        </c:ser>
        <c:axId val="1675804759"/>
        <c:axId val="295396019"/>
      </c:barChart>
      <c:catAx>
        <c:axId val="16758047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295396019"/>
      </c:catAx>
      <c:valAx>
        <c:axId val="295396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of Experienced Users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75804759"/>
      </c:valAx>
    </c:plotArea>
    <c:legend>
      <c:legendPos val="t"/>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Early Career Scientists (ECS)</a:t>
            </a:r>
          </a:p>
        </c:rich>
      </c:tx>
      <c:overlay val="0"/>
    </c:title>
    <c:plotArea>
      <c:layout/>
      <c:barChart>
        <c:barDir val="col"/>
        <c:ser>
          <c:idx val="0"/>
          <c:order val="0"/>
          <c:tx>
            <c:strRef>
              <c:f>Overview!$L$1</c:f>
            </c:strRef>
          </c:tx>
          <c:spPr>
            <a:solidFill>
              <a:srgbClr val="6AA84F"/>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Overview!$B$2:$B$78</c:f>
            </c:strRef>
          </c:cat>
          <c:val>
            <c:numRef>
              <c:f>Overview!$L$2:$L$78</c:f>
              <c:numCache/>
            </c:numRef>
          </c:val>
        </c:ser>
        <c:axId val="1268168485"/>
        <c:axId val="768895929"/>
      </c:barChart>
      <c:catAx>
        <c:axId val="1268168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768895929"/>
      </c:catAx>
      <c:valAx>
        <c:axId val="768895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of Registrations from ECS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68168485"/>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Attendees from Industry</a:t>
            </a:r>
          </a:p>
        </c:rich>
      </c:tx>
      <c:overlay val="0"/>
    </c:title>
    <c:plotArea>
      <c:layout/>
      <c:barChart>
        <c:barDir val="col"/>
        <c:ser>
          <c:idx val="0"/>
          <c:order val="0"/>
          <c:tx>
            <c:strRef>
              <c:f>Overview!$N$1</c:f>
            </c:strRef>
          </c:tx>
          <c:spPr>
            <a:solidFill>
              <a:srgbClr val="38761D"/>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Overview!$B$2:$B$77</c:f>
            </c:strRef>
          </c:cat>
          <c:val>
            <c:numRef>
              <c:f>Overview!$N$2:$N$72</c:f>
              <c:numCache/>
            </c:numRef>
          </c:val>
        </c:ser>
        <c:axId val="542523569"/>
        <c:axId val="276546059"/>
      </c:barChart>
      <c:catAx>
        <c:axId val="542523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276546059"/>
      </c:catAx>
      <c:valAx>
        <c:axId val="276546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of registrations from industry, start-ups or SMEs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542523569"/>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3000">
                <a:solidFill>
                  <a:srgbClr val="757575"/>
                </a:solidFill>
                <a:latin typeface="+mn-lt"/>
              </a:defRPr>
            </a:pPr>
            <a:r>
              <a:rPr b="0" i="0" sz="3000">
                <a:solidFill>
                  <a:srgbClr val="757575"/>
                </a:solidFill>
                <a:latin typeface="+mn-lt"/>
              </a:rPr>
              <a:t>Geo-INQUIRE Gender Balance </a:t>
            </a:r>
          </a:p>
        </c:rich>
      </c:tx>
      <c:overlay val="0"/>
    </c:title>
    <c:plotArea>
      <c:layout/>
      <c:barChart>
        <c:barDir val="col"/>
        <c:ser>
          <c:idx val="0"/>
          <c:order val="0"/>
          <c:tx>
            <c:v>Percentage of female registrations</c:v>
          </c:tx>
          <c:spPr>
            <a:solidFill>
              <a:srgbClr val="D5A6BD"/>
            </a:solidFill>
            <a:ln cmpd="sng">
              <a:noFill/>
            </a:ln>
          </c:spPr>
          <c:dPt>
            <c:idx val="0"/>
          </c:dPt>
          <c:dPt>
            <c:idx val="1"/>
          </c:dPt>
          <c:dPt>
            <c:idx val="2"/>
          </c:dPt>
          <c:dPt>
            <c:idx val="3"/>
          </c:dPt>
          <c:dPt>
            <c:idx val="4"/>
          </c:dPt>
          <c:dPt>
            <c:idx val="5"/>
          </c:dPt>
          <c:dPt>
            <c:idx val="6"/>
          </c:dPt>
          <c:dPt>
            <c:idx val="7"/>
          </c:dPt>
          <c:dPt>
            <c:idx val="8"/>
          </c:dPt>
          <c:dPt>
            <c:idx val="9"/>
          </c:dPt>
          <c:dPt>
            <c:idx val="10"/>
          </c:dPt>
          <c:dPt>
            <c:idx val="11"/>
            <c:spPr>
              <a:solidFill>
                <a:srgbClr val="741B47"/>
              </a:solidFill>
              <a:ln cmpd="sng">
                <a:noFill/>
              </a:ln>
            </c:spPr>
          </c:dPt>
          <c:dPt>
            <c:idx val="12"/>
            <c:spPr>
              <a:solidFill>
                <a:srgbClr val="38761D"/>
              </a:solidFill>
              <a:ln cmpd="sng">
                <a:noFill/>
              </a:ln>
            </c:spPr>
          </c:dPt>
          <c:dPt>
            <c:idx val="13"/>
          </c:dPt>
          <c:dPt>
            <c:idx val="17"/>
          </c:dPt>
          <c:dPt>
            <c:idx val="18"/>
          </c:dPt>
          <c:dPt>
            <c:idx val="19"/>
          </c:dPt>
          <c:dPt>
            <c:idx val="20"/>
          </c:dPt>
          <c:dPt>
            <c:idx val="22"/>
          </c:dPt>
          <c:dPt>
            <c:idx val="23"/>
            <c:spPr>
              <a:solidFill>
                <a:srgbClr val="741B47"/>
              </a:solidFill>
              <a:ln cmpd="sng">
                <a:noFill/>
              </a:ln>
            </c:spPr>
          </c:dPt>
          <c:dPt>
            <c:idx val="27"/>
          </c:dPt>
          <c:dPt>
            <c:idx val="29"/>
          </c:dPt>
          <c:dPt>
            <c:idx val="31"/>
          </c:dPt>
          <c:dPt>
            <c:idx val="32"/>
            <c:spPr>
              <a:solidFill>
                <a:srgbClr val="741B47"/>
              </a:solidFill>
              <a:ln cmpd="sng">
                <a:noFill/>
              </a:ln>
            </c:spPr>
          </c:dPt>
          <c:dPt>
            <c:idx val="34"/>
          </c:dPt>
          <c:dPt>
            <c:idx val="39"/>
            <c:spPr>
              <a:solidFill>
                <a:srgbClr val="741B47"/>
              </a:solidFill>
              <a:ln cmpd="sng">
                <a:noFill/>
              </a:ln>
            </c:spPr>
          </c:dPt>
          <c:dPt>
            <c:idx val="40"/>
          </c:dPt>
          <c:dPt>
            <c:idx val="43"/>
          </c:dPt>
          <c:dPt>
            <c:idx val="44"/>
            <c:spPr>
              <a:solidFill>
                <a:srgbClr val="741B47"/>
              </a:solidFill>
              <a:ln cmpd="sng">
                <a:noFill/>
              </a:ln>
            </c:spPr>
          </c:dPt>
          <c:dPt>
            <c:idx val="47"/>
          </c:dPt>
          <c:dPt>
            <c:idx val="48"/>
          </c:dPt>
          <c:dPt>
            <c:idx val="49"/>
          </c:dPt>
          <c:dPt>
            <c:idx val="55"/>
            <c:spPr>
              <a:solidFill>
                <a:srgbClr val="741B47"/>
              </a:solidFill>
              <a:ln cmpd="sng">
                <a:noFill/>
              </a:ln>
            </c:spPr>
          </c:dPt>
          <c:dPt>
            <c:idx val="62"/>
            <c:spPr>
              <a:solidFill>
                <a:srgbClr val="741B47"/>
              </a:solidFill>
              <a:ln cmpd="sng">
                <a:noFill/>
              </a:ln>
            </c:spPr>
          </c:dPt>
          <c:dLbls>
            <c:numFmt formatCode="General" sourceLinked="1"/>
            <c:txPr>
              <a:bodyPr/>
              <a:lstStyle/>
              <a:p>
                <a:pPr lvl="0">
                  <a:defRPr b="1" i="0">
                    <a:latin typeface="serif"/>
                  </a:defRPr>
                </a:pPr>
              </a:p>
            </c:txPr>
            <c:showLegendKey val="0"/>
            <c:showVal val="1"/>
            <c:showCatName val="0"/>
            <c:showSerName val="0"/>
            <c:showPercent val="0"/>
            <c:showBubbleSize val="0"/>
          </c:dLbls>
          <c:cat>
            <c:strRef>
              <c:f>Overview!$B$2:$B$77</c:f>
            </c:strRef>
          </c:cat>
          <c:val>
            <c:numRef>
              <c:f>Overview!$J$2:$J$77</c:f>
              <c:numCache/>
            </c:numRef>
          </c:val>
        </c:ser>
        <c:axId val="1813641312"/>
        <c:axId val="935583107"/>
      </c:barChart>
      <c:catAx>
        <c:axId val="1813641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935583107"/>
      </c:catAx>
      <c:valAx>
        <c:axId val="935583107"/>
        <c:scaling>
          <c:orientation val="minMax"/>
        </c:scaling>
        <c:delete val="0"/>
        <c:axPos val="l"/>
        <c:majorGridlines>
          <c:spPr>
            <a:ln>
              <a:solidFill>
                <a:srgbClr val="666666"/>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
                </a:r>
              </a:p>
            </c:rich>
          </c:tx>
          <c:overlay val="0"/>
        </c:title>
        <c:numFmt formatCode="0%" sourceLinked="0"/>
        <c:majorTickMark val="cross"/>
        <c:minorTickMark val="none"/>
        <c:tickLblPos val="nextTo"/>
        <c:spPr>
          <a:ln/>
        </c:spPr>
        <c:txPr>
          <a:bodyPr/>
          <a:lstStyle/>
          <a:p>
            <a:pPr lvl="0">
              <a:defRPr b="0" i="0">
                <a:solidFill>
                  <a:srgbClr val="000000"/>
                </a:solidFill>
                <a:latin typeface="+mn-lt"/>
              </a:defRPr>
            </a:pPr>
          </a:p>
        </c:txPr>
        <c:crossAx val="1813641312"/>
      </c:valAx>
    </c:plotArea>
    <c:legend>
      <c:legendPos val="t"/>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3000">
                <a:solidFill>
                  <a:srgbClr val="757575"/>
                </a:solidFill>
                <a:latin typeface="+mn-lt"/>
              </a:defRPr>
            </a:pPr>
            <a:r>
              <a:rPr b="0" i="0" sz="3000">
                <a:solidFill>
                  <a:srgbClr val="757575"/>
                </a:solidFill>
                <a:latin typeface="+mn-lt"/>
              </a:rPr>
              <a:t>Geo-INQUIRE Training Events</a:t>
            </a:r>
          </a:p>
        </c:rich>
      </c:tx>
      <c:overlay val="0"/>
    </c:title>
    <c:plotArea>
      <c:layout/>
      <c:barChart>
        <c:barDir val="col"/>
        <c:ser>
          <c:idx val="0"/>
          <c:order val="0"/>
          <c:tx>
            <c:v>No. of participants</c:v>
          </c:tx>
          <c:spPr>
            <a:solidFill>
              <a:srgbClr val="4A86E8"/>
            </a:solidFill>
            <a:ln cmpd="sng">
              <a:noFill/>
            </a:ln>
          </c:spPr>
          <c:dPt>
            <c:idx val="0"/>
          </c:dPt>
          <c:dPt>
            <c:idx val="1"/>
          </c:dPt>
          <c:dPt>
            <c:idx val="2"/>
          </c:dPt>
          <c:dPt>
            <c:idx val="3"/>
          </c:dPt>
          <c:dPt>
            <c:idx val="4"/>
          </c:dPt>
          <c:dPt>
            <c:idx val="5"/>
          </c:dPt>
          <c:dPt>
            <c:idx val="6"/>
          </c:dPt>
          <c:dPt>
            <c:idx val="7"/>
            <c:spPr>
              <a:solidFill>
                <a:srgbClr val="38761D"/>
              </a:solidFill>
              <a:ln cmpd="sng">
                <a:noFill/>
              </a:ln>
            </c:spPr>
          </c:dPt>
          <c:dPt>
            <c:idx val="8"/>
          </c:dPt>
          <c:dPt>
            <c:idx val="9"/>
          </c:dPt>
          <c:dPt>
            <c:idx val="10"/>
          </c:dPt>
          <c:dPt>
            <c:idx val="11"/>
            <c:spPr>
              <a:solidFill>
                <a:srgbClr val="1C4587"/>
              </a:solidFill>
              <a:ln cmpd="sng">
                <a:noFill/>
              </a:ln>
            </c:spPr>
          </c:dPt>
          <c:dPt>
            <c:idx val="12"/>
            <c:spPr>
              <a:solidFill>
                <a:srgbClr val="38761D"/>
              </a:solidFill>
              <a:ln cmpd="sng">
                <a:noFill/>
              </a:ln>
            </c:spPr>
          </c:dPt>
          <c:dPt>
            <c:idx val="13"/>
          </c:dPt>
          <c:dPt>
            <c:idx val="17"/>
          </c:dPt>
          <c:dPt>
            <c:idx val="18"/>
          </c:dPt>
          <c:dPt>
            <c:idx val="19"/>
          </c:dPt>
          <c:dPt>
            <c:idx val="20"/>
          </c:dPt>
          <c:dPt>
            <c:idx val="22"/>
          </c:dPt>
          <c:dPt>
            <c:idx val="23"/>
            <c:spPr>
              <a:solidFill>
                <a:srgbClr val="1C4587"/>
              </a:solidFill>
              <a:ln cmpd="sng">
                <a:noFill/>
              </a:ln>
            </c:spPr>
          </c:dPt>
          <c:dPt>
            <c:idx val="27"/>
          </c:dPt>
          <c:dPt>
            <c:idx val="29"/>
          </c:dPt>
          <c:dPt>
            <c:idx val="31"/>
          </c:dPt>
          <c:dPt>
            <c:idx val="32"/>
            <c:spPr>
              <a:solidFill>
                <a:srgbClr val="1C4587"/>
              </a:solidFill>
              <a:ln cmpd="sng">
                <a:noFill/>
              </a:ln>
            </c:spPr>
          </c:dPt>
          <c:dPt>
            <c:idx val="34"/>
          </c:dPt>
          <c:dPt>
            <c:idx val="39"/>
            <c:spPr>
              <a:solidFill>
                <a:srgbClr val="1C4587"/>
              </a:solidFill>
              <a:ln cmpd="sng">
                <a:noFill/>
              </a:ln>
            </c:spPr>
          </c:dPt>
          <c:dPt>
            <c:idx val="40"/>
          </c:dPt>
          <c:dPt>
            <c:idx val="43"/>
          </c:dPt>
          <c:dPt>
            <c:idx val="44"/>
            <c:spPr>
              <a:solidFill>
                <a:srgbClr val="1C4587"/>
              </a:solidFill>
              <a:ln cmpd="sng">
                <a:noFill/>
              </a:ln>
            </c:spPr>
          </c:dPt>
          <c:dPt>
            <c:idx val="47"/>
          </c:dPt>
          <c:dPt>
            <c:idx val="55"/>
            <c:spPr>
              <a:solidFill>
                <a:srgbClr val="1C4587"/>
              </a:solidFill>
              <a:ln cmpd="sng">
                <a:noFill/>
              </a:ln>
            </c:spPr>
          </c:dPt>
          <c:dPt>
            <c:idx val="62"/>
            <c:spPr>
              <a:solidFill>
                <a:srgbClr val="1C4587"/>
              </a:solidFill>
              <a:ln cmpd="sng">
                <a:noFill/>
              </a:ln>
            </c:spPr>
          </c:dPt>
          <c:dLbls>
            <c:numFmt formatCode="General" sourceLinked="1"/>
            <c:txPr>
              <a:bodyPr/>
              <a:lstStyle/>
              <a:p>
                <a:pPr lvl="0">
                  <a:defRPr b="1" i="0">
                    <a:latin typeface="serif"/>
                  </a:defRPr>
                </a:pPr>
              </a:p>
            </c:txPr>
            <c:showLegendKey val="0"/>
            <c:showVal val="1"/>
            <c:showCatName val="0"/>
            <c:showSerName val="0"/>
            <c:showPercent val="0"/>
            <c:showBubbleSize val="0"/>
          </c:dLbls>
          <c:cat>
            <c:strRef>
              <c:f>Overview!$B$2:$B$77</c:f>
            </c:strRef>
          </c:cat>
          <c:val>
            <c:numRef>
              <c:f>Overview!$E$2:$E$77</c:f>
              <c:numCache/>
            </c:numRef>
          </c:val>
        </c:ser>
        <c:axId val="1426764748"/>
        <c:axId val="241519857"/>
      </c:barChart>
      <c:catAx>
        <c:axId val="14267647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241519857"/>
      </c:catAx>
      <c:valAx>
        <c:axId val="241519857"/>
        <c:scaling>
          <c:orientation val="minMax"/>
        </c:scaling>
        <c:delete val="0"/>
        <c:axPos val="l"/>
        <c:majorGridlines>
          <c:spPr>
            <a:ln>
              <a:solidFill>
                <a:srgbClr val="666666"/>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i="0">
                <a:solidFill>
                  <a:srgbClr val="000000"/>
                </a:solidFill>
                <a:latin typeface="+mn-lt"/>
              </a:defRPr>
            </a:pPr>
          </a:p>
        </c:txPr>
        <c:crossAx val="1426764748"/>
      </c:valAx>
    </c:plotArea>
    <c:legend>
      <c:legendPos val="t"/>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Experienced or New Users?</a:t>
            </a:r>
          </a:p>
        </c:rich>
      </c:tx>
      <c:overlay val="0"/>
    </c:title>
    <c:plotArea>
      <c:layout/>
      <c:barChart>
        <c:barDir val="col"/>
        <c:ser>
          <c:idx val="0"/>
          <c:order val="0"/>
          <c:tx>
            <c:strRef>
              <c:f>Overview!$P$1</c:f>
            </c:strRef>
          </c:tx>
          <c:spPr>
            <a:solidFill>
              <a:schemeClr val="accent1"/>
            </a:solidFill>
            <a:ln cmpd="sng">
              <a:noFill/>
            </a:ln>
          </c:spPr>
          <c:cat>
            <c:strRef>
              <c:f>Overview!$B$2:$B$77</c:f>
            </c:strRef>
          </c:cat>
          <c:val>
            <c:numRef>
              <c:f>Overview!$P$2:$P$77</c:f>
              <c:numCache/>
            </c:numRef>
          </c:val>
        </c:ser>
        <c:axId val="1718813309"/>
        <c:axId val="856099404"/>
      </c:barChart>
      <c:catAx>
        <c:axId val="17188133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a:solidFill>
                  <a:srgbClr val="000000"/>
                </a:solidFill>
                <a:latin typeface="+mn-lt"/>
              </a:defRPr>
            </a:pPr>
          </a:p>
        </c:txPr>
        <c:crossAx val="856099404"/>
      </c:catAx>
      <c:valAx>
        <c:axId val="856099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of experienced users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881330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Registrations for Geo-INQUIRE Events</a:t>
            </a:r>
          </a:p>
        </c:rich>
      </c:tx>
      <c:overlay val="0"/>
    </c:title>
    <c:view3D>
      <c:rotX val="50"/>
      <c:perspective val="0"/>
    </c:view3D>
    <c:plotArea>
      <c:layout/>
      <c:doughnutChart>
        <c:varyColors val="1"/>
        <c:ser>
          <c:idx val="0"/>
          <c:order val="0"/>
          <c:tx>
            <c:strRef>
              <c:f>AllParticpants!$Y$1</c:f>
            </c:strRef>
          </c:tx>
          <c:dPt>
            <c:idx val="0"/>
            <c:spPr>
              <a:solidFill>
                <a:srgbClr val="1C4587"/>
              </a:solidFill>
            </c:spPr>
          </c:dPt>
          <c:dPt>
            <c:idx val="1"/>
            <c:spPr>
              <a:solidFill>
                <a:srgbClr val="1155CC"/>
              </a:solidFill>
            </c:spPr>
          </c:dPt>
          <c:dPt>
            <c:idx val="2"/>
            <c:spPr>
              <a:solidFill>
                <a:srgbClr val="C9DAF8"/>
              </a:solidFill>
            </c:spPr>
          </c:dPt>
          <c:dPt>
            <c:idx val="3"/>
            <c:spPr>
              <a:solidFill>
                <a:srgbClr val="A4C2F4"/>
              </a:solidFill>
            </c:spPr>
          </c:dPt>
          <c:dPt>
            <c:idx val="4"/>
            <c:spPr>
              <a:solidFill>
                <a:srgbClr val="6D9EEB"/>
              </a:solidFill>
            </c:spPr>
          </c:dPt>
          <c:dPt>
            <c:idx val="5"/>
            <c:spPr>
              <a:solidFill>
                <a:srgbClr val="1155CC"/>
              </a:solidFill>
            </c:spPr>
          </c:dPt>
          <c:dPt>
            <c:idx val="6"/>
            <c:spPr>
              <a:solidFill>
                <a:srgbClr val="274E13"/>
              </a:solidFill>
            </c:spPr>
          </c:dPt>
          <c:dPt>
            <c:idx val="7"/>
            <c:spPr>
              <a:solidFill>
                <a:srgbClr val="6AA84F"/>
              </a:solidFill>
            </c:spPr>
          </c:dPt>
          <c:dPt>
            <c:idx val="8"/>
            <c:spPr>
              <a:solidFill>
                <a:srgbClr val="B6D7A8"/>
              </a:solidFill>
            </c:spPr>
          </c:dPt>
          <c:dPt>
            <c:idx val="9"/>
          </c:dPt>
          <c:dPt>
            <c:idx val="10"/>
          </c:dPt>
          <c:dLbls>
            <c:showLegendKey val="0"/>
            <c:showVal val="1"/>
            <c:showCatName val="0"/>
            <c:showSerName val="0"/>
            <c:showPercent val="0"/>
            <c:showBubbleSize val="0"/>
            <c:showLeaderLines val="1"/>
          </c:dLbls>
          <c:cat>
            <c:strRef>
              <c:f>AllParticpants!$X$2:$X$10</c:f>
            </c:strRef>
          </c:cat>
          <c:val>
            <c:numRef>
              <c:f>AllParticpants!$Y$2:$Y$12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Gender Balance in Geo-INQUIRE Trainig Events</a:t>
            </a:r>
          </a:p>
        </c:rich>
      </c:tx>
      <c:overlay val="0"/>
    </c:title>
    <c:plotArea>
      <c:layout/>
      <c:barChart>
        <c:barDir val="col"/>
        <c:ser>
          <c:idx val="0"/>
          <c:order val="0"/>
          <c:tx>
            <c:v>Female Registrations (Percentage)</c:v>
          </c:tx>
          <c:spPr>
            <a:solidFill>
              <a:srgbClr val="3C78D8"/>
            </a:solidFill>
            <a:ln cmpd="sng">
              <a:noFill/>
            </a:ln>
          </c:spPr>
          <c:dPt>
            <c:idx val="2"/>
            <c:spPr>
              <a:solidFill>
                <a:srgbClr val="6AA84F"/>
              </a:solidFill>
              <a:ln cmpd="sng">
                <a:noFill/>
              </a:ln>
            </c:spPr>
          </c:dPt>
          <c:dPt>
            <c:idx val="3"/>
            <c:spPr>
              <a:solidFill>
                <a:srgbClr val="6AA84F"/>
              </a:solidFill>
              <a:ln cmpd="sng">
                <a:noFill/>
              </a:ln>
            </c:spPr>
          </c:dPt>
          <c:dPt>
            <c:idx val="4"/>
            <c:spPr>
              <a:solidFill>
                <a:srgbClr val="6AA84F"/>
              </a:solidFill>
              <a:ln cmpd="sng">
                <a:noFill/>
              </a:ln>
            </c:spPr>
          </c:dPt>
          <c:dPt>
            <c:idx val="5"/>
            <c:spPr>
              <a:solidFill>
                <a:srgbClr val="6AA84F"/>
              </a:solidFill>
              <a:ln cmpd="sng">
                <a:noFill/>
              </a:ln>
            </c:spPr>
          </c:dPt>
          <c:dPt>
            <c:idx val="6"/>
            <c:spPr>
              <a:solidFill>
                <a:srgbClr val="6AA84F"/>
              </a:solidFill>
              <a:ln cmpd="sng">
                <a:noFill/>
              </a:ln>
            </c:spPr>
          </c:dPt>
          <c:dPt>
            <c:idx val="7"/>
            <c:spPr>
              <a:solidFill>
                <a:srgbClr val="6AA84F"/>
              </a:solidFill>
              <a:ln cmpd="sng">
                <a:noFill/>
              </a:ln>
            </c:spPr>
          </c:dPt>
          <c:dPt>
            <c:idx val="8"/>
            <c:spPr>
              <a:solidFill>
                <a:srgbClr val="6AA84F"/>
              </a:solidFill>
              <a:ln cmpd="sng">
                <a:noFill/>
              </a:ln>
            </c:spPr>
          </c:dPt>
          <c:dPt>
            <c:idx val="9"/>
            <c:spPr>
              <a:solidFill>
                <a:srgbClr val="38761D"/>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ISCPoster_Data!$B$2:$B$22</c:f>
            </c:strRef>
          </c:cat>
          <c:val>
            <c:numRef>
              <c:f>ISCPoster_Data!$J$2:$J$22</c:f>
              <c:numCache/>
            </c:numRef>
          </c:val>
        </c:ser>
        <c:axId val="967831094"/>
        <c:axId val="186252497"/>
      </c:barChart>
      <c:catAx>
        <c:axId val="9678310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252497"/>
      </c:catAx>
      <c:valAx>
        <c:axId val="1862524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Female Registrations (Percentage)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967831094"/>
      </c:valAx>
      <c:areaChart>
        <c:ser>
          <c:idx val="1"/>
          <c:order val="1"/>
          <c:tx>
            <c:v>Number of Registrations</c:v>
          </c:tx>
          <c:spPr>
            <a:solidFill>
              <a:srgbClr val="ED7D31">
                <a:alpha val="50000"/>
              </a:srgbClr>
            </a:solidFill>
            <a:ln cmpd="sng">
              <a:solidFill>
                <a:srgbClr val="ED7D31"/>
              </a:solidFill>
            </a:ln>
          </c:spPr>
          <c:cat>
            <c:strRef>
              <c:f>ISCPoster_Data!$B$2:$B$22</c:f>
            </c:strRef>
          </c:cat>
          <c:val>
            <c:numRef>
              <c:f>ISCPoster_Data!$E$2:$E$21</c:f>
              <c:numCache/>
            </c:numRef>
          </c:val>
        </c:ser>
        <c:axId val="1911914209"/>
        <c:axId val="316326907"/>
      </c:areaChart>
      <c:catAx>
        <c:axId val="1911914209"/>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316326907"/>
      </c:catAx>
      <c:valAx>
        <c:axId val="31632690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E69138"/>
                    </a:solidFill>
                    <a:latin typeface="+mn-lt"/>
                  </a:defRPr>
                </a:pPr>
                <a:r>
                  <a:rPr b="0">
                    <a:solidFill>
                      <a:srgbClr val="E69138"/>
                    </a:solidFill>
                    <a:latin typeface="+mn-lt"/>
                  </a:rPr>
                  <a:t>Number of Participants</a:t>
                </a:r>
              </a:p>
            </c:rich>
          </c:tx>
          <c:overlay val="0"/>
        </c:title>
        <c:numFmt formatCode="General" sourceLinked="1"/>
        <c:majorTickMark val="none"/>
        <c:minorTickMark val="none"/>
        <c:tickLblPos val="nextTo"/>
        <c:spPr>
          <a:ln>
            <a:noFill/>
          </a:ln>
        </c:spPr>
        <c:txPr>
          <a:bodyPr/>
          <a:lstStyle/>
          <a:p>
            <a:pPr lvl="0">
              <a:defRPr b="0">
                <a:solidFill>
                  <a:srgbClr val="E69138"/>
                </a:solidFill>
                <a:latin typeface="+mn-lt"/>
              </a:defRPr>
            </a:pPr>
          </a:p>
        </c:txPr>
        <c:crossAx val="1911914209"/>
        <c:crosses val="max"/>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Participants per Countries</a:t>
            </a:r>
          </a:p>
        </c:rich>
      </c:tx>
      <c:overlay val="0"/>
    </c:title>
    <c:plotArea>
      <c:layout/>
      <c:pieChart>
        <c:varyColors val="1"/>
        <c:ser>
          <c:idx val="0"/>
          <c:order val="0"/>
          <c:tx>
            <c:strRef>
              <c:f>FAIR1!$P$1</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Pt>
            <c:idx val="5"/>
            <c:spPr>
              <a:solidFill>
                <a:schemeClr val="accent6"/>
              </a:solidFill>
            </c:spPr>
          </c:dPt>
          <c:dPt>
            <c:idx val="6"/>
            <c:spPr>
              <a:solidFill>
                <a:schemeClr val="accent1"/>
              </a:solidFill>
            </c:spPr>
          </c:dPt>
          <c:dPt>
            <c:idx val="7"/>
            <c:spPr>
              <a:solidFill>
                <a:schemeClr val="accent2"/>
              </a:solidFill>
            </c:spPr>
          </c:dPt>
          <c:dPt>
            <c:idx val="8"/>
            <c:spPr>
              <a:solidFill>
                <a:schemeClr val="accent3"/>
              </a:solidFill>
            </c:spPr>
          </c:dPt>
          <c:dPt>
            <c:idx val="9"/>
            <c:spPr>
              <a:solidFill>
                <a:schemeClr val="accent4"/>
              </a:solidFill>
            </c:spPr>
          </c:dPt>
          <c:dPt>
            <c:idx val="10"/>
            <c:spPr>
              <a:solidFill>
                <a:schemeClr val="accent5"/>
              </a:solidFill>
            </c:spPr>
          </c:dPt>
          <c:dPt>
            <c:idx val="11"/>
            <c:spPr>
              <a:solidFill>
                <a:schemeClr val="accent6"/>
              </a:solidFill>
            </c:spPr>
          </c:dPt>
          <c:dPt>
            <c:idx val="12"/>
            <c:spPr>
              <a:solidFill>
                <a:schemeClr val="accent1"/>
              </a:solidFill>
            </c:spPr>
          </c:dPt>
          <c:dLbls>
            <c:showLegendKey val="0"/>
            <c:showVal val="0"/>
            <c:showCatName val="0"/>
            <c:showSerName val="0"/>
            <c:showPercent val="0"/>
            <c:showBubbleSize val="0"/>
            <c:showLeaderLines val="1"/>
          </c:dLbls>
          <c:cat>
            <c:strRef>
              <c:f>FAIR1!$O$2:$O$14</c:f>
            </c:strRef>
          </c:cat>
          <c:val>
            <c:numRef>
              <c:f>FAIR1!$P$2:$P$14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82</xdr:row>
      <xdr:rowOff>95250</xdr:rowOff>
    </xdr:from>
    <xdr:ext cx="5715000" cy="3533775"/>
    <xdr:graphicFrame>
      <xdr:nvGraphicFramePr>
        <xdr:cNvPr id="1105568960"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809625</xdr:colOff>
      <xdr:row>82</xdr:row>
      <xdr:rowOff>95250</xdr:rowOff>
    </xdr:from>
    <xdr:ext cx="8239125" cy="5095875"/>
    <xdr:graphicFrame>
      <xdr:nvGraphicFramePr>
        <xdr:cNvPr id="1566437548"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647700</xdr:colOff>
      <xdr:row>109</xdr:row>
      <xdr:rowOff>19050</xdr:rowOff>
    </xdr:from>
    <xdr:ext cx="5715000" cy="3533775"/>
    <xdr:graphicFrame>
      <xdr:nvGraphicFramePr>
        <xdr:cNvPr id="581362784" name="Chart 3" title="Diagram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180975</xdr:colOff>
      <xdr:row>163</xdr:row>
      <xdr:rowOff>190500</xdr:rowOff>
    </xdr:from>
    <xdr:ext cx="9525000" cy="5886450"/>
    <xdr:graphicFrame>
      <xdr:nvGraphicFramePr>
        <xdr:cNvPr id="970813245" name="Chart 4" title="Diagram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111</xdr:row>
      <xdr:rowOff>95250</xdr:rowOff>
    </xdr:from>
    <xdr:ext cx="5715000" cy="3533775"/>
    <xdr:graphicFrame>
      <xdr:nvGraphicFramePr>
        <xdr:cNvPr id="816989331" name="Chart 5" title="Diagram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171450</xdr:colOff>
      <xdr:row>147</xdr:row>
      <xdr:rowOff>66675</xdr:rowOff>
    </xdr:from>
    <xdr:ext cx="8886825" cy="5486400"/>
    <xdr:graphicFrame>
      <xdr:nvGraphicFramePr>
        <xdr:cNvPr id="1990878538" name="Chart 6" title="Diagram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171450</xdr:colOff>
      <xdr:row>175</xdr:row>
      <xdr:rowOff>142875</xdr:rowOff>
    </xdr:from>
    <xdr:ext cx="9696450" cy="6010275"/>
    <xdr:graphicFrame>
      <xdr:nvGraphicFramePr>
        <xdr:cNvPr id="1214622789" name="Chart 7" title="Diagramm"/>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838200</xdr:colOff>
      <xdr:row>123</xdr:row>
      <xdr:rowOff>66675</xdr:rowOff>
    </xdr:from>
    <xdr:ext cx="9763125" cy="7305675"/>
    <xdr:graphicFrame>
      <xdr:nvGraphicFramePr>
        <xdr:cNvPr id="2074268298" name="Chart 8" title="Diagramm"/>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80</xdr:row>
      <xdr:rowOff>171450</xdr:rowOff>
    </xdr:from>
    <xdr:ext cx="11725275" cy="8772525"/>
    <xdr:graphicFrame>
      <xdr:nvGraphicFramePr>
        <xdr:cNvPr id="1727278474" name="Chart 9" title="Diagramm"/>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15</xdr:col>
      <xdr:colOff>619125</xdr:colOff>
      <xdr:row>124</xdr:row>
      <xdr:rowOff>38100</xdr:rowOff>
    </xdr:from>
    <xdr:ext cx="8886825" cy="4629150"/>
    <xdr:graphicFrame>
      <xdr:nvGraphicFramePr>
        <xdr:cNvPr id="1499270145" name="Chart 10" title="Diagramm"/>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419100</xdr:colOff>
      <xdr:row>118</xdr:row>
      <xdr:rowOff>76200</xdr:rowOff>
    </xdr:from>
    <xdr:ext cx="6810375" cy="4200525"/>
    <xdr:pic>
      <xdr:nvPicPr>
        <xdr:cNvPr id="1353161408" name="Chart11" title="Diagramm">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21</xdr:col>
      <xdr:colOff>447675</xdr:colOff>
      <xdr:row>13</xdr:row>
      <xdr:rowOff>161925</xdr:rowOff>
    </xdr:from>
    <xdr:ext cx="6153150" cy="3800475"/>
    <xdr:graphicFrame>
      <xdr:nvGraphicFramePr>
        <xdr:cNvPr id="937896025" name="Chart 1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314325</xdr:colOff>
      <xdr:row>97</xdr:row>
      <xdr:rowOff>57150</xdr:rowOff>
    </xdr:from>
    <xdr:ext cx="5715000" cy="3533775"/>
    <xdr:pic>
      <xdr:nvPicPr>
        <xdr:cNvPr id="1995963252" name="Chart13" title="Diagramm">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25</xdr:row>
      <xdr:rowOff>76200</xdr:rowOff>
    </xdr:from>
    <xdr:ext cx="6324600" cy="3905250"/>
    <xdr:graphicFrame>
      <xdr:nvGraphicFramePr>
        <xdr:cNvPr id="462278352" name="Chart 1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457200</xdr:colOff>
      <xdr:row>59</xdr:row>
      <xdr:rowOff>114300</xdr:rowOff>
    </xdr:from>
    <xdr:ext cx="5715000" cy="3533775"/>
    <xdr:pic>
      <xdr:nvPicPr>
        <xdr:cNvPr id="1444933878" name="Chart15" title="Diagramm">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238125</xdr:colOff>
      <xdr:row>1</xdr:row>
      <xdr:rowOff>133350</xdr:rowOff>
    </xdr:from>
    <xdr:ext cx="4572000" cy="2743200"/>
    <xdr:graphicFrame>
      <xdr:nvGraphicFramePr>
        <xdr:cNvPr id="2077943885" name="Chart 1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115:G2211" displayName="Table_1" name="Table_1" id="1">
  <tableColumns count="6">
    <tableColumn name="Column1" id="1"/>
    <tableColumn name="Column2" id="2"/>
    <tableColumn name="Column3" id="3"/>
    <tableColumn name="Column4" id="4"/>
    <tableColumn name="Column5" id="5"/>
    <tableColumn name="Column6" id="6"/>
  </tableColumns>
  <tableStyleInfo name="AllParticpants-style" showColumnStripes="0" showFirstColumn="1" showLastColumn="1" showRowStripes="1"/>
</table>
</file>

<file path=xl/tables/table2.xml><?xml version="1.0" encoding="utf-8"?>
<table xmlns="http://schemas.openxmlformats.org/spreadsheetml/2006/main" headerRowCount="0" ref="I2115:L2211" displayName="Table_2" name="Table_2" id="2">
  <tableColumns count="4">
    <tableColumn name="Column1" id="1"/>
    <tableColumn name="Column2" id="2"/>
    <tableColumn name="Column3" id="3"/>
    <tableColumn name="Column4" id="4"/>
  </tableColumns>
  <tableStyleInfo name="AllParticpants-style 2" showColumnStripes="0" showFirstColumn="1" showLastColumn="1" showRowStripes="1"/>
</table>
</file>

<file path=xl/tables/table3.xml><?xml version="1.0" encoding="utf-8"?>
<table xmlns="http://schemas.openxmlformats.org/spreadsheetml/2006/main" headerRowCount="0" ref="B2:C28" displayName="Table_3" name="Table_3" id="3">
  <tableColumns count="2">
    <tableColumn name="Column1" id="1"/>
    <tableColumn name="Column2" id="2"/>
  </tableColumns>
  <tableStyleInfo name="EPOS Platform Trg - Online (12--style" showColumnStripes="0" showFirstColumn="1" showLastColumn="1" showRowStripes="1"/>
</table>
</file>

<file path=xl/tables/table4.xml><?xml version="1.0" encoding="utf-8"?>
<table xmlns="http://schemas.openxmlformats.org/spreadsheetml/2006/main" headerRowCount="0" ref="D2:D28" displayName="Table_4" name="Table_4" id="4">
  <tableColumns count="1">
    <tableColumn name="Column1" id="1"/>
  </tableColumns>
  <tableStyleInfo name="EPOS Platform Trg - Online (12--style 2" showColumnStripes="0" showFirstColumn="1" showLastColumn="1" showRowStripes="1"/>
</table>
</file>

<file path=xl/tables/table5.xml><?xml version="1.0" encoding="utf-8"?>
<table xmlns="http://schemas.openxmlformats.org/spreadsheetml/2006/main" headerRowCount="0" ref="G2:G28" displayName="Table_5" name="Table_5" id="5">
  <tableColumns count="1">
    <tableColumn name="Column1" id="1"/>
  </tableColumns>
  <tableStyleInfo name="EPOS Platform Trg - Online (12--style 3" showColumnStripes="0" showFirstColumn="1" showLastColumn="1" showRowStripes="1"/>
</table>
</file>

<file path=xl/tables/table6.xml><?xml version="1.0" encoding="utf-8"?>
<table xmlns="http://schemas.openxmlformats.org/spreadsheetml/2006/main" headerRowCount="0" ref="I2:I28" displayName="Table_6" name="Table_6" id="6">
  <tableColumns count="1">
    <tableColumn name="Column1" id="1"/>
  </tableColumns>
  <tableStyleInfo name="EPOS Platform Trg - Online (12--style 4" showColumnStripes="0" showFirstColumn="1" showLastColumn="1" showRowStripes="1"/>
</table>
</file>

<file path=xl/tables/table7.xml><?xml version="1.0" encoding="utf-8"?>
<table xmlns="http://schemas.openxmlformats.org/spreadsheetml/2006/main" headerRowCount="0" ref="J2:J28" displayName="Table_7" name="Table_7" id="7">
  <tableColumns count="1">
    <tableColumn name="Column1" id="1"/>
  </tableColumns>
  <tableStyleInfo name="EPOS Platform Trg - Online (12--style 5" showColumnStripes="0" showFirstColumn="1" showLastColumn="1" showRowStripes="1"/>
</table>
</file>

<file path=xl/tables/table8.xml><?xml version="1.0" encoding="utf-8"?>
<table xmlns="http://schemas.openxmlformats.org/spreadsheetml/2006/main" headerRowCount="0" ref="S2:T26" displayName="Table_8" name="Table_8" id="8">
  <tableColumns count="2">
    <tableColumn name="Column1" id="1"/>
    <tableColumn name="Column2" id="2"/>
  </tableColumns>
  <tableStyleInfo name="EPOS Platform Trg - Online (12--style 6" showColumnStripes="0" showFirstColumn="1" showLastColumn="1" showRowStripes="1"/>
</table>
</file>

<file path=xl/tables/table9.xml><?xml version="1.0" encoding="utf-8"?>
<table xmlns="http://schemas.openxmlformats.org/spreadsheetml/2006/main" headerRowCount="0" ref="B2:C10" displayName="Table_9" name="Table_9" id="9">
  <tableColumns count="2">
    <tableColumn name="Column1" id="1"/>
    <tableColumn name="Column2" id="2"/>
  </tableColumns>
  <tableStyleInfo name="EPOS Platform Trg - EGU25-style" showColumnStripes="0" showFirstColumn="1" showLastColumn="1" showRowStripes="1"/>
</table>
</file>

<file path=xl/tables/table10.xml><?xml version="1.0" encoding="utf-8"?>
<table xmlns="http://schemas.openxmlformats.org/spreadsheetml/2006/main" headerRowCount="0" ref="D2:D10" displayName="Table_10" name="Table_10" id="10">
  <tableColumns count="1">
    <tableColumn name="Column1" id="1"/>
  </tableColumns>
  <tableStyleInfo name="EPOS Platform Trg - EGU25-style 2" showColumnStripes="0" showFirstColumn="1" showLastColumn="1" showRowStripes="1"/>
</table>
</file>

<file path=xl/tables/table11.xml><?xml version="1.0" encoding="utf-8"?>
<table xmlns="http://schemas.openxmlformats.org/spreadsheetml/2006/main" headerRowCount="0" ref="G2:G10" displayName="Table_11" name="Table_11" id="11">
  <tableColumns count="1">
    <tableColumn name="Column1" id="1"/>
  </tableColumns>
  <tableStyleInfo name="EPOS Platform Trg - EGU25-style 3" showColumnStripes="0" showFirstColumn="1" showLastColumn="1" showRowStripes="1"/>
</table>
</file>

<file path=xl/tables/table12.xml><?xml version="1.0" encoding="utf-8"?>
<table xmlns="http://schemas.openxmlformats.org/spreadsheetml/2006/main" headerRowCount="0" ref="I2:I10" displayName="Table_12" name="Table_12" id="12">
  <tableColumns count="1">
    <tableColumn name="Column1" id="1"/>
  </tableColumns>
  <tableStyleInfo name="EPOS Platform Trg - EGU25-style 4" showColumnStripes="0" showFirstColumn="1" showLastColumn="1" showRowStripes="1"/>
</table>
</file>

<file path=xl/tables/table13.xml><?xml version="1.0" encoding="utf-8"?>
<table xmlns="http://schemas.openxmlformats.org/spreadsheetml/2006/main" headerRowCount="0" ref="J2:J10" displayName="Table_13" name="Table_13" id="13">
  <tableColumns count="1">
    <tableColumn name="Column1" id="1"/>
  </tableColumns>
  <tableStyleInfo name="EPOS Platform Trg - EGU25-style 5" showColumnStripes="0" showFirstColumn="1" showLastColumn="1" showRowStripes="1"/>
</table>
</file>

<file path=xl/tables/table14.xml><?xml version="1.0" encoding="utf-8"?>
<table xmlns="http://schemas.openxmlformats.org/spreadsheetml/2006/main" headerRowCount="0" ref="N2:P9" displayName="Table_14" name="Table_14" id="14">
  <tableColumns count="3">
    <tableColumn name="Column1" id="1"/>
    <tableColumn name="Column2" id="2"/>
    <tableColumn name="Column3" id="3"/>
  </tableColumns>
  <tableStyleInfo name="EPOS Platform Trg - EGU25-style 6" showColumnStripes="0" showFirstColumn="1" showLastColumn="1" showRowStripes="1"/>
</table>
</file>

<file path=xl/tables/table15.xml><?xml version="1.0" encoding="utf-8"?>
<table xmlns="http://schemas.openxmlformats.org/spreadsheetml/2006/main" headerRowCount="0" ref="B2:C61" displayName="Table_15" name="Table_15" id="15">
  <tableColumns count="2">
    <tableColumn name="Column1" id="1"/>
    <tableColumn name="Column2" id="2"/>
  </tableColumns>
  <tableStyleInfo name="EPOS Platform Trg - Clermont-Fe-style" showColumnStripes="0" showFirstColumn="1" showLastColumn="1" showRowStripes="1"/>
</table>
</file>

<file path=xl/tables/table16.xml><?xml version="1.0" encoding="utf-8"?>
<table xmlns="http://schemas.openxmlformats.org/spreadsheetml/2006/main" headerRowCount="0" ref="D2:F61" displayName="Table_16" name="Table_16" id="16">
  <tableColumns count="3">
    <tableColumn name="Column1" id="1"/>
    <tableColumn name="Column2" id="2"/>
    <tableColumn name="Column3" id="3"/>
  </tableColumns>
  <tableStyleInfo name="EPOS Platform Trg - Clermont-Fe-style 2" showColumnStripes="0" showFirstColumn="1" showLastColumn="1" showRowStripes="1"/>
</table>
</file>

<file path=xl/tables/table17.xml><?xml version="1.0" encoding="utf-8"?>
<table xmlns="http://schemas.openxmlformats.org/spreadsheetml/2006/main" headerRowCount="0" ref="G2:G27" displayName="Table_17" name="Table_17" id="17">
  <tableColumns count="1">
    <tableColumn name="Column1" id="1"/>
  </tableColumns>
  <tableStyleInfo name="EPOS Platform Trg - Clermont-Fe-style 3" showColumnStripes="0" showFirstColumn="1" showLastColumn="1" showRowStripes="1"/>
</table>
</file>

<file path=xl/tables/table18.xml><?xml version="1.0" encoding="utf-8"?>
<table xmlns="http://schemas.openxmlformats.org/spreadsheetml/2006/main" headerRowCount="0" ref="I2:I28" displayName="Table_18" name="Table_18" id="18">
  <tableColumns count="1">
    <tableColumn name="Column1" id="1"/>
  </tableColumns>
  <tableStyleInfo name="EPOS Platform Trg - Clermont-Fe-style 4" showColumnStripes="0" showFirstColumn="1" showLastColumn="1" showRowStripes="1"/>
</table>
</file>

<file path=xl/tables/table19.xml><?xml version="1.0" encoding="utf-8"?>
<table xmlns="http://schemas.openxmlformats.org/spreadsheetml/2006/main" headerRowCount="0" ref="J2:L28" displayName="Table_19" name="Table_19" id="19">
  <tableColumns count="3">
    <tableColumn name="Column1" id="1"/>
    <tableColumn name="Column2" id="2"/>
    <tableColumn name="Column3" id="3"/>
  </tableColumns>
  <tableStyleInfo name="EPOS Platform Trg - Clermont-Fe-style 5" showColumnStripes="0" showFirstColumn="1" showLastColumn="1" showRowStripes="1"/>
</table>
</file>

<file path=xl/tables/table20.xml><?xml version="1.0" encoding="utf-8"?>
<table xmlns="http://schemas.openxmlformats.org/spreadsheetml/2006/main" headerRowCount="0" ref="S2:T26" displayName="Table_20" name="Table_20" id="20">
  <tableColumns count="2">
    <tableColumn name="Column1" id="1"/>
    <tableColumn name="Column2" id="2"/>
  </tableColumns>
  <tableStyleInfo name="EPOS Platform Trg - Clermont-Fe-style 6" showColumnStripes="0" showFirstColumn="1" showLastColumn="1" showRowStripes="1"/>
</table>
</file>

<file path=xl/tables/table21.xml><?xml version="1.0" encoding="utf-8"?>
<table xmlns="http://schemas.openxmlformats.org/spreadsheetml/2006/main" headerRowCount="0" ref="B2:G7" displayName="Table_21" name="Table_21" id="21">
  <tableColumns count="6">
    <tableColumn name="Column1" id="1"/>
    <tableColumn name="Column2" id="2"/>
    <tableColumn name="Column3" id="3"/>
    <tableColumn name="Column4" id="4"/>
    <tableColumn name="Column5" id="5"/>
    <tableColumn name="Column6" id="6"/>
  </tableColumns>
  <tableStyleInfo name="EPOS Platform Trg - S4E-style" showColumnStripes="0" showFirstColumn="1" showLastColumn="1" showRowStripes="1"/>
</table>
</file>

<file path=xl/tables/table22.xml><?xml version="1.0" encoding="utf-8"?>
<table xmlns="http://schemas.openxmlformats.org/spreadsheetml/2006/main" headerRowCount="0" ref="I2:L7" displayName="Table_22" name="Table_22" id="22">
  <tableColumns count="4">
    <tableColumn name="Column1" id="1"/>
    <tableColumn name="Column2" id="2"/>
    <tableColumn name="Column3" id="3"/>
    <tableColumn name="Column4" id="4"/>
  </tableColumns>
  <tableStyleInfo name="EPOS Platform Trg - S4E-style 2" showColumnStripes="0" showFirstColumn="1" showLastColumn="1" showRowStripes="1"/>
</table>
</file>

<file path=xl/tables/table23.xml><?xml version="1.0" encoding="utf-8"?>
<table xmlns="http://schemas.openxmlformats.org/spreadsheetml/2006/main" headerRowCount="0" ref="B2:G27" displayName="Table_23" name="Table_23" id="23">
  <tableColumns count="6">
    <tableColumn name="Column1" id="1"/>
    <tableColumn name="Column2" id="2"/>
    <tableColumn name="Column3" id="3"/>
    <tableColumn name="Column4" id="4"/>
    <tableColumn name="Column5" id="5"/>
    <tableColumn name="Column6" id="6"/>
  </tableColumns>
  <tableStyleInfo name="EPOS Platform Trg - Summer Scho-style" showColumnStripes="0" showFirstColumn="1" showLastColumn="1" showRowStripes="1"/>
</table>
</file>

<file path=xl/tables/table24.xml><?xml version="1.0" encoding="utf-8"?>
<table xmlns="http://schemas.openxmlformats.org/spreadsheetml/2006/main" headerRowCount="0" ref="I2:L7" displayName="Table_24" name="Table_24" id="24">
  <tableColumns count="4">
    <tableColumn name="Column1" id="1"/>
    <tableColumn name="Column2" id="2"/>
    <tableColumn name="Column3" id="3"/>
    <tableColumn name="Column4" id="4"/>
  </tableColumns>
  <tableStyleInfo name="EPOS Platform Trg - Summer Scho-style 2" showColumnStripes="0" showFirstColumn="1" showLastColumn="1" showRowStripes="1"/>
</table>
</file>

<file path=xl/tables/table25.xml><?xml version="1.0" encoding="utf-8"?>
<table xmlns="http://schemas.openxmlformats.org/spreadsheetml/2006/main" headerRowCount="0" ref="N2:N27" displayName="Table_25" name="Table_25" id="25">
  <tableColumns count="1">
    <tableColumn name="Column1" id="1"/>
  </tableColumns>
  <tableStyleInfo name="EPOS Platform Trg - Summer Scho-style 3" showColumnStripes="0" showFirstColumn="1" showLastColumn="1" showRowStripes="1"/>
</table>
</file>

<file path=xl/tables/table26.xml><?xml version="1.0" encoding="utf-8"?>
<table xmlns="http://schemas.openxmlformats.org/spreadsheetml/2006/main" headerRowCount="0" ref="B2:H34"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EPOS Platform Trg - Spain-style" showColumnStripes="0" showFirstColumn="1" showLastColumn="1" showRowStripes="1"/>
</table>
</file>

<file path=xl/tables/table27.xml><?xml version="1.0" encoding="utf-8"?>
<table xmlns="http://schemas.openxmlformats.org/spreadsheetml/2006/main" headerRowCount="0" ref="I2:M32" displayName="Table_27" name="Table_27" id="27">
  <tableColumns count="5">
    <tableColumn name="Column1" id="1"/>
    <tableColumn name="Column2" id="2"/>
    <tableColumn name="Column3" id="3"/>
    <tableColumn name="Column4" id="4"/>
    <tableColumn name="Column5" id="5"/>
  </tableColumns>
  <tableStyleInfo name="EPOS Platform Trg - Spain-style 2" showColumnStripes="0" showFirstColumn="1" showLastColumn="1" showRowStripes="1"/>
</table>
</file>

<file path=xl/tables/table28.xml><?xml version="1.0" encoding="utf-8"?>
<table xmlns="http://schemas.openxmlformats.org/spreadsheetml/2006/main" headerRowCount="0" ref="N2:N27" displayName="Table_28" name="Table_28" id="28">
  <tableColumns count="1">
    <tableColumn name="Column1" id="1"/>
  </tableColumns>
  <tableStyleInfo name="EPOS Platform Trg - Spain-style 3" showColumnStripes="0" showFirstColumn="1" showLastColumn="1" showRowStripes="1"/>
</table>
</file>

<file path=xl/tables/table29.xml><?xml version="1.0" encoding="utf-8"?>
<table xmlns="http://schemas.openxmlformats.org/spreadsheetml/2006/main" headerRowCount="0" ref="B2:G11" displayName="Table_29" name="Table_29" id="29">
  <tableColumns count="6">
    <tableColumn name="Column1" id="1"/>
    <tableColumn name="Column2" id="2"/>
    <tableColumn name="Column3" id="3"/>
    <tableColumn name="Column4" id="4"/>
    <tableColumn name="Column5" id="5"/>
    <tableColumn name="Column6" id="6"/>
  </tableColumns>
  <tableStyleInfo name="EPOS Platform Trg - CZ-style" showColumnStripes="0" showFirstColumn="1" showLastColumn="1" showRowStripes="1"/>
</table>
</file>

<file path=xl/tables/table30.xml><?xml version="1.0" encoding="utf-8"?>
<table xmlns="http://schemas.openxmlformats.org/spreadsheetml/2006/main" headerRowCount="0" ref="I2:L11" displayName="Table_30" name="Table_30" id="30">
  <tableColumns count="4">
    <tableColumn name="Column1" id="1"/>
    <tableColumn name="Column2" id="2"/>
    <tableColumn name="Column3" id="3"/>
    <tableColumn name="Column4" id="4"/>
  </tableColumns>
  <tableStyleInfo name="EPOS Platform Trg - CZ-style 2" showColumnStripes="0" showFirstColumn="1" showLastColumn="1" showRowStripes="1"/>
</table>
</file>

<file path=xl/tables/table31.xml><?xml version="1.0" encoding="utf-8"?>
<table xmlns="http://schemas.openxmlformats.org/spreadsheetml/2006/main" ref="A1:AF8" displayName="Tabelle1" name="Tabelle1" id="31">
  <tableColumns count="32">
    <tableColumn name="Timestamp" id="1"/>
    <tableColumn name="What type of user are you?" id="2"/>
    <tableColumn name="What is your affiliation?" id="3"/>
    <tableColumn name="What is your country of affiliation?" id="4"/>
    <tableColumn name="How old are you?" id="5"/>
    <tableColumn name="What is your gender?" id="6"/>
    <tableColumn name="What is your background? (multiple choices)" id="7"/>
    <tableColumn name="What are your IT skills?" id="8"/>
    <tableColumn name="Have you used the EPOS Platform before? " id="9"/>
    <tableColumn name="How many times have you used the EPOS Platform before?" id="10"/>
    <tableColumn name="What was the purpose of the EPOS Platform usage?" id="11"/>
    <tableColumn name="Are you satisfied with the response time of the portal?" id="12"/>
    <tableColumn name="Do you consider the portal easy to understand and navigate through?" id="13"/>
    <tableColumn name="How do you rate the following features in the EPOS Platform? [Search features]" id="14"/>
    <tableColumn name="How do you rate the following features in the EPOS Platform? [Visualization features]" id="15"/>
    <tableColumn name="How do you rate the following features in the EPOS Platform? [Service configuration features]" id="16"/>
    <tableColumn name="How do you rate the following features in the EPOS Platform? [Download features]" id="17"/>
    <tableColumn name="How do you rate the following features in the EPOS Platform? [Metadata content]" id="18"/>
    <tableColumn name="How clear is the general layout of the portal?" id="19"/>
    <tableColumn name="Do you think you will use the EPOS Platform again?" id="20"/>
    <tableColumn name="If not, or not sure what would prevent you from using it again? Please select up to three reasons." id="21"/>
    <tableColumn name="Does the EPOS Platform cover data you could use for your research?" id="22"/>
    <tableColumn name="Is DATA QUALITY in EPOS Platform sufficient for your research?" id="23"/>
    <tableColumn name="What kind of data/service/feature you would like to find in the portal that is not yet there?" id="24"/>
    <tableColumn name="How would you evaluate this approach for training? " id="25"/>
    <tableColumn name="Have you learned anything useful during the training today?" id="26"/>
    <tableColumn name="Do you feel that after the training you acquired the skills to use the portal?" id="27"/>
    <tableColumn name="How would you evaluate individual parts of the training? [Introduction to Open Science]" id="28"/>
    <tableColumn name="How would you evaluate individual parts of the training? [Presentation of the EPOS infrastructure]" id="29"/>
    <tableColumn name="How would you evaluate individual parts of the training? [Demo of the EPOS Platform]" id="30"/>
    <tableColumn name="How would you evaluate individual parts of the training? [Hands-on session]" id="31"/>
    <tableColumn name="Would you be interested in further training on the EPOS Platform?" id="32"/>
  </tableColumns>
  <tableStyleInfo name="EPOS Platform 2026-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ig.cas.cz/" TargetMode="External"/><Relationship Id="rId2"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g.cas.cz/"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9" Type="http://schemas.openxmlformats.org/officeDocument/2006/relationships/table" Target="../tables/table4.xml"/><Relationship Id="rId8"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8"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9" Type="http://schemas.openxmlformats.org/officeDocument/2006/relationships/table" Target="../tables/table16.xml"/><Relationship Id="rId8"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1.xml"/><Relationship Id="rId5"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23.xml"/><Relationship Id="rId6" Type="http://schemas.openxmlformats.org/officeDocument/2006/relationships/table" Target="../tables/table24.xml"/><Relationship Id="rId7" Type="http://schemas.openxmlformats.org/officeDocument/2006/relationships/table" Target="../tables/table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29.xml"/><Relationship Id="rId5"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86"/>
    <col customWidth="1" min="2" max="2" width="24.57"/>
    <col customWidth="1" min="3" max="3" width="14.57"/>
    <col customWidth="1" min="4" max="4" width="8.57"/>
    <col customWidth="1" min="5" max="5" width="13.43"/>
    <col customWidth="1" min="6" max="6" width="12.43"/>
    <col customWidth="1" min="7" max="8" width="7.43"/>
    <col customWidth="1" min="9" max="9" width="7.57"/>
    <col customWidth="1" min="10" max="10" width="9.71"/>
    <col customWidth="1" min="11" max="11" width="4.71"/>
    <col customWidth="1" min="12" max="12" width="12.0"/>
    <col customWidth="1" min="13" max="13" width="5.14"/>
    <col customWidth="1" min="14" max="14" width="7.14"/>
    <col customWidth="1" min="15" max="15" width="8.86"/>
    <col customWidth="1" min="16" max="16" width="11.43"/>
    <col customWidth="1" min="17" max="17" width="15.71"/>
    <col customWidth="1" min="18" max="20" width="12.57"/>
    <col customWidth="1" min="21" max="21" width="15.14"/>
    <col customWidth="1" min="22" max="22" width="10.71"/>
    <col customWidth="1" min="23" max="27" width="9.14"/>
  </cols>
  <sheetData>
    <row r="1">
      <c r="A1" s="1" t="s">
        <v>0</v>
      </c>
      <c r="B1" s="2" t="s">
        <v>1</v>
      </c>
      <c r="C1" s="2" t="s">
        <v>2</v>
      </c>
      <c r="D1" s="2" t="s">
        <v>3</v>
      </c>
      <c r="E1" s="2" t="s">
        <v>4</v>
      </c>
      <c r="F1" s="3" t="s">
        <v>5</v>
      </c>
      <c r="G1" s="2" t="s">
        <v>6</v>
      </c>
      <c r="H1" s="2" t="s">
        <v>7</v>
      </c>
      <c r="I1" s="2" t="s">
        <v>8</v>
      </c>
      <c r="J1" s="3" t="s">
        <v>9</v>
      </c>
      <c r="K1" s="2" t="s">
        <v>10</v>
      </c>
      <c r="L1" s="3" t="s">
        <v>11</v>
      </c>
      <c r="M1" s="2" t="s">
        <v>12</v>
      </c>
      <c r="N1" s="3" t="s">
        <v>13</v>
      </c>
      <c r="O1" s="2" t="s">
        <v>14</v>
      </c>
      <c r="P1" s="3" t="s">
        <v>15</v>
      </c>
      <c r="Q1" s="2" t="s">
        <v>16</v>
      </c>
      <c r="R1" s="3" t="s">
        <v>17</v>
      </c>
      <c r="S1" s="2" t="s">
        <v>18</v>
      </c>
      <c r="T1" s="4" t="s">
        <v>19</v>
      </c>
      <c r="U1" s="2" t="s">
        <v>20</v>
      </c>
      <c r="V1" s="2" t="s">
        <v>21</v>
      </c>
      <c r="W1" s="2" t="s">
        <v>22</v>
      </c>
      <c r="X1" s="3" t="s">
        <v>23</v>
      </c>
      <c r="Y1" s="5" t="s">
        <v>24</v>
      </c>
      <c r="Z1" s="2"/>
      <c r="AA1" s="2"/>
    </row>
    <row r="2">
      <c r="A2" s="6">
        <v>45200.0</v>
      </c>
      <c r="B2" s="7" t="s">
        <v>25</v>
      </c>
      <c r="C2" s="7">
        <f t="array" ref="C2">COUNT(INDIRECT(B2&amp;"!A$2:A$1000"))</f>
        <v>89</v>
      </c>
      <c r="D2" s="7">
        <f t="shared" ref="D2:D5" si="1">G2+H2+I2</f>
        <v>89</v>
      </c>
      <c r="E2" s="7">
        <v>81.0</v>
      </c>
      <c r="F2" s="8">
        <f t="shared" ref="F2:F12" si="2">E2/C2</f>
        <v>0.9101123596</v>
      </c>
      <c r="G2" s="9">
        <f t="array" ref="G2">COUNTIF(INDIRECT($B2&amp;"!B$2:B$1000"),"Male")</f>
        <v>43</v>
      </c>
      <c r="H2" s="7">
        <f t="array" ref="H2">COUNTIF(INDIRECT($B2&amp;"!B$2:B$1000"),"Female")</f>
        <v>44</v>
      </c>
      <c r="I2" s="7">
        <f t="array" ref="I2">COUNTIF(INDIRECT($B2&amp;"!B$2:B$1000"),"Diverse")</f>
        <v>2</v>
      </c>
      <c r="J2" s="8">
        <f t="shared" ref="J2:J5" si="3">H2/C2</f>
        <v>0.4943820225</v>
      </c>
      <c r="K2" s="7">
        <f t="array" ref="K2">COUNTIF(INDIRECT($B2&amp;"!E$2:E$1000"),"Yes")</f>
        <v>36</v>
      </c>
      <c r="L2" s="8">
        <f t="shared" ref="L2:L5" si="4">K2/C2</f>
        <v>0.404494382</v>
      </c>
      <c r="M2" s="7">
        <f t="array" ref="M2">COUNTIF(INDIRECT($B2&amp;"!F$2:F$1000"),"Yes")</f>
        <v>7</v>
      </c>
      <c r="N2" s="8">
        <f t="shared" ref="N2:N3" si="5">M2/C2</f>
        <v>0.07865168539</v>
      </c>
      <c r="O2" s="7">
        <f t="array" ref="O2">COUNTIF(INDIRECT($B2&amp;"!I$2:I$1000"),"Yes")</f>
        <v>39</v>
      </c>
      <c r="P2" s="8">
        <f>O2/C2</f>
        <v>0.4382022472</v>
      </c>
      <c r="Q2" s="7">
        <v>19.0</v>
      </c>
      <c r="R2" s="8">
        <f>Q2/E2</f>
        <v>0.2345679012</v>
      </c>
      <c r="S2" s="7">
        <v>15.0</v>
      </c>
      <c r="T2" s="10">
        <f>S2/C2</f>
        <v>0.1685393258</v>
      </c>
      <c r="U2" s="7">
        <v>18.0</v>
      </c>
      <c r="V2" s="7">
        <v>22.0</v>
      </c>
      <c r="W2" s="7">
        <v>6.0</v>
      </c>
      <c r="X2" s="8">
        <f t="shared" ref="X2:X5" si="6">W2/C2</f>
        <v>0.06741573034</v>
      </c>
    </row>
    <row r="3">
      <c r="A3" s="6">
        <v>45315.0</v>
      </c>
      <c r="B3" s="11" t="s">
        <v>26</v>
      </c>
      <c r="C3" s="7">
        <v>399.0</v>
      </c>
      <c r="D3" s="7">
        <f t="shared" si="1"/>
        <v>399</v>
      </c>
      <c r="E3" s="7">
        <v>212.0</v>
      </c>
      <c r="F3" s="8">
        <f t="shared" si="2"/>
        <v>0.5313283208</v>
      </c>
      <c r="G3" s="9">
        <v>187.0</v>
      </c>
      <c r="H3" s="7">
        <v>212.0</v>
      </c>
      <c r="I3" s="7">
        <v>0.0</v>
      </c>
      <c r="J3" s="8">
        <f t="shared" si="3"/>
        <v>0.5313283208</v>
      </c>
      <c r="K3" s="7">
        <v>25.0</v>
      </c>
      <c r="L3" s="8">
        <f t="shared" si="4"/>
        <v>0.0626566416</v>
      </c>
      <c r="M3" s="7">
        <v>13.0</v>
      </c>
      <c r="N3" s="8">
        <f t="shared" si="5"/>
        <v>0.03258145363</v>
      </c>
      <c r="O3" s="12"/>
      <c r="P3" s="13"/>
      <c r="Q3" s="7">
        <v>69.0</v>
      </c>
      <c r="R3" s="8">
        <f t="shared" ref="R3:R6" si="7">Q3/C3</f>
        <v>0.1729323308</v>
      </c>
      <c r="S3" s="7">
        <v>12.0</v>
      </c>
      <c r="T3" s="10">
        <f>S3/Q3</f>
        <v>0.1739130435</v>
      </c>
      <c r="U3" s="7">
        <v>16.0</v>
      </c>
      <c r="V3" s="7">
        <v>34.0</v>
      </c>
      <c r="W3" s="7">
        <v>13.0</v>
      </c>
      <c r="X3" s="8">
        <f t="shared" si="6"/>
        <v>0.03258145363</v>
      </c>
    </row>
    <row r="4">
      <c r="A4" s="6">
        <v>45413.0</v>
      </c>
      <c r="B4" s="11" t="s">
        <v>27</v>
      </c>
      <c r="C4" s="7">
        <v>103.0</v>
      </c>
      <c r="D4" s="7">
        <f t="shared" si="1"/>
        <v>65</v>
      </c>
      <c r="E4" s="7">
        <v>65.0</v>
      </c>
      <c r="F4" s="8">
        <f t="shared" si="2"/>
        <v>0.6310679612</v>
      </c>
      <c r="G4" s="9">
        <v>32.0</v>
      </c>
      <c r="H4" s="7">
        <v>33.0</v>
      </c>
      <c r="I4" s="7">
        <v>0.0</v>
      </c>
      <c r="J4" s="8">
        <f t="shared" si="3"/>
        <v>0.3203883495</v>
      </c>
      <c r="K4" s="7">
        <v>13.0</v>
      </c>
      <c r="L4" s="8">
        <f t="shared" si="4"/>
        <v>0.1262135922</v>
      </c>
      <c r="M4" s="7">
        <v>0.0</v>
      </c>
      <c r="N4" s="8">
        <v>0.0</v>
      </c>
      <c r="O4" s="7">
        <v>22.0</v>
      </c>
      <c r="P4" s="8">
        <f t="shared" ref="P4:P5" si="8">O4/C4</f>
        <v>0.213592233</v>
      </c>
      <c r="Q4" s="7">
        <v>33.0</v>
      </c>
      <c r="R4" s="8">
        <f t="shared" si="7"/>
        <v>0.3203883495</v>
      </c>
      <c r="S4" s="7">
        <v>7.0</v>
      </c>
      <c r="T4" s="10">
        <f>S4/C4</f>
        <v>0.06796116505</v>
      </c>
      <c r="U4" s="7">
        <v>14.0</v>
      </c>
      <c r="V4" s="7">
        <v>28.0</v>
      </c>
      <c r="W4" s="7">
        <v>8.0</v>
      </c>
      <c r="X4" s="8">
        <f t="shared" si="6"/>
        <v>0.07766990291</v>
      </c>
    </row>
    <row r="5">
      <c r="A5" s="14" t="s">
        <v>28</v>
      </c>
      <c r="B5" s="15" t="s">
        <v>29</v>
      </c>
      <c r="C5" s="15">
        <v>72.0</v>
      </c>
      <c r="D5" s="16">
        <f t="shared" si="1"/>
        <v>72</v>
      </c>
      <c r="E5" s="17">
        <v>44.0</v>
      </c>
      <c r="F5" s="8">
        <f t="shared" si="2"/>
        <v>0.6111111111</v>
      </c>
      <c r="G5" s="18">
        <v>25.0</v>
      </c>
      <c r="H5" s="15">
        <v>47.0</v>
      </c>
      <c r="I5" s="15">
        <v>0.0</v>
      </c>
      <c r="J5" s="19">
        <f t="shared" si="3"/>
        <v>0.6527777778</v>
      </c>
      <c r="K5" s="17">
        <v>3.0</v>
      </c>
      <c r="L5" s="8">
        <f t="shared" si="4"/>
        <v>0.04166666667</v>
      </c>
      <c r="M5" s="17">
        <v>0.0</v>
      </c>
      <c r="N5" s="19">
        <v>0.0</v>
      </c>
      <c r="O5" s="17">
        <v>10.0</v>
      </c>
      <c r="P5" s="8">
        <f t="shared" si="8"/>
        <v>0.1388888889</v>
      </c>
      <c r="Q5" s="17">
        <v>24.0</v>
      </c>
      <c r="R5" s="8">
        <f t="shared" si="7"/>
        <v>0.3333333333</v>
      </c>
      <c r="S5" s="15">
        <v>39.0</v>
      </c>
      <c r="T5" s="10">
        <f>S4/C4</f>
        <v>0.06796116505</v>
      </c>
      <c r="U5" s="7">
        <f>AVERAGE(U2:U4)</f>
        <v>16</v>
      </c>
      <c r="V5" s="17">
        <v>20.0</v>
      </c>
      <c r="W5" s="17">
        <v>2.0</v>
      </c>
      <c r="X5" s="8">
        <f t="shared" si="6"/>
        <v>0.02777777778</v>
      </c>
      <c r="Y5" s="5"/>
      <c r="Z5" s="2"/>
      <c r="AA5" s="2"/>
    </row>
    <row r="6">
      <c r="A6" s="14" t="s">
        <v>30</v>
      </c>
      <c r="B6" s="15" t="s">
        <v>31</v>
      </c>
      <c r="C6" s="15">
        <v>90.0</v>
      </c>
      <c r="D6" s="15">
        <v>37.0</v>
      </c>
      <c r="E6" s="17">
        <v>17.0</v>
      </c>
      <c r="F6" s="8">
        <f t="shared" si="2"/>
        <v>0.1888888889</v>
      </c>
      <c r="G6" s="18">
        <v>8.0</v>
      </c>
      <c r="H6" s="15">
        <v>9.0</v>
      </c>
      <c r="I6" s="15">
        <v>0.0</v>
      </c>
      <c r="J6" s="19">
        <v>0.53</v>
      </c>
      <c r="K6" s="17">
        <v>3.0</v>
      </c>
      <c r="L6" s="19">
        <v>0.18</v>
      </c>
      <c r="M6" s="17">
        <v>0.0</v>
      </c>
      <c r="N6" s="19">
        <v>0.0</v>
      </c>
      <c r="O6" s="17">
        <v>5.0</v>
      </c>
      <c r="P6" s="19">
        <v>0.29</v>
      </c>
      <c r="Q6" s="17">
        <v>17.0</v>
      </c>
      <c r="R6" s="8">
        <f t="shared" si="7"/>
        <v>0.1888888889</v>
      </c>
      <c r="S6" s="15">
        <v>0.0</v>
      </c>
      <c r="T6" s="20">
        <v>0.0</v>
      </c>
      <c r="U6" s="15">
        <v>14.0</v>
      </c>
      <c r="V6" s="17">
        <v>6.0</v>
      </c>
      <c r="W6" s="17">
        <v>0.0</v>
      </c>
      <c r="X6" s="19">
        <v>0.0</v>
      </c>
      <c r="Y6" s="5"/>
      <c r="Z6" s="2"/>
      <c r="AA6" s="2"/>
    </row>
    <row r="7">
      <c r="A7" s="21">
        <v>45748.0</v>
      </c>
      <c r="B7" s="15" t="s">
        <v>32</v>
      </c>
      <c r="C7" s="22">
        <f t="shared" ref="C7:C12" si="9">E7</f>
        <v>21</v>
      </c>
      <c r="D7" s="17">
        <v>21.0</v>
      </c>
      <c r="E7" s="17">
        <v>21.0</v>
      </c>
      <c r="F7" s="8">
        <f t="shared" si="2"/>
        <v>1</v>
      </c>
      <c r="G7" s="18">
        <v>3.0</v>
      </c>
      <c r="H7" s="15">
        <v>5.0</v>
      </c>
      <c r="I7" s="15">
        <v>0.0</v>
      </c>
      <c r="J7" s="19">
        <v>0.62</v>
      </c>
      <c r="K7" s="17">
        <v>4.0</v>
      </c>
      <c r="L7" s="19">
        <v>0.5</v>
      </c>
      <c r="M7" s="17">
        <v>0.0</v>
      </c>
      <c r="N7" s="19">
        <v>0.0</v>
      </c>
      <c r="O7" s="17">
        <v>3.0</v>
      </c>
      <c r="P7" s="19">
        <v>0.38</v>
      </c>
      <c r="Q7" s="17">
        <v>8.0</v>
      </c>
      <c r="R7" s="8">
        <f>Q7/D7</f>
        <v>0.380952381</v>
      </c>
      <c r="S7" s="15">
        <v>1.0</v>
      </c>
      <c r="T7" s="20">
        <v>0.13</v>
      </c>
      <c r="U7" s="15">
        <v>10.0</v>
      </c>
      <c r="V7" s="17">
        <v>6.0</v>
      </c>
      <c r="W7" s="17">
        <v>0.0</v>
      </c>
      <c r="X7" s="19">
        <v>0.0</v>
      </c>
      <c r="Y7" s="5"/>
      <c r="Z7" s="2"/>
      <c r="AA7" s="2"/>
    </row>
    <row r="8">
      <c r="A8" s="23" t="s">
        <v>33</v>
      </c>
      <c r="B8" s="15" t="s">
        <v>34</v>
      </c>
      <c r="C8" s="22">
        <f t="shared" si="9"/>
        <v>8</v>
      </c>
      <c r="D8" s="17">
        <v>8.0</v>
      </c>
      <c r="E8" s="17">
        <v>8.0</v>
      </c>
      <c r="F8" s="8">
        <f t="shared" si="2"/>
        <v>1</v>
      </c>
      <c r="G8" s="18">
        <v>4.0</v>
      </c>
      <c r="H8" s="15">
        <v>4.0</v>
      </c>
      <c r="I8" s="15">
        <v>0.0</v>
      </c>
      <c r="J8" s="19">
        <v>0.5</v>
      </c>
      <c r="K8" s="17">
        <v>3.0</v>
      </c>
      <c r="L8" s="19">
        <v>0.38</v>
      </c>
      <c r="M8" s="17">
        <v>0.0</v>
      </c>
      <c r="N8" s="19">
        <v>0.0</v>
      </c>
      <c r="O8" s="17">
        <v>3.0</v>
      </c>
      <c r="P8" s="19">
        <v>0.38</v>
      </c>
      <c r="Q8" s="17">
        <v>8.0</v>
      </c>
      <c r="R8" s="19">
        <v>1.0</v>
      </c>
      <c r="S8" s="15">
        <v>0.0</v>
      </c>
      <c r="T8" s="20">
        <v>0.0</v>
      </c>
      <c r="U8" s="15">
        <v>9.0</v>
      </c>
      <c r="V8" s="17">
        <v>1.0</v>
      </c>
      <c r="W8" s="17">
        <v>0.0</v>
      </c>
      <c r="X8" s="19">
        <v>0.0</v>
      </c>
      <c r="Y8" s="5"/>
      <c r="Z8" s="2"/>
      <c r="AA8" s="2"/>
    </row>
    <row r="9">
      <c r="A9" s="23" t="s">
        <v>33</v>
      </c>
      <c r="B9" s="15" t="s">
        <v>35</v>
      </c>
      <c r="C9" s="22">
        <f t="shared" si="9"/>
        <v>6</v>
      </c>
      <c r="D9" s="17">
        <v>6.0</v>
      </c>
      <c r="E9" s="17">
        <v>6.0</v>
      </c>
      <c r="F9" s="8">
        <f t="shared" si="2"/>
        <v>1</v>
      </c>
      <c r="G9" s="18">
        <v>3.0</v>
      </c>
      <c r="H9" s="15">
        <v>3.0</v>
      </c>
      <c r="I9" s="15">
        <v>0.0</v>
      </c>
      <c r="J9" s="19">
        <v>0.5</v>
      </c>
      <c r="K9" s="17">
        <v>4.0</v>
      </c>
      <c r="L9" s="19">
        <v>0.67</v>
      </c>
      <c r="M9" s="17">
        <v>0.0</v>
      </c>
      <c r="N9" s="19">
        <v>0.0</v>
      </c>
      <c r="O9" s="17">
        <v>1.0</v>
      </c>
      <c r="P9" s="19">
        <v>0.17</v>
      </c>
      <c r="Q9" s="17">
        <v>6.0</v>
      </c>
      <c r="R9" s="19">
        <v>0.75</v>
      </c>
      <c r="S9" s="15">
        <v>0.0</v>
      </c>
      <c r="T9" s="20">
        <v>0.0</v>
      </c>
      <c r="U9" s="15">
        <v>4.0</v>
      </c>
      <c r="V9" s="17">
        <v>2.0</v>
      </c>
      <c r="W9" s="17">
        <v>0.0</v>
      </c>
      <c r="X9" s="19">
        <v>0.0</v>
      </c>
      <c r="Y9" s="5"/>
      <c r="Z9" s="2"/>
      <c r="AA9" s="2"/>
    </row>
    <row r="10">
      <c r="A10" s="23" t="s">
        <v>36</v>
      </c>
      <c r="B10" s="15" t="s">
        <v>37</v>
      </c>
      <c r="C10" s="22">
        <f t="shared" si="9"/>
        <v>25</v>
      </c>
      <c r="D10" s="17">
        <v>25.0</v>
      </c>
      <c r="E10" s="17">
        <v>25.0</v>
      </c>
      <c r="F10" s="8">
        <f t="shared" si="2"/>
        <v>1</v>
      </c>
      <c r="G10" s="18">
        <v>8.0</v>
      </c>
      <c r="H10" s="15">
        <v>17.0</v>
      </c>
      <c r="I10" s="15">
        <v>0.0</v>
      </c>
      <c r="J10" s="19">
        <v>0.68</v>
      </c>
      <c r="K10" s="17">
        <v>13.0</v>
      </c>
      <c r="L10" s="19">
        <v>0.52</v>
      </c>
      <c r="M10" s="17">
        <v>0.0</v>
      </c>
      <c r="N10" s="19">
        <v>0.0</v>
      </c>
      <c r="O10" s="17">
        <v>10.0</v>
      </c>
      <c r="P10" s="19">
        <v>0.4</v>
      </c>
      <c r="Q10" s="17">
        <v>25.0</v>
      </c>
      <c r="R10" s="19">
        <v>1.0</v>
      </c>
      <c r="S10" s="15">
        <v>5.0</v>
      </c>
      <c r="T10" s="20">
        <v>0.2</v>
      </c>
      <c r="U10" s="15">
        <v>19.0</v>
      </c>
      <c r="V10" s="17">
        <v>15.0</v>
      </c>
      <c r="W10" s="17">
        <v>6.0</v>
      </c>
      <c r="X10" s="19">
        <v>0.24</v>
      </c>
      <c r="Y10" s="5"/>
      <c r="Z10" s="2"/>
      <c r="AA10" s="2"/>
    </row>
    <row r="11">
      <c r="A11" s="23" t="s">
        <v>38</v>
      </c>
      <c r="B11" s="15" t="s">
        <v>39</v>
      </c>
      <c r="C11" s="22">
        <f t="shared" si="9"/>
        <v>26</v>
      </c>
      <c r="D11" s="17">
        <v>26.0</v>
      </c>
      <c r="E11" s="17">
        <v>26.0</v>
      </c>
      <c r="F11" s="8">
        <f t="shared" si="2"/>
        <v>1</v>
      </c>
      <c r="G11" s="17">
        <v>12.0</v>
      </c>
      <c r="H11" s="17">
        <v>14.0</v>
      </c>
      <c r="I11" s="15">
        <v>0.0</v>
      </c>
      <c r="J11" s="24">
        <v>0.54</v>
      </c>
      <c r="K11" s="17">
        <v>10.0</v>
      </c>
      <c r="L11" s="24">
        <v>0.38</v>
      </c>
      <c r="M11" s="17">
        <v>0.0</v>
      </c>
      <c r="N11" s="19">
        <v>0.0</v>
      </c>
      <c r="O11" s="17">
        <v>10.0</v>
      </c>
      <c r="P11" s="24">
        <v>0.38</v>
      </c>
      <c r="Q11" s="17">
        <v>26.0</v>
      </c>
      <c r="R11" s="19">
        <v>1.0</v>
      </c>
      <c r="S11" s="17">
        <v>1.0</v>
      </c>
      <c r="T11" s="25">
        <v>0.04</v>
      </c>
      <c r="U11" s="17">
        <v>20.0</v>
      </c>
      <c r="V11" s="17">
        <v>2.0</v>
      </c>
      <c r="W11" s="17">
        <v>0.0</v>
      </c>
      <c r="X11" s="19">
        <v>0.0</v>
      </c>
      <c r="Y11" s="5"/>
      <c r="Z11" s="2"/>
      <c r="AA11" s="2"/>
    </row>
    <row r="12">
      <c r="A12" s="23" t="s">
        <v>40</v>
      </c>
      <c r="B12" s="15" t="s">
        <v>41</v>
      </c>
      <c r="C12" s="22">
        <f t="shared" si="9"/>
        <v>9</v>
      </c>
      <c r="D12" s="17">
        <v>9.0</v>
      </c>
      <c r="E12" s="17">
        <v>9.0</v>
      </c>
      <c r="F12" s="8">
        <f t="shared" si="2"/>
        <v>1</v>
      </c>
      <c r="G12" s="18">
        <v>8.0</v>
      </c>
      <c r="H12" s="17">
        <v>1.0</v>
      </c>
      <c r="I12" s="15">
        <v>0.0</v>
      </c>
      <c r="J12" s="26">
        <v>0.11</v>
      </c>
      <c r="K12" s="17">
        <v>2.0</v>
      </c>
      <c r="L12" s="19">
        <v>0.29</v>
      </c>
      <c r="M12" s="17">
        <v>0.0</v>
      </c>
      <c r="N12" s="19">
        <v>0.0</v>
      </c>
      <c r="O12" s="17">
        <v>4.0</v>
      </c>
      <c r="P12" s="19">
        <v>0.44</v>
      </c>
      <c r="Q12" s="17">
        <v>7.0</v>
      </c>
      <c r="R12" s="19">
        <v>0.88</v>
      </c>
      <c r="S12" s="15">
        <v>6.0</v>
      </c>
      <c r="T12" s="20">
        <v>0.14</v>
      </c>
      <c r="U12" s="15">
        <v>21.0</v>
      </c>
      <c r="V12" s="17">
        <v>2.0</v>
      </c>
      <c r="W12" s="17">
        <v>0.0</v>
      </c>
      <c r="X12" s="19">
        <v>0.0</v>
      </c>
      <c r="Y12" s="5"/>
      <c r="Z12" s="2"/>
      <c r="AA12" s="2"/>
    </row>
    <row r="13">
      <c r="A13" s="23" t="s">
        <v>42</v>
      </c>
      <c r="B13" s="15" t="s">
        <v>43</v>
      </c>
      <c r="C13" s="27">
        <v>10.0</v>
      </c>
      <c r="D13" s="17">
        <v>10.0</v>
      </c>
      <c r="E13" s="17">
        <v>10.0</v>
      </c>
      <c r="F13" s="19">
        <v>1.0</v>
      </c>
      <c r="G13" s="18">
        <v>5.0</v>
      </c>
      <c r="H13" s="17">
        <v>5.0</v>
      </c>
      <c r="I13" s="15">
        <v>0.0</v>
      </c>
      <c r="J13" s="26">
        <v>0.5</v>
      </c>
      <c r="K13" s="17">
        <v>2.0</v>
      </c>
      <c r="L13" s="19">
        <f>K13/D13</f>
        <v>0.2</v>
      </c>
      <c r="M13" s="17">
        <v>2.0</v>
      </c>
      <c r="N13" s="19">
        <v>0.2</v>
      </c>
      <c r="O13" s="17">
        <v>1.0</v>
      </c>
      <c r="P13" s="19">
        <v>0.1</v>
      </c>
      <c r="Q13" s="17">
        <v>2.0</v>
      </c>
      <c r="R13" s="19">
        <v>0.2</v>
      </c>
      <c r="S13" s="15"/>
      <c r="T13" s="19"/>
      <c r="U13" s="15"/>
      <c r="V13" s="17"/>
      <c r="W13" s="17"/>
      <c r="X13" s="19"/>
      <c r="Y13" s="5"/>
      <c r="Z13" s="2"/>
      <c r="AA13" s="2"/>
    </row>
    <row r="14">
      <c r="A14" s="23" t="s">
        <v>42</v>
      </c>
      <c r="B14" s="15" t="s">
        <v>41</v>
      </c>
      <c r="C14" s="27">
        <v>7.0</v>
      </c>
      <c r="D14" s="17">
        <v>7.0</v>
      </c>
      <c r="E14" s="17">
        <v>7.0</v>
      </c>
      <c r="F14" s="19">
        <v>1.0</v>
      </c>
      <c r="G14" s="18">
        <v>4.0</v>
      </c>
      <c r="H14" s="17">
        <v>3.0</v>
      </c>
      <c r="I14" s="15">
        <v>0.0</v>
      </c>
      <c r="J14" s="26">
        <f>H14/C14</f>
        <v>0.4285714286</v>
      </c>
      <c r="K14" s="17">
        <v>2.0</v>
      </c>
      <c r="L14" s="19">
        <f t="shared" ref="L14:L15" si="12">K14/C14</f>
        <v>0.2857142857</v>
      </c>
      <c r="M14" s="17">
        <v>0.0</v>
      </c>
      <c r="N14" s="19">
        <v>0.0</v>
      </c>
      <c r="O14" s="17">
        <v>2.0</v>
      </c>
      <c r="P14" s="19">
        <f>O14/C14</f>
        <v>0.2857142857</v>
      </c>
      <c r="Q14" s="17">
        <v>7.0</v>
      </c>
      <c r="R14" s="19">
        <v>1.0</v>
      </c>
      <c r="S14" s="15">
        <v>0.0</v>
      </c>
      <c r="T14" s="20">
        <v>0.0</v>
      </c>
      <c r="U14" s="15">
        <v>9.0</v>
      </c>
      <c r="V14" s="17">
        <v>1.0</v>
      </c>
      <c r="W14" s="17">
        <v>0.0</v>
      </c>
      <c r="X14" s="19">
        <v>0.0</v>
      </c>
      <c r="Y14" s="5"/>
      <c r="Z14" s="2"/>
      <c r="AA14" s="2"/>
    </row>
    <row r="15">
      <c r="A15" s="28" t="s">
        <v>44</v>
      </c>
      <c r="B15" s="28" t="s">
        <v>45</v>
      </c>
      <c r="C15" s="29">
        <f t="shared" ref="C15:E15" si="10">SUM(C2:C14)</f>
        <v>865</v>
      </c>
      <c r="D15" s="29">
        <f t="shared" si="10"/>
        <v>774</v>
      </c>
      <c r="E15" s="29">
        <f t="shared" si="10"/>
        <v>531</v>
      </c>
      <c r="F15" s="30">
        <f>E15/C15</f>
        <v>0.6138728324</v>
      </c>
      <c r="G15" s="31">
        <f t="shared" ref="G15:I15" si="11">SUM(G2:G14)</f>
        <v>342</v>
      </c>
      <c r="H15" s="29">
        <f t="shared" si="11"/>
        <v>397</v>
      </c>
      <c r="I15" s="29">
        <f t="shared" si="11"/>
        <v>2</v>
      </c>
      <c r="J15" s="32">
        <f>H15/(G15+H15+I15)</f>
        <v>0.5357624831</v>
      </c>
      <c r="K15" s="29">
        <f>SUM(K2:K14)</f>
        <v>120</v>
      </c>
      <c r="L15" s="30">
        <f t="shared" si="12"/>
        <v>0.1387283237</v>
      </c>
      <c r="M15" s="29">
        <f>SUM(M2:M14)</f>
        <v>22</v>
      </c>
      <c r="N15" s="30">
        <f>M15/C15</f>
        <v>0.02543352601</v>
      </c>
      <c r="O15" s="33">
        <f>SUM(O2:O14)</f>
        <v>110</v>
      </c>
      <c r="P15" s="34">
        <f>O15/(C15-C3)</f>
        <v>0.2360515021</v>
      </c>
      <c r="Q15" s="35"/>
      <c r="R15" s="35"/>
      <c r="S15" s="35"/>
      <c r="T15" s="36"/>
      <c r="U15" s="35"/>
      <c r="V15" s="35"/>
      <c r="W15" s="35"/>
      <c r="X15" s="35"/>
      <c r="Y15" s="35"/>
      <c r="Z15" s="35"/>
      <c r="AA15" s="35"/>
      <c r="AB15" s="35"/>
    </row>
    <row r="16">
      <c r="B16" s="37" t="s">
        <v>46</v>
      </c>
      <c r="G16" s="38"/>
    </row>
    <row r="17" ht="15.0" customHeight="1">
      <c r="A17" s="39">
        <v>45047.0</v>
      </c>
      <c r="B17" s="40" t="s">
        <v>47</v>
      </c>
      <c r="C17" s="40">
        <v>205.0</v>
      </c>
      <c r="D17" s="40">
        <f t="shared" ref="D17:D26" si="13">G17+H17+I17</f>
        <v>205</v>
      </c>
      <c r="E17" s="40">
        <v>134.0</v>
      </c>
      <c r="F17" s="41">
        <f t="shared" ref="F17:F27" si="14">E17/C17</f>
        <v>0.6536585366</v>
      </c>
      <c r="G17" s="42">
        <v>128.0</v>
      </c>
      <c r="H17" s="40">
        <v>70.0</v>
      </c>
      <c r="I17" s="40">
        <v>7.0</v>
      </c>
      <c r="J17" s="41">
        <f t="shared" ref="J17:J27" si="15">H17/C17</f>
        <v>0.3414634146</v>
      </c>
      <c r="K17" s="40">
        <v>84.0</v>
      </c>
      <c r="L17" s="41">
        <f t="shared" ref="L17:L27" si="16">K17/C17</f>
        <v>0.4097560976</v>
      </c>
      <c r="M17" s="43">
        <v>15.0</v>
      </c>
      <c r="N17" s="41">
        <f t="shared" ref="N17:N27" si="17">M17/C17</f>
        <v>0.07317073171</v>
      </c>
      <c r="O17" s="40">
        <v>186.0</v>
      </c>
      <c r="P17" s="41">
        <f t="shared" ref="P17:P26" si="18">O17/C17</f>
        <v>0.9073170732</v>
      </c>
      <c r="Q17" s="44"/>
      <c r="R17" s="45"/>
      <c r="S17" s="40">
        <v>10.0</v>
      </c>
      <c r="T17" s="10">
        <f t="shared" ref="T17:T26" si="19">S17/C17</f>
        <v>0.0487804878</v>
      </c>
      <c r="U17" s="40">
        <v>4.0</v>
      </c>
      <c r="V17" s="43">
        <v>33.0</v>
      </c>
      <c r="W17" s="43">
        <v>113.0</v>
      </c>
      <c r="X17" s="41">
        <f t="shared" ref="X17:X26" si="20">W17/C17</f>
        <v>0.5512195122</v>
      </c>
      <c r="Y17" s="46">
        <v>90.0</v>
      </c>
      <c r="Z17" s="47"/>
      <c r="AA17" s="47"/>
    </row>
    <row r="18">
      <c r="A18" s="39">
        <v>45231.0</v>
      </c>
      <c r="B18" s="40" t="s">
        <v>48</v>
      </c>
      <c r="C18" s="40">
        <f t="shared" ref="C18:C20" si="21">COUNT(INDIRECT(B18&amp;"!A$2:A$1000"))</f>
        <v>234</v>
      </c>
      <c r="D18" s="40">
        <f t="shared" si="13"/>
        <v>234</v>
      </c>
      <c r="E18" s="40">
        <v>144.0</v>
      </c>
      <c r="F18" s="41">
        <f t="shared" si="14"/>
        <v>0.6153846154</v>
      </c>
      <c r="G18" s="42">
        <f t="shared" ref="G18:G26" si="22">COUNTIF(INDIRECT($B18&amp;"!B$2:B$1000"),"Male")</f>
        <v>145</v>
      </c>
      <c r="H18" s="40">
        <f t="shared" ref="H18:H26" si="23">COUNTIF(INDIRECT($B18&amp;"!B$2:B$1000"),"Female")</f>
        <v>89</v>
      </c>
      <c r="I18" s="40">
        <f t="shared" ref="I18:I26" si="24">COUNTIF(INDIRECT($B18&amp;"!B$2:B$1000"),"Diverse")</f>
        <v>0</v>
      </c>
      <c r="J18" s="41">
        <f t="shared" si="15"/>
        <v>0.3803418803</v>
      </c>
      <c r="K18" s="40">
        <f t="shared" ref="K18:K26" si="25">COUNTIF(INDIRECT($B18&amp;"!E$2:E$1000"),"Yes")</f>
        <v>171</v>
      </c>
      <c r="L18" s="41">
        <f t="shared" si="16"/>
        <v>0.7307692308</v>
      </c>
      <c r="M18" s="40">
        <f t="shared" ref="M18:M26" si="26">COUNTIF(INDIRECT($B18&amp;"!F$2:F$1000"),"Yes")</f>
        <v>67</v>
      </c>
      <c r="N18" s="41">
        <f t="shared" si="17"/>
        <v>0.2863247863</v>
      </c>
      <c r="O18" s="40">
        <f t="shared" ref="O18:O19" si="27">COUNTIF(INDIRECT($B18&amp;"!I$2:I$1000"),"Yes")</f>
        <v>3</v>
      </c>
      <c r="P18" s="41">
        <f t="shared" si="18"/>
        <v>0.01282051282</v>
      </c>
      <c r="Q18" s="40">
        <v>28.0</v>
      </c>
      <c r="R18" s="41">
        <f t="shared" ref="R18:R26" si="28">Q18/E18</f>
        <v>0.1944444444</v>
      </c>
      <c r="S18" s="40">
        <v>20.0</v>
      </c>
      <c r="T18" s="10">
        <f t="shared" si="19"/>
        <v>0.08547008547</v>
      </c>
      <c r="U18" s="40">
        <v>27.0</v>
      </c>
      <c r="V18" s="40">
        <v>46.0</v>
      </c>
      <c r="W18" s="40">
        <v>109.0</v>
      </c>
      <c r="X18" s="41">
        <f t="shared" si="20"/>
        <v>0.4658119658</v>
      </c>
      <c r="Y18" s="40"/>
      <c r="Z18" s="40"/>
      <c r="AA18" s="40"/>
    </row>
    <row r="19">
      <c r="A19" s="39">
        <v>45383.0</v>
      </c>
      <c r="B19" s="48" t="s">
        <v>49</v>
      </c>
      <c r="C19" s="40">
        <f t="shared" si="21"/>
        <v>66</v>
      </c>
      <c r="D19" s="40">
        <f t="shared" si="13"/>
        <v>66</v>
      </c>
      <c r="E19" s="43">
        <v>57.0</v>
      </c>
      <c r="F19" s="41">
        <f t="shared" si="14"/>
        <v>0.8636363636</v>
      </c>
      <c r="G19" s="42">
        <f t="shared" si="22"/>
        <v>37</v>
      </c>
      <c r="H19" s="40">
        <f t="shared" si="23"/>
        <v>27</v>
      </c>
      <c r="I19" s="40">
        <f t="shared" si="24"/>
        <v>2</v>
      </c>
      <c r="J19" s="41">
        <f t="shared" si="15"/>
        <v>0.4090909091</v>
      </c>
      <c r="K19" s="40">
        <f t="shared" si="25"/>
        <v>46</v>
      </c>
      <c r="L19" s="41">
        <f t="shared" si="16"/>
        <v>0.696969697</v>
      </c>
      <c r="M19" s="40">
        <f t="shared" si="26"/>
        <v>7</v>
      </c>
      <c r="N19" s="41">
        <f t="shared" si="17"/>
        <v>0.1060606061</v>
      </c>
      <c r="O19" s="40">
        <f t="shared" si="27"/>
        <v>16</v>
      </c>
      <c r="P19" s="41">
        <f t="shared" si="18"/>
        <v>0.2424242424</v>
      </c>
      <c r="Q19" s="40">
        <v>20.0</v>
      </c>
      <c r="R19" s="41">
        <f t="shared" si="28"/>
        <v>0.350877193</v>
      </c>
      <c r="S19" s="40">
        <v>3.0</v>
      </c>
      <c r="T19" s="10">
        <f t="shared" si="19"/>
        <v>0.04545454545</v>
      </c>
      <c r="U19" s="40">
        <v>15.0</v>
      </c>
      <c r="V19" s="40">
        <v>19.0</v>
      </c>
      <c r="W19" s="40">
        <v>31.0</v>
      </c>
      <c r="X19" s="41">
        <f t="shared" si="20"/>
        <v>0.4696969697</v>
      </c>
      <c r="Y19" s="40"/>
      <c r="Z19" s="40"/>
      <c r="AA19" s="40"/>
    </row>
    <row r="20" ht="15.0" customHeight="1">
      <c r="A20" s="49">
        <v>45754.0</v>
      </c>
      <c r="B20" s="48" t="s">
        <v>50</v>
      </c>
      <c r="C20" s="40">
        <f t="shared" si="21"/>
        <v>105</v>
      </c>
      <c r="D20" s="40">
        <f t="shared" si="13"/>
        <v>105</v>
      </c>
      <c r="E20" s="50">
        <v>79.0</v>
      </c>
      <c r="F20" s="41">
        <f t="shared" si="14"/>
        <v>0.7523809524</v>
      </c>
      <c r="G20" s="42">
        <f t="shared" si="22"/>
        <v>64</v>
      </c>
      <c r="H20" s="40">
        <f t="shared" si="23"/>
        <v>40</v>
      </c>
      <c r="I20" s="40">
        <f t="shared" si="24"/>
        <v>1</v>
      </c>
      <c r="J20" s="41">
        <f t="shared" si="15"/>
        <v>0.380952381</v>
      </c>
      <c r="K20" s="40">
        <f t="shared" si="25"/>
        <v>74</v>
      </c>
      <c r="L20" s="41">
        <f t="shared" si="16"/>
        <v>0.7047619048</v>
      </c>
      <c r="M20" s="40">
        <f t="shared" si="26"/>
        <v>14</v>
      </c>
      <c r="N20" s="41">
        <f t="shared" si="17"/>
        <v>0.1333333333</v>
      </c>
      <c r="O20" s="12"/>
      <c r="P20" s="13">
        <f t="shared" si="18"/>
        <v>0</v>
      </c>
      <c r="Q20" s="40">
        <v>6.0</v>
      </c>
      <c r="R20" s="41">
        <f t="shared" si="28"/>
        <v>0.07594936709</v>
      </c>
      <c r="S20" s="48">
        <v>21.0</v>
      </c>
      <c r="T20" s="10">
        <f t="shared" si="19"/>
        <v>0.2</v>
      </c>
      <c r="U20" s="48">
        <v>12.0</v>
      </c>
      <c r="V20" s="48">
        <v>28.0</v>
      </c>
      <c r="W20" s="48">
        <v>48.0</v>
      </c>
      <c r="X20" s="41">
        <f t="shared" si="20"/>
        <v>0.4571428571</v>
      </c>
      <c r="Y20" s="40"/>
      <c r="Z20" s="40"/>
      <c r="AA20" s="40"/>
    </row>
    <row r="21" ht="15.0" customHeight="1">
      <c r="A21" s="39">
        <v>45536.0</v>
      </c>
      <c r="B21" s="40" t="s">
        <v>51</v>
      </c>
      <c r="C21" s="40">
        <v>18.0</v>
      </c>
      <c r="D21" s="40">
        <f t="shared" si="13"/>
        <v>18</v>
      </c>
      <c r="E21" s="50">
        <v>18.0</v>
      </c>
      <c r="F21" s="41">
        <f t="shared" si="14"/>
        <v>1</v>
      </c>
      <c r="G21" s="42">
        <f t="shared" si="22"/>
        <v>13</v>
      </c>
      <c r="H21" s="40">
        <f t="shared" si="23"/>
        <v>5</v>
      </c>
      <c r="I21" s="40">
        <f t="shared" si="24"/>
        <v>0</v>
      </c>
      <c r="J21" s="41">
        <f t="shared" si="15"/>
        <v>0.2777777778</v>
      </c>
      <c r="K21" s="40">
        <f t="shared" si="25"/>
        <v>13</v>
      </c>
      <c r="L21" s="41">
        <f t="shared" si="16"/>
        <v>0.7222222222</v>
      </c>
      <c r="M21" s="40">
        <f t="shared" si="26"/>
        <v>1</v>
      </c>
      <c r="N21" s="41">
        <f t="shared" si="17"/>
        <v>0.05555555556</v>
      </c>
      <c r="O21" s="40">
        <f t="shared" ref="O21:O26" si="29">COUNTIF(INDIRECT($B21&amp;"!I$2:I$1000"),"Yes")</f>
        <v>2</v>
      </c>
      <c r="P21" s="41">
        <f t="shared" si="18"/>
        <v>0.1111111111</v>
      </c>
      <c r="Q21" s="40">
        <v>5.0</v>
      </c>
      <c r="R21" s="41">
        <f t="shared" si="28"/>
        <v>0.2777777778</v>
      </c>
      <c r="S21" s="40">
        <v>2.0</v>
      </c>
      <c r="T21" s="10">
        <f t="shared" si="19"/>
        <v>0.1111111111</v>
      </c>
      <c r="U21" s="40">
        <v>8.0</v>
      </c>
      <c r="V21" s="40">
        <v>11.0</v>
      </c>
      <c r="W21" s="40">
        <v>11.0</v>
      </c>
      <c r="X21" s="41">
        <f t="shared" si="20"/>
        <v>0.6111111111</v>
      </c>
      <c r="Y21" s="40"/>
      <c r="Z21" s="40" t="s">
        <v>52</v>
      </c>
      <c r="AA21" s="40"/>
    </row>
    <row r="22" ht="15.0" customHeight="1">
      <c r="A22" s="39">
        <v>45536.0</v>
      </c>
      <c r="B22" s="40" t="s">
        <v>53</v>
      </c>
      <c r="C22" s="40">
        <v>130.0</v>
      </c>
      <c r="D22" s="51">
        <f t="shared" si="13"/>
        <v>126</v>
      </c>
      <c r="E22" s="51">
        <v>126.0</v>
      </c>
      <c r="F22" s="41">
        <f t="shared" si="14"/>
        <v>0.9692307692</v>
      </c>
      <c r="G22" s="42">
        <f t="shared" si="22"/>
        <v>73</v>
      </c>
      <c r="H22" s="40">
        <f t="shared" si="23"/>
        <v>53</v>
      </c>
      <c r="I22" s="40">
        <f t="shared" si="24"/>
        <v>0</v>
      </c>
      <c r="J22" s="41">
        <f t="shared" si="15"/>
        <v>0.4076923077</v>
      </c>
      <c r="K22" s="40">
        <f t="shared" si="25"/>
        <v>61</v>
      </c>
      <c r="L22" s="41">
        <f t="shared" si="16"/>
        <v>0.4692307692</v>
      </c>
      <c r="M22" s="40">
        <f t="shared" si="26"/>
        <v>8</v>
      </c>
      <c r="N22" s="41">
        <f t="shared" si="17"/>
        <v>0.06153846154</v>
      </c>
      <c r="O22" s="40">
        <f t="shared" si="29"/>
        <v>23</v>
      </c>
      <c r="P22" s="41">
        <f t="shared" si="18"/>
        <v>0.1769230769</v>
      </c>
      <c r="Q22" s="40">
        <v>21.0</v>
      </c>
      <c r="R22" s="41">
        <f t="shared" si="28"/>
        <v>0.1666666667</v>
      </c>
      <c r="S22" s="40">
        <v>4.0</v>
      </c>
      <c r="T22" s="10">
        <f t="shared" si="19"/>
        <v>0.03076923077</v>
      </c>
      <c r="U22" s="40">
        <v>12.0</v>
      </c>
      <c r="V22" s="40">
        <v>26.0</v>
      </c>
      <c r="W22" s="40">
        <v>42.0</v>
      </c>
      <c r="X22" s="41">
        <f t="shared" si="20"/>
        <v>0.3230769231</v>
      </c>
      <c r="Y22" s="40"/>
      <c r="Z22" s="40" t="s">
        <v>52</v>
      </c>
      <c r="AA22" s="40"/>
    </row>
    <row r="23" ht="15.0" customHeight="1">
      <c r="A23" s="49">
        <v>45678.0</v>
      </c>
      <c r="B23" s="48" t="s">
        <v>54</v>
      </c>
      <c r="C23" s="40">
        <f t="array" ref="C23">COUNT(INDIRECT(B23&amp;"!A$2:A$1000"))</f>
        <v>149</v>
      </c>
      <c r="D23" s="51">
        <f t="shared" si="13"/>
        <v>148</v>
      </c>
      <c r="E23" s="51">
        <v>81.0</v>
      </c>
      <c r="F23" s="41">
        <f t="shared" si="14"/>
        <v>0.5436241611</v>
      </c>
      <c r="G23" s="42">
        <f t="shared" si="22"/>
        <v>101</v>
      </c>
      <c r="H23" s="40">
        <f t="shared" si="23"/>
        <v>44</v>
      </c>
      <c r="I23" s="40">
        <f t="shared" si="24"/>
        <v>3</v>
      </c>
      <c r="J23" s="41">
        <f t="shared" si="15"/>
        <v>0.2953020134</v>
      </c>
      <c r="K23" s="40">
        <f t="shared" si="25"/>
        <v>0</v>
      </c>
      <c r="L23" s="41">
        <f t="shared" si="16"/>
        <v>0</v>
      </c>
      <c r="M23" s="40">
        <f t="shared" si="26"/>
        <v>1</v>
      </c>
      <c r="N23" s="41">
        <f t="shared" si="17"/>
        <v>0.006711409396</v>
      </c>
      <c r="O23" s="52">
        <f t="shared" si="29"/>
        <v>14</v>
      </c>
      <c r="P23" s="53">
        <f t="shared" si="18"/>
        <v>0.09395973154</v>
      </c>
      <c r="Q23" s="54"/>
      <c r="R23" s="41">
        <f t="shared" si="28"/>
        <v>0</v>
      </c>
      <c r="S23" s="55"/>
      <c r="T23" s="10">
        <f t="shared" si="19"/>
        <v>0</v>
      </c>
      <c r="U23" s="55">
        <f>AVERAGE(U17:U22)</f>
        <v>13</v>
      </c>
      <c r="V23" s="55"/>
      <c r="W23" s="55"/>
      <c r="X23" s="56">
        <f t="shared" si="20"/>
        <v>0</v>
      </c>
      <c r="Y23" s="40"/>
      <c r="Z23" s="40"/>
      <c r="AA23" s="40"/>
    </row>
    <row r="24" ht="15.0" customHeight="1">
      <c r="A24" s="57">
        <v>45897.0</v>
      </c>
      <c r="B24" s="58" t="s">
        <v>55</v>
      </c>
      <c r="C24" s="48">
        <v>22.0</v>
      </c>
      <c r="D24" s="40">
        <f t="shared" si="13"/>
        <v>16</v>
      </c>
      <c r="E24" s="50">
        <v>16.0</v>
      </c>
      <c r="F24" s="41">
        <f t="shared" si="14"/>
        <v>0.7272727273</v>
      </c>
      <c r="G24" s="42">
        <f t="shared" si="22"/>
        <v>7</v>
      </c>
      <c r="H24" s="40">
        <f t="shared" si="23"/>
        <v>9</v>
      </c>
      <c r="I24" s="40">
        <f t="shared" si="24"/>
        <v>0</v>
      </c>
      <c r="J24" s="41">
        <f t="shared" si="15"/>
        <v>0.4090909091</v>
      </c>
      <c r="K24" s="40">
        <f t="shared" si="25"/>
        <v>14</v>
      </c>
      <c r="L24" s="41">
        <f t="shared" si="16"/>
        <v>0.6363636364</v>
      </c>
      <c r="M24" s="40">
        <f t="shared" si="26"/>
        <v>1</v>
      </c>
      <c r="N24" s="41">
        <f t="shared" si="17"/>
        <v>0.04545454545</v>
      </c>
      <c r="O24" s="52">
        <f t="shared" si="29"/>
        <v>4</v>
      </c>
      <c r="P24" s="53">
        <f t="shared" si="18"/>
        <v>0.1818181818</v>
      </c>
      <c r="Q24" s="48">
        <v>7.0</v>
      </c>
      <c r="R24" s="41">
        <f t="shared" si="28"/>
        <v>0.4375</v>
      </c>
      <c r="S24" s="48">
        <v>3.0</v>
      </c>
      <c r="T24" s="10">
        <f t="shared" si="19"/>
        <v>0.1363636364</v>
      </c>
      <c r="U24" s="48">
        <v>14.0</v>
      </c>
      <c r="V24" s="48">
        <v>3.0</v>
      </c>
      <c r="W24" s="48">
        <v>0.0</v>
      </c>
      <c r="X24" s="41">
        <f t="shared" si="20"/>
        <v>0</v>
      </c>
      <c r="Y24" s="40"/>
      <c r="Z24" s="40"/>
      <c r="AA24" s="40"/>
    </row>
    <row r="25" ht="15.0" customHeight="1">
      <c r="A25" s="57">
        <v>45909.0</v>
      </c>
      <c r="B25" s="48" t="s">
        <v>56</v>
      </c>
      <c r="C25" s="48">
        <v>39.0</v>
      </c>
      <c r="D25" s="40">
        <f t="shared" si="13"/>
        <v>39</v>
      </c>
      <c r="E25" s="50">
        <v>30.0</v>
      </c>
      <c r="F25" s="41">
        <f t="shared" si="14"/>
        <v>0.7692307692</v>
      </c>
      <c r="G25" s="42">
        <f t="shared" si="22"/>
        <v>21</v>
      </c>
      <c r="H25" s="40">
        <f t="shared" si="23"/>
        <v>16</v>
      </c>
      <c r="I25" s="40">
        <f t="shared" si="24"/>
        <v>2</v>
      </c>
      <c r="J25" s="41">
        <f t="shared" si="15"/>
        <v>0.4102564103</v>
      </c>
      <c r="K25" s="40">
        <f t="shared" si="25"/>
        <v>14</v>
      </c>
      <c r="L25" s="41">
        <f t="shared" si="16"/>
        <v>0.358974359</v>
      </c>
      <c r="M25" s="40">
        <f t="shared" si="26"/>
        <v>7</v>
      </c>
      <c r="N25" s="41">
        <f t="shared" si="17"/>
        <v>0.1794871795</v>
      </c>
      <c r="O25" s="12">
        <f t="shared" si="29"/>
        <v>0</v>
      </c>
      <c r="P25" s="13">
        <f t="shared" si="18"/>
        <v>0</v>
      </c>
      <c r="Q25" s="48">
        <v>6.0</v>
      </c>
      <c r="R25" s="41">
        <f t="shared" si="28"/>
        <v>0.2</v>
      </c>
      <c r="S25" s="48">
        <v>6.0</v>
      </c>
      <c r="T25" s="10">
        <f t="shared" si="19"/>
        <v>0.1538461538</v>
      </c>
      <c r="U25" s="48">
        <v>14.0</v>
      </c>
      <c r="V25" s="48">
        <v>11.0</v>
      </c>
      <c r="W25" s="48">
        <v>4.0</v>
      </c>
      <c r="X25" s="41">
        <f t="shared" si="20"/>
        <v>0.1025641026</v>
      </c>
      <c r="Y25" s="40"/>
      <c r="Z25" s="40"/>
      <c r="AA25" s="40"/>
    </row>
    <row r="26">
      <c r="A26" s="59" t="s">
        <v>57</v>
      </c>
      <c r="B26" s="48" t="s">
        <v>58</v>
      </c>
      <c r="C26" s="48">
        <v>59.0</v>
      </c>
      <c r="D26" s="40">
        <f t="shared" si="13"/>
        <v>59</v>
      </c>
      <c r="E26" s="50">
        <v>59.0</v>
      </c>
      <c r="F26" s="41">
        <f t="shared" si="14"/>
        <v>1</v>
      </c>
      <c r="G26" s="42">
        <f t="shared" si="22"/>
        <v>47</v>
      </c>
      <c r="H26" s="40">
        <f t="shared" si="23"/>
        <v>12</v>
      </c>
      <c r="I26" s="40">
        <f t="shared" si="24"/>
        <v>0</v>
      </c>
      <c r="J26" s="41">
        <f t="shared" si="15"/>
        <v>0.2033898305</v>
      </c>
      <c r="K26" s="40">
        <f t="shared" si="25"/>
        <v>34</v>
      </c>
      <c r="L26" s="41">
        <f t="shared" si="16"/>
        <v>0.5762711864</v>
      </c>
      <c r="M26" s="40">
        <f t="shared" si="26"/>
        <v>10</v>
      </c>
      <c r="N26" s="41">
        <f t="shared" si="17"/>
        <v>0.1694915254</v>
      </c>
      <c r="O26" s="12">
        <f t="shared" si="29"/>
        <v>0</v>
      </c>
      <c r="P26" s="13">
        <f t="shared" si="18"/>
        <v>0</v>
      </c>
      <c r="Q26" s="48">
        <v>32.0</v>
      </c>
      <c r="R26" s="41">
        <f t="shared" si="28"/>
        <v>0.5423728814</v>
      </c>
      <c r="S26" s="48">
        <v>4.0</v>
      </c>
      <c r="T26" s="41">
        <f t="shared" si="19"/>
        <v>0.06779661017</v>
      </c>
      <c r="U26" s="48">
        <v>14.0</v>
      </c>
      <c r="V26" s="48">
        <v>13.0</v>
      </c>
      <c r="W26" s="48">
        <v>11.0</v>
      </c>
      <c r="X26" s="41">
        <f t="shared" si="20"/>
        <v>0.186440678</v>
      </c>
      <c r="Y26" s="40"/>
      <c r="Z26" s="40"/>
    </row>
    <row r="27">
      <c r="A27" s="60" t="s">
        <v>44</v>
      </c>
      <c r="B27" s="60" t="s">
        <v>59</v>
      </c>
      <c r="C27" s="61">
        <f>SUM(C17:C26)</f>
        <v>1027</v>
      </c>
      <c r="D27" s="61">
        <f>SUM(D17:D23)</f>
        <v>902</v>
      </c>
      <c r="E27" s="61">
        <f>SUM(E17:E26)</f>
        <v>744</v>
      </c>
      <c r="F27" s="62">
        <f t="shared" si="14"/>
        <v>0.7244401168</v>
      </c>
      <c r="G27" s="63">
        <f t="shared" ref="G27:H27" si="30">SUM(G17:G26)</f>
        <v>636</v>
      </c>
      <c r="H27" s="61">
        <f t="shared" si="30"/>
        <v>365</v>
      </c>
      <c r="I27" s="61">
        <f>SUM(I17:I23)</f>
        <v>13</v>
      </c>
      <c r="J27" s="62">
        <f t="shared" si="15"/>
        <v>0.3554040896</v>
      </c>
      <c r="K27" s="61">
        <f>SUM(K17:K23)</f>
        <v>449</v>
      </c>
      <c r="L27" s="62">
        <f t="shared" si="16"/>
        <v>0.4371957157</v>
      </c>
      <c r="M27" s="61">
        <f>SUM(M17:M23)</f>
        <v>113</v>
      </c>
      <c r="N27" s="62">
        <f t="shared" si="17"/>
        <v>0.1100292113</v>
      </c>
      <c r="O27" s="64">
        <f>SUM(O17:O26)</f>
        <v>248</v>
      </c>
      <c r="P27" s="13">
        <f>O27/(C27-C20-C25-C26)</f>
        <v>0.3009708738</v>
      </c>
      <c r="Q27" s="35"/>
      <c r="R27" s="35"/>
      <c r="S27" s="35"/>
      <c r="T27" s="35"/>
      <c r="U27" s="35"/>
      <c r="V27" s="35"/>
      <c r="W27" s="35"/>
      <c r="X27" s="35"/>
      <c r="Y27" s="35"/>
      <c r="Z27" s="35"/>
      <c r="AA27" s="35"/>
      <c r="AB27" s="35"/>
    </row>
    <row r="28">
      <c r="A28" s="6"/>
      <c r="B28" s="37" t="s">
        <v>46</v>
      </c>
      <c r="C28" s="7"/>
      <c r="F28" s="8"/>
      <c r="G28" s="9"/>
      <c r="H28" s="7"/>
      <c r="I28" s="7"/>
      <c r="J28" s="8"/>
      <c r="L28" s="8"/>
      <c r="N28" s="8"/>
      <c r="P28" s="8"/>
      <c r="R28" s="8"/>
      <c r="S28" s="7"/>
      <c r="T28" s="8"/>
      <c r="X28" s="8"/>
      <c r="Y28" s="5"/>
      <c r="Z28" s="2"/>
      <c r="AA28" s="2"/>
    </row>
    <row r="29">
      <c r="A29" s="6">
        <v>45383.0</v>
      </c>
      <c r="B29" s="7" t="s">
        <v>60</v>
      </c>
      <c r="C29" s="7">
        <f t="array" ref="C29">COUNT(INDIRECT(B29&amp;"!A$2:A$1000"))</f>
        <v>86</v>
      </c>
      <c r="D29" s="7">
        <f t="shared" ref="D29:D35" si="31">G29+H29+I29</f>
        <v>86</v>
      </c>
      <c r="E29" s="7">
        <v>55.0</v>
      </c>
      <c r="F29" s="8">
        <f t="shared" ref="F29:F36" si="32">E29/C29</f>
        <v>0.6395348837</v>
      </c>
      <c r="G29" s="9">
        <f t="shared" ref="G29:G35" si="33">COUNTIF(INDIRECT($B29&amp;"!B$2:B$1000"),"Male")</f>
        <v>28</v>
      </c>
      <c r="H29" s="7">
        <f t="shared" ref="H29:H35" si="34">COUNTIF(INDIRECT($B29&amp;"!B$2:B$1000"),"Female")</f>
        <v>58</v>
      </c>
      <c r="I29" s="7">
        <f t="shared" ref="I29:I35" si="35">COUNTIF(INDIRECT($B29&amp;"!B$2:B$1000"),"Diverse")</f>
        <v>0</v>
      </c>
      <c r="J29" s="8">
        <f t="shared" ref="J29:J36" si="36">H29/C29</f>
        <v>0.6744186047</v>
      </c>
      <c r="K29" s="7">
        <f t="shared" ref="K29:K35" si="37">COUNTIF(INDIRECT($B29&amp;"!E$2:E$1000"),"Yes")</f>
        <v>40</v>
      </c>
      <c r="L29" s="8">
        <f t="shared" ref="L29:L36" si="38">K29/C29</f>
        <v>0.4651162791</v>
      </c>
      <c r="M29" s="7">
        <f t="shared" ref="M29:M35" si="39">COUNTIF(INDIRECT($B29&amp;"!F$2:F$1000"),"Yes")</f>
        <v>6</v>
      </c>
      <c r="N29" s="8">
        <f t="shared" ref="N29:N36" si="40">M29/C29</f>
        <v>0.06976744186</v>
      </c>
      <c r="O29" s="7">
        <f t="shared" ref="O29:O35" si="41">COUNTIF(INDIRECT($B29&amp;"!I$2:I$1000"),"Yes")</f>
        <v>60</v>
      </c>
      <c r="P29" s="8">
        <f t="shared" ref="P29:P36" si="42">O29/C29</f>
        <v>0.6976744186</v>
      </c>
      <c r="Q29" s="7">
        <v>9.0</v>
      </c>
      <c r="R29" s="8">
        <f>Q29/C29</f>
        <v>0.1046511628</v>
      </c>
      <c r="S29" s="7">
        <v>46.0</v>
      </c>
      <c r="T29" s="10">
        <f t="shared" ref="T29:T35" si="43">S29/C29</f>
        <v>0.5348837209</v>
      </c>
      <c r="U29" s="7">
        <v>21.0</v>
      </c>
      <c r="V29" s="7">
        <v>13.0</v>
      </c>
      <c r="W29" s="7">
        <v>3.0</v>
      </c>
      <c r="X29" s="8">
        <f t="shared" ref="X29:X35" si="44">W29/C29</f>
        <v>0.03488372093</v>
      </c>
    </row>
    <row r="30" ht="15.0" customHeight="1">
      <c r="A30" s="6">
        <v>45444.0</v>
      </c>
      <c r="B30" s="7" t="s">
        <v>61</v>
      </c>
      <c r="C30" s="7">
        <v>59.0</v>
      </c>
      <c r="D30" s="7">
        <f t="shared" si="31"/>
        <v>59</v>
      </c>
      <c r="E30" s="7">
        <v>49.0</v>
      </c>
      <c r="F30" s="8">
        <f t="shared" si="32"/>
        <v>0.8305084746</v>
      </c>
      <c r="G30" s="9">
        <f t="shared" si="33"/>
        <v>18</v>
      </c>
      <c r="H30" s="7">
        <f t="shared" si="34"/>
        <v>39</v>
      </c>
      <c r="I30" s="7">
        <f t="shared" si="35"/>
        <v>2</v>
      </c>
      <c r="J30" s="8">
        <f t="shared" si="36"/>
        <v>0.6610169492</v>
      </c>
      <c r="K30" s="7">
        <f t="shared" si="37"/>
        <v>25</v>
      </c>
      <c r="L30" s="8">
        <f t="shared" si="38"/>
        <v>0.4237288136</v>
      </c>
      <c r="M30" s="7">
        <f t="shared" si="39"/>
        <v>4</v>
      </c>
      <c r="N30" s="8">
        <f t="shared" si="40"/>
        <v>0.06779661017</v>
      </c>
      <c r="O30" s="7">
        <f t="shared" si="41"/>
        <v>46</v>
      </c>
      <c r="P30" s="8">
        <f t="shared" si="42"/>
        <v>0.7796610169</v>
      </c>
      <c r="Q30" s="7">
        <v>13.0</v>
      </c>
      <c r="R30" s="8">
        <f t="shared" ref="R30:R35" si="45">Q30/E30</f>
        <v>0.2653061224</v>
      </c>
      <c r="S30" s="7">
        <v>21.0</v>
      </c>
      <c r="T30" s="10">
        <f t="shared" si="43"/>
        <v>0.3559322034</v>
      </c>
      <c r="U30" s="7">
        <v>22.0</v>
      </c>
      <c r="V30" s="7">
        <v>14.0</v>
      </c>
      <c r="W30" s="7">
        <v>3.0</v>
      </c>
      <c r="X30" s="8">
        <f t="shared" si="44"/>
        <v>0.05084745763</v>
      </c>
    </row>
    <row r="31">
      <c r="A31" s="65">
        <v>45580.0</v>
      </c>
      <c r="B31" s="66" t="s">
        <v>62</v>
      </c>
      <c r="C31" s="7">
        <f t="shared" ref="C31:C35" si="46">COUNT(INDIRECT(B31&amp;"!A$2:A$1000"))</f>
        <v>54</v>
      </c>
      <c r="D31" s="7">
        <f t="shared" si="31"/>
        <v>54</v>
      </c>
      <c r="E31" s="15">
        <v>43.0</v>
      </c>
      <c r="F31" s="8">
        <f t="shared" si="32"/>
        <v>0.7962962963</v>
      </c>
      <c r="G31" s="9">
        <f t="shared" si="33"/>
        <v>28</v>
      </c>
      <c r="H31" s="7">
        <f t="shared" si="34"/>
        <v>26</v>
      </c>
      <c r="I31" s="7">
        <f t="shared" si="35"/>
        <v>0</v>
      </c>
      <c r="J31" s="8">
        <f t="shared" si="36"/>
        <v>0.4814814815</v>
      </c>
      <c r="K31" s="7">
        <f t="shared" si="37"/>
        <v>28</v>
      </c>
      <c r="L31" s="8">
        <f t="shared" si="38"/>
        <v>0.5185185185</v>
      </c>
      <c r="M31" s="7">
        <f t="shared" si="39"/>
        <v>5</v>
      </c>
      <c r="N31" s="8">
        <f t="shared" si="40"/>
        <v>0.09259259259</v>
      </c>
      <c r="O31" s="7">
        <f t="shared" si="41"/>
        <v>34</v>
      </c>
      <c r="P31" s="8">
        <f t="shared" si="42"/>
        <v>0.6296296296</v>
      </c>
      <c r="Q31" s="15">
        <v>13.0</v>
      </c>
      <c r="R31" s="8">
        <f t="shared" si="45"/>
        <v>0.3023255814</v>
      </c>
      <c r="S31" s="15">
        <v>12.0</v>
      </c>
      <c r="T31" s="10">
        <f t="shared" si="43"/>
        <v>0.2222222222</v>
      </c>
      <c r="U31" s="15">
        <v>11.0</v>
      </c>
      <c r="V31" s="15">
        <v>21.0</v>
      </c>
      <c r="W31" s="15">
        <v>9.0</v>
      </c>
      <c r="X31" s="8">
        <f t="shared" si="44"/>
        <v>0.1666666667</v>
      </c>
      <c r="Y31" s="40"/>
      <c r="Z31" s="41"/>
      <c r="AA31" s="67"/>
    </row>
    <row r="32">
      <c r="A32" s="65">
        <v>45622.0</v>
      </c>
      <c r="B32" s="66" t="s">
        <v>63</v>
      </c>
      <c r="C32" s="7">
        <f t="shared" si="46"/>
        <v>60</v>
      </c>
      <c r="D32" s="7">
        <f t="shared" si="31"/>
        <v>60</v>
      </c>
      <c r="E32" s="15">
        <v>29.0</v>
      </c>
      <c r="F32" s="8">
        <f t="shared" si="32"/>
        <v>0.4833333333</v>
      </c>
      <c r="G32" s="9">
        <f t="shared" si="33"/>
        <v>30</v>
      </c>
      <c r="H32" s="7">
        <f t="shared" si="34"/>
        <v>29</v>
      </c>
      <c r="I32" s="7">
        <f t="shared" si="35"/>
        <v>1</v>
      </c>
      <c r="J32" s="8">
        <f t="shared" si="36"/>
        <v>0.4833333333</v>
      </c>
      <c r="K32" s="7">
        <f t="shared" si="37"/>
        <v>13</v>
      </c>
      <c r="L32" s="8">
        <f t="shared" si="38"/>
        <v>0.2166666667</v>
      </c>
      <c r="M32" s="7">
        <f t="shared" si="39"/>
        <v>4</v>
      </c>
      <c r="N32" s="8">
        <f t="shared" si="40"/>
        <v>0.06666666667</v>
      </c>
      <c r="O32" s="7">
        <f t="shared" si="41"/>
        <v>42</v>
      </c>
      <c r="P32" s="8">
        <f t="shared" si="42"/>
        <v>0.7</v>
      </c>
      <c r="Q32" s="15">
        <v>14.0</v>
      </c>
      <c r="R32" s="8">
        <f t="shared" si="45"/>
        <v>0.4827586207</v>
      </c>
      <c r="S32" s="15">
        <v>17.0</v>
      </c>
      <c r="T32" s="10">
        <f t="shared" si="43"/>
        <v>0.2833333333</v>
      </c>
      <c r="U32" s="15">
        <v>11.0</v>
      </c>
      <c r="V32" s="15">
        <v>18.0</v>
      </c>
      <c r="W32" s="15">
        <v>5.0</v>
      </c>
      <c r="X32" s="8">
        <f t="shared" si="44"/>
        <v>0.08333333333</v>
      </c>
      <c r="Y32" s="67"/>
      <c r="Z32" s="67"/>
      <c r="AA32" s="67"/>
    </row>
    <row r="33">
      <c r="A33" s="65">
        <v>45713.0</v>
      </c>
      <c r="B33" s="66" t="s">
        <v>64</v>
      </c>
      <c r="C33" s="7">
        <f t="shared" si="46"/>
        <v>54</v>
      </c>
      <c r="D33" s="7">
        <f t="shared" si="31"/>
        <v>54</v>
      </c>
      <c r="E33" s="15">
        <v>33.0</v>
      </c>
      <c r="F33" s="8">
        <f t="shared" si="32"/>
        <v>0.6111111111</v>
      </c>
      <c r="G33" s="9">
        <f t="shared" si="33"/>
        <v>26</v>
      </c>
      <c r="H33" s="7">
        <f t="shared" si="34"/>
        <v>28</v>
      </c>
      <c r="I33" s="7">
        <f t="shared" si="35"/>
        <v>0</v>
      </c>
      <c r="J33" s="8">
        <f t="shared" si="36"/>
        <v>0.5185185185</v>
      </c>
      <c r="K33" s="7">
        <f t="shared" si="37"/>
        <v>18</v>
      </c>
      <c r="L33" s="8">
        <f t="shared" si="38"/>
        <v>0.3333333333</v>
      </c>
      <c r="M33" s="7">
        <f t="shared" si="39"/>
        <v>2</v>
      </c>
      <c r="N33" s="8">
        <f t="shared" si="40"/>
        <v>0.03703703704</v>
      </c>
      <c r="O33" s="7">
        <f t="shared" si="41"/>
        <v>40</v>
      </c>
      <c r="P33" s="8">
        <f t="shared" si="42"/>
        <v>0.7407407407</v>
      </c>
      <c r="Q33" s="15">
        <v>12.0</v>
      </c>
      <c r="R33" s="8">
        <f t="shared" si="45"/>
        <v>0.3636363636</v>
      </c>
      <c r="S33" s="15">
        <v>25.0</v>
      </c>
      <c r="T33" s="10">
        <f t="shared" si="43"/>
        <v>0.462962963</v>
      </c>
      <c r="U33" s="15">
        <v>16.0</v>
      </c>
      <c r="V33" s="15">
        <v>15.0</v>
      </c>
      <c r="W33" s="15">
        <v>1.0</v>
      </c>
      <c r="X33" s="8">
        <f t="shared" si="44"/>
        <v>0.01851851852</v>
      </c>
      <c r="Y33" s="67"/>
      <c r="Z33" s="67"/>
      <c r="AA33" s="67"/>
    </row>
    <row r="34">
      <c r="A34" s="65">
        <v>45755.0</v>
      </c>
      <c r="B34" s="66" t="s">
        <v>65</v>
      </c>
      <c r="C34" s="7">
        <f t="shared" si="46"/>
        <v>33</v>
      </c>
      <c r="D34" s="7">
        <f t="shared" si="31"/>
        <v>33</v>
      </c>
      <c r="E34" s="15">
        <v>31.0</v>
      </c>
      <c r="F34" s="8">
        <f t="shared" si="32"/>
        <v>0.9393939394</v>
      </c>
      <c r="G34" s="9">
        <f t="shared" si="33"/>
        <v>16</v>
      </c>
      <c r="H34" s="7">
        <f t="shared" si="34"/>
        <v>17</v>
      </c>
      <c r="I34" s="7">
        <f t="shared" si="35"/>
        <v>0</v>
      </c>
      <c r="J34" s="8">
        <f t="shared" si="36"/>
        <v>0.5151515152</v>
      </c>
      <c r="K34" s="7">
        <f t="shared" si="37"/>
        <v>9</v>
      </c>
      <c r="L34" s="8">
        <f t="shared" si="38"/>
        <v>0.2727272727</v>
      </c>
      <c r="M34" s="7">
        <f t="shared" si="39"/>
        <v>3</v>
      </c>
      <c r="N34" s="8">
        <f t="shared" si="40"/>
        <v>0.09090909091</v>
      </c>
      <c r="O34" s="7">
        <f t="shared" si="41"/>
        <v>26</v>
      </c>
      <c r="P34" s="8">
        <f t="shared" si="42"/>
        <v>0.7878787879</v>
      </c>
      <c r="Q34" s="15">
        <v>4.0</v>
      </c>
      <c r="R34" s="8">
        <f t="shared" si="45"/>
        <v>0.1290322581</v>
      </c>
      <c r="S34" s="15">
        <v>8.0</v>
      </c>
      <c r="T34" s="10">
        <f t="shared" si="43"/>
        <v>0.2424242424</v>
      </c>
      <c r="U34" s="15">
        <v>10.0</v>
      </c>
      <c r="V34" s="15">
        <v>10.0</v>
      </c>
      <c r="W34" s="15">
        <v>2.0</v>
      </c>
      <c r="X34" s="8">
        <f t="shared" si="44"/>
        <v>0.06060606061</v>
      </c>
      <c r="Y34" s="67"/>
      <c r="Z34" s="67"/>
      <c r="AA34" s="67"/>
    </row>
    <row r="35">
      <c r="A35" s="65">
        <v>45797.0</v>
      </c>
      <c r="B35" s="66" t="s">
        <v>66</v>
      </c>
      <c r="C35" s="7">
        <f t="shared" si="46"/>
        <v>20</v>
      </c>
      <c r="D35" s="7">
        <f t="shared" si="31"/>
        <v>20</v>
      </c>
      <c r="E35" s="15">
        <v>18.0</v>
      </c>
      <c r="F35" s="8">
        <f t="shared" si="32"/>
        <v>0.9</v>
      </c>
      <c r="G35" s="9">
        <f t="shared" si="33"/>
        <v>9</v>
      </c>
      <c r="H35" s="7">
        <f t="shared" si="34"/>
        <v>10</v>
      </c>
      <c r="I35" s="7">
        <f t="shared" si="35"/>
        <v>1</v>
      </c>
      <c r="J35" s="8">
        <f t="shared" si="36"/>
        <v>0.5</v>
      </c>
      <c r="K35" s="7">
        <f t="shared" si="37"/>
        <v>7</v>
      </c>
      <c r="L35" s="8">
        <f t="shared" si="38"/>
        <v>0.35</v>
      </c>
      <c r="M35" s="7">
        <f t="shared" si="39"/>
        <v>1</v>
      </c>
      <c r="N35" s="8">
        <f t="shared" si="40"/>
        <v>0.05</v>
      </c>
      <c r="O35" s="7">
        <f t="shared" si="41"/>
        <v>15</v>
      </c>
      <c r="P35" s="8">
        <f t="shared" si="42"/>
        <v>0.75</v>
      </c>
      <c r="Q35" s="48">
        <v>3.0</v>
      </c>
      <c r="R35" s="8">
        <f t="shared" si="45"/>
        <v>0.1666666667</v>
      </c>
      <c r="S35" s="15">
        <v>4.0</v>
      </c>
      <c r="T35" s="10">
        <f t="shared" si="43"/>
        <v>0.2</v>
      </c>
      <c r="U35" s="15">
        <v>13.0</v>
      </c>
      <c r="V35" s="15">
        <v>9.0</v>
      </c>
      <c r="W35" s="15">
        <v>1.0</v>
      </c>
      <c r="X35" s="8">
        <f t="shared" si="44"/>
        <v>0.05</v>
      </c>
      <c r="Y35" s="67"/>
      <c r="Z35" s="67"/>
      <c r="AA35" s="67"/>
    </row>
    <row r="36">
      <c r="A36" s="68" t="s">
        <v>67</v>
      </c>
      <c r="B36" s="69" t="s">
        <v>68</v>
      </c>
      <c r="C36" s="70">
        <f t="shared" ref="C36:E36" si="47">SUM(C29:C35)</f>
        <v>366</v>
      </c>
      <c r="D36" s="70">
        <f t="shared" si="47"/>
        <v>366</v>
      </c>
      <c r="E36" s="70">
        <f t="shared" si="47"/>
        <v>258</v>
      </c>
      <c r="F36" s="62">
        <f t="shared" si="32"/>
        <v>0.7049180328</v>
      </c>
      <c r="G36" s="70">
        <f t="shared" ref="G36:I36" si="48">SUM(G29:G35)</f>
        <v>155</v>
      </c>
      <c r="H36" s="70">
        <f t="shared" si="48"/>
        <v>207</v>
      </c>
      <c r="I36" s="70">
        <f t="shared" si="48"/>
        <v>4</v>
      </c>
      <c r="J36" s="62">
        <f t="shared" si="36"/>
        <v>0.5655737705</v>
      </c>
      <c r="K36" s="70">
        <f>SUM(K29:K35)</f>
        <v>140</v>
      </c>
      <c r="L36" s="62">
        <f t="shared" si="38"/>
        <v>0.3825136612</v>
      </c>
      <c r="M36" s="70">
        <f>SUM(M29:M35)</f>
        <v>25</v>
      </c>
      <c r="N36" s="62">
        <f t="shared" si="40"/>
        <v>0.06830601093</v>
      </c>
      <c r="O36" s="70">
        <f>SUM(O29:O35)</f>
        <v>263</v>
      </c>
      <c r="P36" s="62">
        <f t="shared" si="42"/>
        <v>0.718579235</v>
      </c>
      <c r="Q36" s="71"/>
      <c r="R36" s="3"/>
      <c r="S36" s="35"/>
      <c r="T36" s="3"/>
      <c r="U36" s="72"/>
      <c r="V36" s="35"/>
      <c r="W36" s="71"/>
      <c r="X36" s="3"/>
      <c r="Y36" s="71"/>
      <c r="Z36" s="71"/>
      <c r="AA36" s="71"/>
      <c r="AB36" s="35"/>
    </row>
    <row r="37">
      <c r="A37" s="6"/>
      <c r="B37" s="66" t="s">
        <v>46</v>
      </c>
      <c r="C37" s="67"/>
      <c r="E37" s="67"/>
      <c r="F37" s="8"/>
      <c r="G37" s="38"/>
      <c r="J37" s="8"/>
      <c r="L37" s="8"/>
      <c r="N37" s="8"/>
      <c r="O37" s="7"/>
      <c r="P37" s="8"/>
      <c r="Q37" s="67"/>
      <c r="R37" s="8"/>
      <c r="T37" s="8"/>
      <c r="U37" s="7"/>
      <c r="W37" s="67"/>
      <c r="X37" s="8"/>
      <c r="Y37" s="67"/>
      <c r="Z37" s="67"/>
      <c r="AA37" s="67"/>
    </row>
    <row r="38">
      <c r="A38" s="39">
        <v>45383.0</v>
      </c>
      <c r="B38" s="50" t="s">
        <v>69</v>
      </c>
      <c r="C38" s="73">
        <v>14.0</v>
      </c>
      <c r="D38" s="40">
        <f t="shared" ref="D38:D42" si="49">G38+H38+I38</f>
        <v>14</v>
      </c>
      <c r="E38" s="73">
        <v>14.0</v>
      </c>
      <c r="F38" s="41">
        <f t="shared" ref="F38:F42" si="50">E38/C38</f>
        <v>1</v>
      </c>
      <c r="G38" s="42">
        <f t="shared" ref="G38:G42" si="51">COUNTIF(INDIRECT($B38&amp;"!B$2:B$1000"),"Male")</f>
        <v>9</v>
      </c>
      <c r="H38" s="40">
        <f t="shared" ref="H38:H42" si="52">COUNTIF(INDIRECT($B38&amp;"!B$2:B$1000"),"Female")</f>
        <v>5</v>
      </c>
      <c r="I38" s="40">
        <f t="shared" ref="I38:I42" si="53">COUNTIF(INDIRECT($B38&amp;"!B$2:B$1000"),"Diverse")</f>
        <v>0</v>
      </c>
      <c r="J38" s="41">
        <f t="shared" ref="J38:J42" si="54">H38/C38</f>
        <v>0.3571428571</v>
      </c>
      <c r="K38" s="40">
        <f t="shared" ref="K38:K42" si="55">COUNTIF(INDIRECT($B38&amp;"!E$2:E$1000"),"Yes")</f>
        <v>10</v>
      </c>
      <c r="L38" s="41">
        <f t="shared" ref="L38:L42" si="56">K38/C38</f>
        <v>0.7142857143</v>
      </c>
      <c r="M38" s="40">
        <f t="shared" ref="M38:M42" si="57">COUNTIF(INDIRECT($B38&amp;"!F$2:F$1000"),"Yes")</f>
        <v>6</v>
      </c>
      <c r="N38" s="41">
        <f t="shared" ref="N38:N42" si="58">M38/C38</f>
        <v>0.4285714286</v>
      </c>
      <c r="O38" s="40">
        <v>8.0</v>
      </c>
      <c r="P38" s="41">
        <f t="shared" ref="P38:P42" si="59">O38/C38</f>
        <v>0.5714285714</v>
      </c>
      <c r="Q38" s="73">
        <v>7.0</v>
      </c>
      <c r="R38" s="41">
        <f t="shared" ref="R38:R39" si="60">Q38/C38</f>
        <v>0.5</v>
      </c>
      <c r="S38" s="40">
        <v>13.0</v>
      </c>
      <c r="T38" s="10">
        <f t="shared" ref="T38:T42" si="61">S38/C38</f>
        <v>0.9285714286</v>
      </c>
      <c r="U38" s="40">
        <v>13.0</v>
      </c>
      <c r="V38" s="40">
        <v>2.0</v>
      </c>
      <c r="W38" s="73">
        <v>0.0</v>
      </c>
      <c r="X38" s="41">
        <f t="shared" ref="X38:X42" si="62">W38/C38</f>
        <v>0</v>
      </c>
      <c r="Y38" s="73"/>
      <c r="Z38" s="73"/>
      <c r="AA38" s="73"/>
    </row>
    <row r="39" ht="15.0" customHeight="1">
      <c r="A39" s="49">
        <v>45599.0</v>
      </c>
      <c r="B39" s="48" t="s">
        <v>70</v>
      </c>
      <c r="C39" s="40">
        <f t="shared" ref="C39:C42" si="63">COUNT(INDIRECT(B39&amp;"!A$2:A$1000"))</f>
        <v>50</v>
      </c>
      <c r="D39" s="40">
        <f t="shared" si="49"/>
        <v>50</v>
      </c>
      <c r="E39" s="48">
        <v>29.0</v>
      </c>
      <c r="F39" s="41">
        <f t="shared" si="50"/>
        <v>0.58</v>
      </c>
      <c r="G39" s="42">
        <f t="shared" si="51"/>
        <v>29</v>
      </c>
      <c r="H39" s="40">
        <f t="shared" si="52"/>
        <v>19</v>
      </c>
      <c r="I39" s="40">
        <f t="shared" si="53"/>
        <v>2</v>
      </c>
      <c r="J39" s="41">
        <f t="shared" si="54"/>
        <v>0.38</v>
      </c>
      <c r="K39" s="40">
        <f t="shared" si="55"/>
        <v>33</v>
      </c>
      <c r="L39" s="41">
        <f t="shared" si="56"/>
        <v>0.66</v>
      </c>
      <c r="M39" s="40">
        <f t="shared" si="57"/>
        <v>10</v>
      </c>
      <c r="N39" s="41">
        <f t="shared" si="58"/>
        <v>0.2</v>
      </c>
      <c r="O39" s="40">
        <f t="shared" ref="O39:O42" si="64">COUNTIF(INDIRECT($B39&amp;"!I$2:I$1000"),"Yes")</f>
        <v>37</v>
      </c>
      <c r="P39" s="41">
        <f t="shared" si="59"/>
        <v>0.74</v>
      </c>
      <c r="Q39" s="48">
        <v>8.0</v>
      </c>
      <c r="R39" s="41">
        <f t="shared" si="60"/>
        <v>0.16</v>
      </c>
      <c r="S39" s="48">
        <v>8.0</v>
      </c>
      <c r="T39" s="10">
        <f t="shared" si="61"/>
        <v>0.16</v>
      </c>
      <c r="U39" s="48">
        <v>12.0</v>
      </c>
      <c r="V39" s="48">
        <v>22.0</v>
      </c>
      <c r="W39" s="48">
        <v>21.0</v>
      </c>
      <c r="X39" s="41">
        <f t="shared" si="62"/>
        <v>0.42</v>
      </c>
      <c r="Y39" s="40"/>
      <c r="Z39" s="40"/>
      <c r="AA39" s="40"/>
      <c r="AB39" s="74"/>
    </row>
    <row r="40" ht="15.0" customHeight="1">
      <c r="A40" s="49">
        <v>45600.0</v>
      </c>
      <c r="B40" s="48" t="s">
        <v>71</v>
      </c>
      <c r="C40" s="40">
        <f t="shared" si="63"/>
        <v>89</v>
      </c>
      <c r="D40" s="40">
        <f t="shared" si="49"/>
        <v>89</v>
      </c>
      <c r="E40" s="48">
        <v>60.0</v>
      </c>
      <c r="F40" s="41">
        <f t="shared" si="50"/>
        <v>0.6741573034</v>
      </c>
      <c r="G40" s="42">
        <f t="shared" si="51"/>
        <v>59</v>
      </c>
      <c r="H40" s="40">
        <f t="shared" si="52"/>
        <v>30</v>
      </c>
      <c r="I40" s="40">
        <f t="shared" si="53"/>
        <v>0</v>
      </c>
      <c r="J40" s="41">
        <f t="shared" si="54"/>
        <v>0.3370786517</v>
      </c>
      <c r="K40" s="40">
        <f t="shared" si="55"/>
        <v>57</v>
      </c>
      <c r="L40" s="41">
        <f t="shared" si="56"/>
        <v>0.6404494382</v>
      </c>
      <c r="M40" s="40">
        <f t="shared" si="57"/>
        <v>18</v>
      </c>
      <c r="N40" s="41">
        <f t="shared" si="58"/>
        <v>0.202247191</v>
      </c>
      <c r="O40" s="40">
        <f t="shared" si="64"/>
        <v>45</v>
      </c>
      <c r="P40" s="41">
        <f t="shared" si="59"/>
        <v>0.5056179775</v>
      </c>
      <c r="Q40" s="48">
        <v>17.0</v>
      </c>
      <c r="R40" s="41">
        <f t="shared" ref="R40:R41" si="65">Q40/E40</f>
        <v>0.2833333333</v>
      </c>
      <c r="S40" s="48">
        <v>17.0</v>
      </c>
      <c r="T40" s="10">
        <f t="shared" si="61"/>
        <v>0.191011236</v>
      </c>
      <c r="U40" s="48">
        <v>11.0</v>
      </c>
      <c r="V40" s="48">
        <v>22.0</v>
      </c>
      <c r="W40" s="48">
        <v>19.0</v>
      </c>
      <c r="X40" s="41">
        <f t="shared" si="62"/>
        <v>0.2134831461</v>
      </c>
      <c r="Y40" s="40"/>
      <c r="Z40" s="40"/>
      <c r="AA40" s="40"/>
      <c r="AB40" s="74"/>
    </row>
    <row r="41" ht="15.0" customHeight="1">
      <c r="A41" s="49">
        <v>45742.0</v>
      </c>
      <c r="B41" s="48" t="s">
        <v>72</v>
      </c>
      <c r="C41" s="40">
        <f t="shared" si="63"/>
        <v>95</v>
      </c>
      <c r="D41" s="40">
        <f t="shared" si="49"/>
        <v>95</v>
      </c>
      <c r="E41" s="48">
        <v>67.0</v>
      </c>
      <c r="F41" s="41">
        <f t="shared" si="50"/>
        <v>0.7052631579</v>
      </c>
      <c r="G41" s="42">
        <f t="shared" si="51"/>
        <v>58</v>
      </c>
      <c r="H41" s="40">
        <f t="shared" si="52"/>
        <v>37</v>
      </c>
      <c r="I41" s="40">
        <f t="shared" si="53"/>
        <v>0</v>
      </c>
      <c r="J41" s="41">
        <f t="shared" si="54"/>
        <v>0.3894736842</v>
      </c>
      <c r="K41" s="40">
        <f t="shared" si="55"/>
        <v>33</v>
      </c>
      <c r="L41" s="41">
        <f t="shared" si="56"/>
        <v>0.3473684211</v>
      </c>
      <c r="M41" s="40">
        <f t="shared" si="57"/>
        <v>15</v>
      </c>
      <c r="N41" s="41">
        <f t="shared" si="58"/>
        <v>0.1578947368</v>
      </c>
      <c r="O41" s="40">
        <f t="shared" si="64"/>
        <v>39</v>
      </c>
      <c r="P41" s="41">
        <f t="shared" si="59"/>
        <v>0.4105263158</v>
      </c>
      <c r="Q41" s="48">
        <v>8.0</v>
      </c>
      <c r="R41" s="41">
        <f t="shared" si="65"/>
        <v>0.1194029851</v>
      </c>
      <c r="S41" s="48">
        <v>29.0</v>
      </c>
      <c r="T41" s="10">
        <f t="shared" si="61"/>
        <v>0.3052631579</v>
      </c>
      <c r="U41" s="48">
        <v>15.0</v>
      </c>
      <c r="V41" s="48">
        <v>29.0</v>
      </c>
      <c r="W41" s="48">
        <v>28.0</v>
      </c>
      <c r="X41" s="41">
        <f t="shared" si="62"/>
        <v>0.2947368421</v>
      </c>
      <c r="Y41" s="40"/>
      <c r="Z41" s="40"/>
      <c r="AA41" s="40"/>
      <c r="AB41" s="74"/>
    </row>
    <row r="42" ht="15.0" customHeight="1">
      <c r="A42" s="23" t="s">
        <v>73</v>
      </c>
      <c r="B42" s="48" t="s">
        <v>74</v>
      </c>
      <c r="C42" s="40">
        <f t="shared" si="63"/>
        <v>26</v>
      </c>
      <c r="D42" s="40">
        <f t="shared" si="49"/>
        <v>26</v>
      </c>
      <c r="E42" s="48">
        <v>17.0</v>
      </c>
      <c r="F42" s="41">
        <f t="shared" si="50"/>
        <v>0.6538461538</v>
      </c>
      <c r="G42" s="42">
        <f t="shared" si="51"/>
        <v>19</v>
      </c>
      <c r="H42" s="40">
        <f t="shared" si="52"/>
        <v>7</v>
      </c>
      <c r="I42" s="40">
        <f t="shared" si="53"/>
        <v>0</v>
      </c>
      <c r="J42" s="41">
        <f t="shared" si="54"/>
        <v>0.2692307692</v>
      </c>
      <c r="K42" s="40">
        <f t="shared" si="55"/>
        <v>19</v>
      </c>
      <c r="L42" s="41">
        <f t="shared" si="56"/>
        <v>0.7307692308</v>
      </c>
      <c r="M42" s="40">
        <f t="shared" si="57"/>
        <v>4</v>
      </c>
      <c r="N42" s="41">
        <f t="shared" si="58"/>
        <v>0.1538461538</v>
      </c>
      <c r="O42" s="40">
        <f t="shared" si="64"/>
        <v>6</v>
      </c>
      <c r="P42" s="41">
        <f t="shared" si="59"/>
        <v>0.2307692308</v>
      </c>
      <c r="Q42" s="48">
        <v>6.0</v>
      </c>
      <c r="R42" s="41">
        <f>Q42/C42</f>
        <v>0.2307692308</v>
      </c>
      <c r="S42" s="48">
        <v>9.0</v>
      </c>
      <c r="T42" s="10">
        <f t="shared" si="61"/>
        <v>0.3461538462</v>
      </c>
      <c r="U42" s="48">
        <v>11.0</v>
      </c>
      <c r="V42" s="48">
        <v>12.0</v>
      </c>
      <c r="W42" s="48">
        <v>11.0</v>
      </c>
      <c r="X42" s="41">
        <f t="shared" si="62"/>
        <v>0.4230769231</v>
      </c>
      <c r="Y42" s="40"/>
      <c r="Z42" s="40"/>
      <c r="AA42" s="40"/>
      <c r="AB42" s="74"/>
    </row>
    <row r="43" ht="15.0" customHeight="1">
      <c r="A43" s="75">
        <v>46162.0</v>
      </c>
      <c r="B43" s="76" t="s">
        <v>75</v>
      </c>
      <c r="C43" s="48">
        <v>68.0</v>
      </c>
      <c r="D43" s="40"/>
      <c r="E43" s="15">
        <v>41.0</v>
      </c>
      <c r="F43" s="41"/>
      <c r="G43" s="42"/>
      <c r="H43" s="40"/>
      <c r="I43" s="40"/>
      <c r="J43" s="41"/>
      <c r="K43" s="40"/>
      <c r="L43" s="41"/>
      <c r="M43" s="40"/>
      <c r="N43" s="41"/>
      <c r="O43" s="40"/>
      <c r="P43" s="41"/>
      <c r="Q43" s="48"/>
      <c r="R43" s="41"/>
      <c r="S43" s="48"/>
      <c r="T43" s="10"/>
      <c r="U43" s="48"/>
      <c r="V43" s="48"/>
      <c r="W43" s="48"/>
      <c r="X43" s="41"/>
      <c r="Y43" s="40"/>
      <c r="Z43" s="40"/>
      <c r="AA43" s="40"/>
      <c r="AB43" s="74"/>
    </row>
    <row r="44">
      <c r="A44" s="68" t="s">
        <v>67</v>
      </c>
      <c r="B44" s="69" t="s">
        <v>76</v>
      </c>
      <c r="C44" s="61">
        <f>SUM(C38:C43)</f>
        <v>342</v>
      </c>
      <c r="D44" s="61">
        <f>SUM(D38:D42)</f>
        <v>274</v>
      </c>
      <c r="E44" s="61">
        <f>SUM(E38:E43)</f>
        <v>228</v>
      </c>
      <c r="F44" s="62">
        <f>E44/C44</f>
        <v>0.6666666667</v>
      </c>
      <c r="G44" s="63">
        <f t="shared" ref="G44:I44" si="66">SUM(G38:G42)</f>
        <v>174</v>
      </c>
      <c r="H44" s="61">
        <f t="shared" si="66"/>
        <v>98</v>
      </c>
      <c r="I44" s="61">
        <f t="shared" si="66"/>
        <v>2</v>
      </c>
      <c r="J44" s="62">
        <f>H44/C44</f>
        <v>0.2865497076</v>
      </c>
      <c r="K44" s="61">
        <f>SUM(K38:K42)</f>
        <v>152</v>
      </c>
      <c r="L44" s="62">
        <f>K44/C44</f>
        <v>0.4444444444</v>
      </c>
      <c r="M44" s="61">
        <f>SUM(M38:M42)</f>
        <v>53</v>
      </c>
      <c r="N44" s="62">
        <f>M44/C44</f>
        <v>0.1549707602</v>
      </c>
      <c r="O44" s="61">
        <f>SUM(O38:O42)</f>
        <v>135</v>
      </c>
      <c r="P44" s="62">
        <f>O44/C44</f>
        <v>0.3947368421</v>
      </c>
      <c r="Q44" s="35"/>
      <c r="R44" s="35"/>
      <c r="S44" s="35"/>
      <c r="T44" s="35"/>
      <c r="U44" s="77"/>
      <c r="V44" s="35"/>
      <c r="W44" s="35"/>
      <c r="X44" s="35"/>
      <c r="Y44" s="35"/>
      <c r="Z44" s="35"/>
      <c r="AA44" s="35"/>
      <c r="AB44" s="35"/>
    </row>
    <row r="45">
      <c r="B45" s="15" t="s">
        <v>46</v>
      </c>
      <c r="G45" s="38"/>
    </row>
    <row r="46">
      <c r="A46" s="6">
        <v>45047.0</v>
      </c>
      <c r="B46" s="7" t="s">
        <v>77</v>
      </c>
      <c r="C46" s="7">
        <v>40.0</v>
      </c>
      <c r="D46" s="7">
        <f t="shared" ref="D46:D48" si="67">G46+H46+I46</f>
        <v>38</v>
      </c>
      <c r="E46" s="7">
        <f>22+16</f>
        <v>38</v>
      </c>
      <c r="F46" s="8">
        <f t="shared" ref="F46:F49" si="68">E46/C46</f>
        <v>0.95</v>
      </c>
      <c r="G46" s="9">
        <v>25.0</v>
      </c>
      <c r="H46" s="7">
        <v>13.0</v>
      </c>
      <c r="I46" s="7">
        <v>0.0</v>
      </c>
      <c r="J46" s="8">
        <f t="shared" ref="J46:J49" si="69">H46/C46</f>
        <v>0.325</v>
      </c>
      <c r="K46" s="12"/>
      <c r="L46" s="13"/>
      <c r="M46" s="12"/>
      <c r="N46" s="13"/>
      <c r="O46" s="12"/>
      <c r="P46" s="13"/>
      <c r="Q46" s="12"/>
      <c r="R46" s="13"/>
      <c r="S46" s="7">
        <v>12.0</v>
      </c>
      <c r="T46" s="10">
        <f t="shared" ref="T46:T47" si="70">S46/C46</f>
        <v>0.3</v>
      </c>
      <c r="U46" s="12"/>
      <c r="V46" s="12"/>
      <c r="W46" s="12"/>
      <c r="X46" s="13"/>
      <c r="Y46" s="5"/>
      <c r="Z46" s="2"/>
      <c r="AA46" s="2"/>
    </row>
    <row r="47">
      <c r="A47" s="6">
        <v>45444.0</v>
      </c>
      <c r="B47" s="7" t="s">
        <v>78</v>
      </c>
      <c r="C47" s="7">
        <f t="array" ref="C47">COUNT(INDIRECT(B47&amp;"!A$2:A$1000"))</f>
        <v>74</v>
      </c>
      <c r="D47" s="7">
        <f t="shared" si="67"/>
        <v>74</v>
      </c>
      <c r="E47" s="7">
        <v>70.0</v>
      </c>
      <c r="F47" s="8">
        <f t="shared" si="68"/>
        <v>0.9459459459</v>
      </c>
      <c r="G47" s="9">
        <f t="array" ref="G47">COUNTIF(INDIRECT($B47&amp;"!B$2:B$1000"),"Male")</f>
        <v>34</v>
      </c>
      <c r="H47" s="7">
        <f t="array" ref="H47">COUNTIF(INDIRECT($B47&amp;"!B$2:B$1000"),"Female")</f>
        <v>40</v>
      </c>
      <c r="I47" s="7">
        <f t="array" ref="I47">COUNTIF(INDIRECT($B47&amp;"!B$2:B$1000"),"Diverse")</f>
        <v>0</v>
      </c>
      <c r="J47" s="8">
        <f t="shared" si="69"/>
        <v>0.5405405405</v>
      </c>
      <c r="K47" s="7">
        <f t="array" ref="K47">COUNTIF(INDIRECT($B47&amp;"!E$2:E$1000"),"Yes")</f>
        <v>15</v>
      </c>
      <c r="L47" s="8">
        <f>K47/C47</f>
        <v>0.2027027027</v>
      </c>
      <c r="M47" s="7">
        <f t="array" ref="M47">COUNTIF(INDIRECT($B47&amp;"!F$2:F$1000"),"Yes")</f>
        <v>2</v>
      </c>
      <c r="N47" s="8">
        <f>M47/C47</f>
        <v>0.02702702703</v>
      </c>
      <c r="O47" s="12"/>
      <c r="P47" s="13"/>
      <c r="Q47" s="12"/>
      <c r="R47" s="13"/>
      <c r="S47" s="7">
        <v>20.0</v>
      </c>
      <c r="T47" s="10">
        <f t="shared" si="70"/>
        <v>0.2702702703</v>
      </c>
      <c r="U47" s="7">
        <v>8.0</v>
      </c>
      <c r="V47" s="7">
        <v>26.0</v>
      </c>
      <c r="W47" s="7">
        <v>9.0</v>
      </c>
      <c r="X47" s="8">
        <f>W47/C47</f>
        <v>0.1216216216</v>
      </c>
      <c r="Z47" s="7"/>
    </row>
    <row r="48">
      <c r="A48" s="49">
        <v>45813.0</v>
      </c>
      <c r="B48" s="7" t="s">
        <v>79</v>
      </c>
      <c r="C48" s="15">
        <v>72.0</v>
      </c>
      <c r="D48" s="7">
        <f t="shared" si="67"/>
        <v>69</v>
      </c>
      <c r="E48" s="15">
        <f>23+46</f>
        <v>69</v>
      </c>
      <c r="F48" s="8">
        <f t="shared" si="68"/>
        <v>0.9583333333</v>
      </c>
      <c r="G48" s="18">
        <v>39.0</v>
      </c>
      <c r="H48" s="15">
        <f>11+19</f>
        <v>30</v>
      </c>
      <c r="I48" s="15">
        <v>0.0</v>
      </c>
      <c r="J48" s="8">
        <f t="shared" si="69"/>
        <v>0.4166666667</v>
      </c>
      <c r="K48" s="7"/>
      <c r="L48" s="8"/>
      <c r="M48" s="7"/>
      <c r="N48" s="8"/>
      <c r="O48" s="12"/>
      <c r="P48" s="13"/>
      <c r="Q48" s="12"/>
      <c r="R48" s="13"/>
      <c r="S48" s="7"/>
      <c r="T48" s="8"/>
      <c r="U48" s="7"/>
      <c r="V48" s="7"/>
      <c r="W48" s="7"/>
      <c r="X48" s="8"/>
      <c r="Z48" s="7"/>
    </row>
    <row r="49">
      <c r="A49" s="68" t="s">
        <v>67</v>
      </c>
      <c r="B49" s="69" t="s">
        <v>80</v>
      </c>
      <c r="C49" s="70">
        <f>SUM(C46:C48)</f>
        <v>186</v>
      </c>
      <c r="D49" s="70">
        <f>SUM(D46:D47)</f>
        <v>112</v>
      </c>
      <c r="E49" s="70">
        <f>SUM(E46:E48)</f>
        <v>177</v>
      </c>
      <c r="F49" s="62">
        <f t="shared" si="68"/>
        <v>0.9516129032</v>
      </c>
      <c r="G49" s="70">
        <f t="shared" ref="G49:H49" si="71">SUM(G46:G48)</f>
        <v>98</v>
      </c>
      <c r="H49" s="70">
        <f t="shared" si="71"/>
        <v>83</v>
      </c>
      <c r="I49" s="70">
        <f>SUM(I46:I47)</f>
        <v>0</v>
      </c>
      <c r="J49" s="62">
        <f t="shared" si="69"/>
        <v>0.4462365591</v>
      </c>
      <c r="K49" s="78"/>
      <c r="L49" s="78"/>
      <c r="M49" s="78"/>
      <c r="N49" s="34"/>
      <c r="O49" s="78"/>
      <c r="P49" s="78"/>
      <c r="Q49" s="71"/>
      <c r="R49" s="3"/>
      <c r="S49" s="35"/>
      <c r="T49" s="3"/>
      <c r="U49" s="72"/>
      <c r="V49" s="35"/>
      <c r="W49" s="71"/>
      <c r="X49" s="3"/>
      <c r="Y49" s="71"/>
      <c r="Z49" s="71"/>
      <c r="AA49" s="71"/>
      <c r="AB49" s="35"/>
    </row>
    <row r="50">
      <c r="B50" s="15"/>
      <c r="G50" s="38"/>
    </row>
    <row r="51" ht="15.0" customHeight="1">
      <c r="A51" s="79">
        <v>45901.0</v>
      </c>
      <c r="B51" s="15" t="s">
        <v>81</v>
      </c>
      <c r="C51" s="48">
        <v>26.0</v>
      </c>
      <c r="D51" s="40">
        <f t="shared" ref="D51:D52" si="72">G51+H51+I51</f>
        <v>26</v>
      </c>
      <c r="E51" s="50">
        <v>26.0</v>
      </c>
      <c r="F51" s="41">
        <f>E51/$C51</f>
        <v>1</v>
      </c>
      <c r="G51" s="42">
        <f t="array" ref="G51">COUNTIF(INDIRECT($B51&amp;"!B$2:B$1000"),"Male")</f>
        <v>19</v>
      </c>
      <c r="H51" s="40">
        <f t="array" ref="H51">COUNTIF(INDIRECT($B51&amp;"!B$2:B$1000"),"Female")</f>
        <v>7</v>
      </c>
      <c r="I51" s="40">
        <f t="array" ref="I51">COUNTIF(INDIRECT($B51&amp;"!B$2:B$1000"),"Diverse")</f>
        <v>0</v>
      </c>
      <c r="J51" s="41">
        <f t="shared" ref="J51:J54" si="73">H51/C51</f>
        <v>0.2692307692</v>
      </c>
      <c r="K51" s="40">
        <f t="array" ref="K51">COUNTIF(INDIRECT($B51&amp;"!E$2:E$1000"),"Yes")</f>
        <v>16</v>
      </c>
      <c r="L51" s="41">
        <f>K51/$C$23</f>
        <v>0.1073825503</v>
      </c>
      <c r="M51" s="40">
        <f t="array" ref="M51">COUNTIF(INDIRECT($B51&amp;"!F$2:F$1000"),"Yes")</f>
        <v>2</v>
      </c>
      <c r="N51" s="41">
        <f>M51/C51</f>
        <v>0.07692307692</v>
      </c>
      <c r="O51" s="52">
        <f t="array" ref="O51">COUNTIF(INDIRECT($B51&amp;"!I$2:I$1000"),"Yes")</f>
        <v>19</v>
      </c>
      <c r="P51" s="53">
        <f>O51/$C$23</f>
        <v>0.1275167785</v>
      </c>
      <c r="Q51" s="48">
        <v>19.0</v>
      </c>
      <c r="R51" s="41">
        <f>Q51/E51</f>
        <v>0.7307692308</v>
      </c>
      <c r="S51" s="48">
        <v>3.0</v>
      </c>
      <c r="T51" s="10">
        <f>S51/$C$23</f>
        <v>0.02013422819</v>
      </c>
      <c r="U51" s="48">
        <v>13.0</v>
      </c>
      <c r="V51" s="48">
        <v>11.0</v>
      </c>
      <c r="W51" s="48">
        <v>8.0</v>
      </c>
      <c r="X51" s="41">
        <f>W51/C51</f>
        <v>0.3076923077</v>
      </c>
      <c r="Y51" s="40"/>
      <c r="Z51" s="40"/>
      <c r="AA51" s="40"/>
    </row>
    <row r="52">
      <c r="A52" s="80">
        <v>46113.0</v>
      </c>
      <c r="B52" s="55" t="s">
        <v>82</v>
      </c>
      <c r="C52" s="81">
        <v>68.0</v>
      </c>
      <c r="D52" s="12">
        <f t="shared" si="72"/>
        <v>28</v>
      </c>
      <c r="E52" s="82">
        <v>28.0</v>
      </c>
      <c r="F52" s="83"/>
      <c r="G52" s="84">
        <v>16.0</v>
      </c>
      <c r="H52" s="17">
        <v>12.0</v>
      </c>
      <c r="I52" s="17">
        <v>0.0</v>
      </c>
      <c r="J52" s="41">
        <f t="shared" si="73"/>
        <v>0.1764705882</v>
      </c>
      <c r="K52" s="17">
        <v>15.0</v>
      </c>
      <c r="L52" s="41">
        <f>K52/E52</f>
        <v>0.5357142857</v>
      </c>
      <c r="M52" s="83"/>
      <c r="O52" s="85"/>
      <c r="P52" s="85"/>
    </row>
    <row r="53">
      <c r="A53" s="80" t="s">
        <v>57</v>
      </c>
      <c r="B53" s="76" t="s">
        <v>83</v>
      </c>
      <c r="C53" s="17">
        <v>31.0</v>
      </c>
      <c r="E53" s="82">
        <v>26.0</v>
      </c>
      <c r="G53" s="38"/>
      <c r="J53" s="41">
        <f t="shared" si="73"/>
        <v>0</v>
      </c>
    </row>
    <row r="54">
      <c r="A54" s="68" t="s">
        <v>67</v>
      </c>
      <c r="B54" s="69" t="s">
        <v>84</v>
      </c>
      <c r="C54" s="70">
        <f>SUM(C51:C53)</f>
        <v>125</v>
      </c>
      <c r="D54" s="70">
        <f>SUM(D51:D52)</f>
        <v>54</v>
      </c>
      <c r="E54" s="70">
        <f>SUM(E51:E53)</f>
        <v>80</v>
      </c>
      <c r="F54" s="62">
        <f>E54/C54</f>
        <v>0.64</v>
      </c>
      <c r="G54" s="70">
        <f t="shared" ref="G54:H54" si="74">SUM(G51:G53)</f>
        <v>35</v>
      </c>
      <c r="H54" s="70">
        <f t="shared" si="74"/>
        <v>19</v>
      </c>
      <c r="I54" s="70">
        <f>SUM(I51:I52)</f>
        <v>0</v>
      </c>
      <c r="J54" s="86">
        <f t="shared" si="73"/>
        <v>0.152</v>
      </c>
      <c r="K54" s="78"/>
      <c r="L54" s="78"/>
      <c r="M54" s="78"/>
      <c r="N54" s="34"/>
      <c r="O54" s="78"/>
      <c r="P54" s="78"/>
      <c r="Q54" s="71"/>
      <c r="R54" s="3"/>
      <c r="S54" s="35"/>
      <c r="T54" s="3"/>
      <c r="U54" s="72"/>
      <c r="V54" s="35"/>
      <c r="W54" s="71"/>
      <c r="X54" s="3"/>
      <c r="Y54" s="71"/>
      <c r="Z54" s="71"/>
      <c r="AA54" s="71"/>
      <c r="AB54" s="35"/>
    </row>
    <row r="55">
      <c r="B55" s="15" t="s">
        <v>46</v>
      </c>
      <c r="G55" s="38"/>
    </row>
    <row r="56">
      <c r="A56" s="87" t="s">
        <v>85</v>
      </c>
      <c r="B56" s="88" t="s">
        <v>86</v>
      </c>
      <c r="C56" s="40">
        <v>68.0</v>
      </c>
      <c r="D56" s="40">
        <f t="shared" ref="D56:D60" si="75">G56+H56+I56</f>
        <v>68</v>
      </c>
      <c r="E56" s="40">
        <v>53.0</v>
      </c>
      <c r="F56" s="41">
        <f t="shared" ref="F56:F69" si="76">E56/C56</f>
        <v>0.7794117647</v>
      </c>
      <c r="G56" s="42">
        <f t="shared" ref="G56:G60" si="77">C56-H56-I56</f>
        <v>31</v>
      </c>
      <c r="H56" s="40">
        <v>36.0</v>
      </c>
      <c r="I56" s="40">
        <v>1.0</v>
      </c>
      <c r="J56" s="41">
        <f t="shared" ref="J56:J69" si="78">H56/C56</f>
        <v>0.5294117647</v>
      </c>
      <c r="K56" s="40">
        <v>21.0</v>
      </c>
      <c r="L56" s="41">
        <f t="shared" ref="L56:L69" si="79">K56/C56</f>
        <v>0.3088235294</v>
      </c>
      <c r="M56" s="40">
        <v>5.0</v>
      </c>
      <c r="N56" s="41">
        <f t="shared" ref="N56:N69" si="80">M56/C56</f>
        <v>0.07352941176</v>
      </c>
      <c r="O56" s="40">
        <f>C56-31</f>
        <v>37</v>
      </c>
      <c r="P56" s="41">
        <f t="shared" ref="P56:P67" si="81">O56/C56</f>
        <v>0.5441176471</v>
      </c>
      <c r="Q56" s="40">
        <v>25.0</v>
      </c>
      <c r="R56" s="41">
        <f t="shared" ref="R56:R67" si="82">Q56/E56</f>
        <v>0.4716981132</v>
      </c>
      <c r="S56" s="40">
        <v>28.0</v>
      </c>
      <c r="T56" s="41">
        <f t="shared" ref="T56:T68" si="83">S56/C56</f>
        <v>0.4117647059</v>
      </c>
      <c r="U56" s="40">
        <v>12.0</v>
      </c>
      <c r="V56" s="40">
        <v>25.0</v>
      </c>
      <c r="W56" s="40">
        <v>5.0</v>
      </c>
      <c r="X56" s="41">
        <f t="shared" ref="X56:X68" si="84">W56/C56</f>
        <v>0.07352941176</v>
      </c>
      <c r="Y56" s="40"/>
      <c r="Z56" s="40"/>
      <c r="AA56" s="40"/>
    </row>
    <row r="57">
      <c r="A57" s="87" t="s">
        <v>85</v>
      </c>
      <c r="B57" s="88" t="s">
        <v>87</v>
      </c>
      <c r="C57" s="40">
        <v>53.0</v>
      </c>
      <c r="D57" s="40">
        <f t="shared" si="75"/>
        <v>53</v>
      </c>
      <c r="E57" s="40">
        <v>30.0</v>
      </c>
      <c r="F57" s="41">
        <f t="shared" si="76"/>
        <v>0.5660377358</v>
      </c>
      <c r="G57" s="42">
        <f t="shared" si="77"/>
        <v>30</v>
      </c>
      <c r="H57" s="40">
        <v>23.0</v>
      </c>
      <c r="I57" s="40">
        <v>0.0</v>
      </c>
      <c r="J57" s="41">
        <f t="shared" si="78"/>
        <v>0.4339622642</v>
      </c>
      <c r="K57" s="40">
        <v>19.0</v>
      </c>
      <c r="L57" s="41">
        <f t="shared" si="79"/>
        <v>0.358490566</v>
      </c>
      <c r="M57" s="40">
        <v>4.0</v>
      </c>
      <c r="N57" s="41">
        <f t="shared" si="80"/>
        <v>0.07547169811</v>
      </c>
      <c r="O57" s="40">
        <f>C57-33</f>
        <v>20</v>
      </c>
      <c r="P57" s="41">
        <f t="shared" si="81"/>
        <v>0.3773584906</v>
      </c>
      <c r="Q57" s="40">
        <v>25.0</v>
      </c>
      <c r="R57" s="41">
        <f t="shared" si="82"/>
        <v>0.8333333333</v>
      </c>
      <c r="S57" s="40">
        <v>24.0</v>
      </c>
      <c r="T57" s="41">
        <f t="shared" si="83"/>
        <v>0.4528301887</v>
      </c>
      <c r="U57" s="40">
        <v>12.0</v>
      </c>
      <c r="V57" s="40">
        <v>21.0</v>
      </c>
      <c r="W57" s="40">
        <v>4.0</v>
      </c>
      <c r="X57" s="41">
        <f t="shared" si="84"/>
        <v>0.07547169811</v>
      </c>
      <c r="Y57" s="40"/>
      <c r="Z57" s="40"/>
      <c r="AA57" s="40"/>
    </row>
    <row r="58">
      <c r="A58" s="89">
        <v>45383.0</v>
      </c>
      <c r="B58" s="88" t="s">
        <v>88</v>
      </c>
      <c r="C58" s="40">
        <v>71.0</v>
      </c>
      <c r="D58" s="40">
        <f t="shared" si="75"/>
        <v>71</v>
      </c>
      <c r="E58" s="40">
        <v>44.0</v>
      </c>
      <c r="F58" s="41">
        <f t="shared" si="76"/>
        <v>0.6197183099</v>
      </c>
      <c r="G58" s="42">
        <f t="shared" si="77"/>
        <v>35</v>
      </c>
      <c r="H58" s="40">
        <v>35.0</v>
      </c>
      <c r="I58" s="40">
        <v>1.0</v>
      </c>
      <c r="J58" s="41">
        <f t="shared" si="78"/>
        <v>0.4929577465</v>
      </c>
      <c r="K58" s="40">
        <v>26.0</v>
      </c>
      <c r="L58" s="41">
        <f t="shared" si="79"/>
        <v>0.3661971831</v>
      </c>
      <c r="M58" s="40">
        <v>3.0</v>
      </c>
      <c r="N58" s="41">
        <f t="shared" si="80"/>
        <v>0.04225352113</v>
      </c>
      <c r="O58" s="40">
        <f>C58-25</f>
        <v>46</v>
      </c>
      <c r="P58" s="41">
        <f t="shared" si="81"/>
        <v>0.6478873239</v>
      </c>
      <c r="Q58" s="40">
        <v>25.0</v>
      </c>
      <c r="R58" s="41">
        <f t="shared" si="82"/>
        <v>0.5681818182</v>
      </c>
      <c r="S58" s="40">
        <v>33.0</v>
      </c>
      <c r="T58" s="41">
        <f t="shared" si="83"/>
        <v>0.4647887324</v>
      </c>
      <c r="U58" s="40">
        <v>12.0</v>
      </c>
      <c r="V58" s="40">
        <v>23.0</v>
      </c>
      <c r="W58" s="40">
        <v>1.0</v>
      </c>
      <c r="X58" s="41">
        <f t="shared" si="84"/>
        <v>0.01408450704</v>
      </c>
      <c r="Y58" s="40"/>
      <c r="Z58" s="40"/>
      <c r="AA58" s="40"/>
    </row>
    <row r="59">
      <c r="A59" s="87" t="s">
        <v>89</v>
      </c>
      <c r="B59" s="88" t="s">
        <v>90</v>
      </c>
      <c r="C59" s="40">
        <v>64.0</v>
      </c>
      <c r="D59" s="40">
        <f t="shared" si="75"/>
        <v>64</v>
      </c>
      <c r="E59" s="40">
        <v>36.0</v>
      </c>
      <c r="F59" s="41">
        <f t="shared" si="76"/>
        <v>0.5625</v>
      </c>
      <c r="G59" s="42">
        <f t="shared" si="77"/>
        <v>41</v>
      </c>
      <c r="H59" s="40">
        <v>23.0</v>
      </c>
      <c r="I59" s="40">
        <v>0.0</v>
      </c>
      <c r="J59" s="41">
        <f t="shared" si="78"/>
        <v>0.359375</v>
      </c>
      <c r="K59" s="40">
        <v>15.0</v>
      </c>
      <c r="L59" s="41">
        <f t="shared" si="79"/>
        <v>0.234375</v>
      </c>
      <c r="M59" s="40">
        <v>3.0</v>
      </c>
      <c r="N59" s="41">
        <f t="shared" si="80"/>
        <v>0.046875</v>
      </c>
      <c r="O59" s="40">
        <f>C59-9</f>
        <v>55</v>
      </c>
      <c r="P59" s="41">
        <f t="shared" si="81"/>
        <v>0.859375</v>
      </c>
      <c r="Q59" s="40">
        <v>25.0</v>
      </c>
      <c r="R59" s="41">
        <f t="shared" si="82"/>
        <v>0.6944444444</v>
      </c>
      <c r="S59" s="40">
        <v>27.0</v>
      </c>
      <c r="T59" s="41">
        <f t="shared" si="83"/>
        <v>0.421875</v>
      </c>
      <c r="U59" s="40">
        <v>12.0</v>
      </c>
      <c r="V59" s="40">
        <v>23.0</v>
      </c>
      <c r="W59" s="40">
        <v>1.0</v>
      </c>
      <c r="X59" s="41">
        <f t="shared" si="84"/>
        <v>0.015625</v>
      </c>
      <c r="Y59" s="40"/>
      <c r="Z59" s="40"/>
      <c r="AA59" s="40"/>
    </row>
    <row r="60">
      <c r="A60" s="87" t="s">
        <v>91</v>
      </c>
      <c r="B60" s="88" t="s">
        <v>92</v>
      </c>
      <c r="C60" s="40">
        <v>54.0</v>
      </c>
      <c r="D60" s="40">
        <f t="shared" si="75"/>
        <v>54</v>
      </c>
      <c r="E60" s="40">
        <v>33.0</v>
      </c>
      <c r="F60" s="41">
        <f t="shared" si="76"/>
        <v>0.6111111111</v>
      </c>
      <c r="G60" s="42">
        <f t="shared" si="77"/>
        <v>31</v>
      </c>
      <c r="H60" s="40">
        <v>22.0</v>
      </c>
      <c r="I60" s="40">
        <v>1.0</v>
      </c>
      <c r="J60" s="41">
        <f t="shared" si="78"/>
        <v>0.4074074074</v>
      </c>
      <c r="K60" s="40">
        <v>17.0</v>
      </c>
      <c r="L60" s="41">
        <f t="shared" si="79"/>
        <v>0.3148148148</v>
      </c>
      <c r="M60" s="40">
        <v>3.0</v>
      </c>
      <c r="N60" s="41">
        <f t="shared" si="80"/>
        <v>0.05555555556</v>
      </c>
      <c r="O60" s="40">
        <f>C60-6</f>
        <v>48</v>
      </c>
      <c r="P60" s="41">
        <f t="shared" si="81"/>
        <v>0.8888888889</v>
      </c>
      <c r="Q60" s="40">
        <v>25.0</v>
      </c>
      <c r="R60" s="41">
        <f t="shared" si="82"/>
        <v>0.7575757576</v>
      </c>
      <c r="S60" s="40">
        <v>33.0</v>
      </c>
      <c r="T60" s="41">
        <f t="shared" si="83"/>
        <v>0.6111111111</v>
      </c>
      <c r="U60" s="40">
        <v>13.0</v>
      </c>
      <c r="V60" s="40">
        <v>19.0</v>
      </c>
      <c r="W60" s="40">
        <v>0.0</v>
      </c>
      <c r="X60" s="41">
        <f t="shared" si="84"/>
        <v>0</v>
      </c>
      <c r="Y60" s="40"/>
      <c r="Z60" s="40"/>
      <c r="AA60" s="40"/>
    </row>
    <row r="61">
      <c r="A61" s="90">
        <v>45597.0</v>
      </c>
      <c r="B61" s="91" t="s">
        <v>93</v>
      </c>
      <c r="C61" s="40">
        <v>128.0</v>
      </c>
      <c r="D61" s="40">
        <v>128.0</v>
      </c>
      <c r="E61" s="40">
        <v>117.0</v>
      </c>
      <c r="F61" s="41">
        <f t="shared" si="76"/>
        <v>0.9140625</v>
      </c>
      <c r="G61" s="92">
        <v>67.0</v>
      </c>
      <c r="H61" s="48">
        <v>57.0</v>
      </c>
      <c r="I61" s="48">
        <v>4.0</v>
      </c>
      <c r="J61" s="41">
        <f t="shared" si="78"/>
        <v>0.4453125</v>
      </c>
      <c r="K61" s="48">
        <v>49.0</v>
      </c>
      <c r="L61" s="41">
        <f t="shared" si="79"/>
        <v>0.3828125</v>
      </c>
      <c r="M61" s="48">
        <v>6.0</v>
      </c>
      <c r="N61" s="41">
        <f t="shared" si="80"/>
        <v>0.046875</v>
      </c>
      <c r="O61" s="48">
        <v>73.0</v>
      </c>
      <c r="P61" s="41">
        <f t="shared" si="81"/>
        <v>0.5703125</v>
      </c>
      <c r="Q61" s="48">
        <v>26.0</v>
      </c>
      <c r="R61" s="41">
        <f t="shared" si="82"/>
        <v>0.2222222222</v>
      </c>
      <c r="S61" s="48">
        <v>45.0</v>
      </c>
      <c r="T61" s="41">
        <f t="shared" si="83"/>
        <v>0.3515625</v>
      </c>
      <c r="U61" s="48">
        <v>13.0</v>
      </c>
      <c r="V61" s="48">
        <v>33.0</v>
      </c>
      <c r="W61" s="48">
        <v>6.0</v>
      </c>
      <c r="X61" s="41">
        <f t="shared" si="84"/>
        <v>0.046875</v>
      </c>
      <c r="Y61" s="48"/>
      <c r="Z61" s="40"/>
      <c r="AA61" s="40"/>
      <c r="AB61" s="74"/>
    </row>
    <row r="62">
      <c r="A62" s="90">
        <v>45748.0</v>
      </c>
      <c r="B62" s="91" t="s">
        <v>94</v>
      </c>
      <c r="C62" s="48">
        <v>57.0</v>
      </c>
      <c r="D62" s="48">
        <v>57.0</v>
      </c>
      <c r="E62" s="48">
        <v>39.0</v>
      </c>
      <c r="F62" s="41">
        <f t="shared" si="76"/>
        <v>0.6842105263</v>
      </c>
      <c r="G62" s="92">
        <v>28.0</v>
      </c>
      <c r="H62" s="48">
        <v>24.0</v>
      </c>
      <c r="I62" s="48">
        <v>5.0</v>
      </c>
      <c r="J62" s="41">
        <f t="shared" si="78"/>
        <v>0.4210526316</v>
      </c>
      <c r="K62" s="48">
        <v>19.0</v>
      </c>
      <c r="L62" s="41">
        <f t="shared" si="79"/>
        <v>0.3333333333</v>
      </c>
      <c r="M62" s="48">
        <v>5.0</v>
      </c>
      <c r="N62" s="41">
        <f t="shared" si="80"/>
        <v>0.08771929825</v>
      </c>
      <c r="O62" s="48">
        <v>13.0</v>
      </c>
      <c r="P62" s="41">
        <f t="shared" si="81"/>
        <v>0.2280701754</v>
      </c>
      <c r="Q62" s="48">
        <v>19.0</v>
      </c>
      <c r="R62" s="41">
        <f t="shared" si="82"/>
        <v>0.4871794872</v>
      </c>
      <c r="S62" s="48">
        <v>19.0</v>
      </c>
      <c r="T62" s="41">
        <f t="shared" si="83"/>
        <v>0.3333333333</v>
      </c>
      <c r="U62" s="48">
        <v>13.0</v>
      </c>
      <c r="V62" s="48">
        <v>21.0</v>
      </c>
      <c r="W62" s="48">
        <v>5.0</v>
      </c>
      <c r="X62" s="41">
        <f t="shared" si="84"/>
        <v>0.08771929825</v>
      </c>
      <c r="Y62" s="48">
        <v>1.0</v>
      </c>
      <c r="Z62" s="40"/>
      <c r="AA62" s="40"/>
    </row>
    <row r="63">
      <c r="A63" s="90" t="s">
        <v>95</v>
      </c>
      <c r="B63" s="91" t="s">
        <v>96</v>
      </c>
      <c r="C63" s="48">
        <v>93.0</v>
      </c>
      <c r="D63" s="48">
        <v>93.0</v>
      </c>
      <c r="E63" s="48">
        <v>76.0</v>
      </c>
      <c r="F63" s="41">
        <f t="shared" si="76"/>
        <v>0.8172043011</v>
      </c>
      <c r="G63" s="92">
        <v>47.0</v>
      </c>
      <c r="H63" s="48">
        <v>41.0</v>
      </c>
      <c r="I63" s="48">
        <v>5.0</v>
      </c>
      <c r="J63" s="41">
        <f t="shared" si="78"/>
        <v>0.4408602151</v>
      </c>
      <c r="K63" s="48">
        <v>36.0</v>
      </c>
      <c r="L63" s="41">
        <f t="shared" si="79"/>
        <v>0.3870967742</v>
      </c>
      <c r="M63" s="48">
        <v>3.0</v>
      </c>
      <c r="N63" s="41">
        <f t="shared" si="80"/>
        <v>0.03225806452</v>
      </c>
      <c r="O63" s="48">
        <v>78.0</v>
      </c>
      <c r="P63" s="41">
        <f t="shared" si="81"/>
        <v>0.8387096774</v>
      </c>
      <c r="Q63" s="48">
        <v>19.0</v>
      </c>
      <c r="R63" s="41">
        <f t="shared" si="82"/>
        <v>0.25</v>
      </c>
      <c r="S63" s="48">
        <v>55.0</v>
      </c>
      <c r="T63" s="41">
        <f t="shared" si="83"/>
        <v>0.5913978495</v>
      </c>
      <c r="U63" s="48">
        <v>13.0</v>
      </c>
      <c r="V63" s="48">
        <v>29.0</v>
      </c>
      <c r="W63" s="48">
        <v>10.0</v>
      </c>
      <c r="X63" s="41">
        <f t="shared" si="84"/>
        <v>0.1075268817</v>
      </c>
      <c r="Y63" s="48">
        <v>3.0</v>
      </c>
      <c r="Z63" s="40"/>
      <c r="AA63" s="40"/>
    </row>
    <row r="64">
      <c r="A64" s="90">
        <v>45839.0</v>
      </c>
      <c r="B64" s="91" t="s">
        <v>97</v>
      </c>
      <c r="C64" s="48">
        <v>60.0</v>
      </c>
      <c r="D64" s="48">
        <v>60.0</v>
      </c>
      <c r="E64" s="48">
        <v>30.0</v>
      </c>
      <c r="F64" s="41">
        <f t="shared" si="76"/>
        <v>0.5</v>
      </c>
      <c r="G64" s="92">
        <v>34.0</v>
      </c>
      <c r="H64" s="48">
        <v>23.0</v>
      </c>
      <c r="I64" s="48">
        <v>3.0</v>
      </c>
      <c r="J64" s="41">
        <f t="shared" si="78"/>
        <v>0.3833333333</v>
      </c>
      <c r="K64" s="48">
        <v>17.0</v>
      </c>
      <c r="L64" s="41">
        <f t="shared" si="79"/>
        <v>0.2833333333</v>
      </c>
      <c r="M64" s="48">
        <v>4.0</v>
      </c>
      <c r="N64" s="41">
        <f t="shared" si="80"/>
        <v>0.06666666667</v>
      </c>
      <c r="O64" s="48">
        <v>25.0</v>
      </c>
      <c r="P64" s="41">
        <f t="shared" si="81"/>
        <v>0.4166666667</v>
      </c>
      <c r="Q64" s="48">
        <v>19.0</v>
      </c>
      <c r="R64" s="41">
        <f t="shared" si="82"/>
        <v>0.6333333333</v>
      </c>
      <c r="S64" s="48">
        <v>22.0</v>
      </c>
      <c r="T64" s="41">
        <f t="shared" si="83"/>
        <v>0.3666666667</v>
      </c>
      <c r="U64" s="48">
        <v>12.0</v>
      </c>
      <c r="V64" s="48">
        <v>22.0</v>
      </c>
      <c r="W64" s="48">
        <v>4.0</v>
      </c>
      <c r="X64" s="41">
        <f t="shared" si="84"/>
        <v>0.06666666667</v>
      </c>
      <c r="Y64" s="48">
        <v>2.0</v>
      </c>
      <c r="Z64" s="40"/>
      <c r="AA64" s="40"/>
    </row>
    <row r="65">
      <c r="A65" s="90">
        <v>45962.0</v>
      </c>
      <c r="B65" s="91" t="s">
        <v>98</v>
      </c>
      <c r="C65" s="48">
        <f t="shared" ref="C65:D65" si="85">125+93</f>
        <v>218</v>
      </c>
      <c r="D65" s="48">
        <f t="shared" si="85"/>
        <v>218</v>
      </c>
      <c r="E65" s="48">
        <f>120+59</f>
        <v>179</v>
      </c>
      <c r="F65" s="41">
        <f t="shared" si="76"/>
        <v>0.8211009174</v>
      </c>
      <c r="G65" s="92">
        <f>68+57</f>
        <v>125</v>
      </c>
      <c r="H65" s="48">
        <f>54+46</f>
        <v>100</v>
      </c>
      <c r="I65" s="48">
        <f>3+2</f>
        <v>5</v>
      </c>
      <c r="J65" s="41">
        <f t="shared" si="78"/>
        <v>0.4587155963</v>
      </c>
      <c r="K65" s="48">
        <f>28+52</f>
        <v>80</v>
      </c>
      <c r="L65" s="41">
        <f t="shared" si="79"/>
        <v>0.3669724771</v>
      </c>
      <c r="M65" s="48">
        <f>10+3</f>
        <v>13</v>
      </c>
      <c r="N65" s="41">
        <f t="shared" si="80"/>
        <v>0.05963302752</v>
      </c>
      <c r="O65" s="48">
        <f>94+75</f>
        <v>169</v>
      </c>
      <c r="P65" s="41">
        <f t="shared" si="81"/>
        <v>0.7752293578</v>
      </c>
      <c r="Q65" s="48">
        <v>58.0</v>
      </c>
      <c r="R65" s="41">
        <f t="shared" si="82"/>
        <v>0.3240223464</v>
      </c>
      <c r="S65" s="48">
        <f>65+29</f>
        <v>94</v>
      </c>
      <c r="T65" s="41">
        <f t="shared" si="83"/>
        <v>0.4311926606</v>
      </c>
      <c r="U65" s="48">
        <v>15.0</v>
      </c>
      <c r="V65" s="48">
        <v>43.0</v>
      </c>
      <c r="W65" s="48">
        <v>35.0</v>
      </c>
      <c r="X65" s="41">
        <f t="shared" si="84"/>
        <v>0.1605504587</v>
      </c>
      <c r="Y65" s="48">
        <v>5.0</v>
      </c>
      <c r="Z65" s="48"/>
      <c r="AA65" s="40"/>
      <c r="AB65" s="74"/>
    </row>
    <row r="66">
      <c r="A66" s="93" t="s">
        <v>99</v>
      </c>
      <c r="B66" s="91" t="s">
        <v>100</v>
      </c>
      <c r="C66" s="48">
        <v>83.0</v>
      </c>
      <c r="D66" s="48">
        <v>83.0</v>
      </c>
      <c r="E66" s="48">
        <v>49.0</v>
      </c>
      <c r="F66" s="41">
        <f t="shared" si="76"/>
        <v>0.5903614458</v>
      </c>
      <c r="G66" s="92">
        <v>43.0</v>
      </c>
      <c r="H66" s="48">
        <v>32.0</v>
      </c>
      <c r="I66" s="48">
        <v>8.0</v>
      </c>
      <c r="J66" s="41">
        <f t="shared" si="78"/>
        <v>0.3855421687</v>
      </c>
      <c r="K66" s="48">
        <v>39.0</v>
      </c>
      <c r="L66" s="41">
        <f t="shared" si="79"/>
        <v>0.4698795181</v>
      </c>
      <c r="M66" s="48">
        <v>4.0</v>
      </c>
      <c r="N66" s="41">
        <f t="shared" si="80"/>
        <v>0.04819277108</v>
      </c>
      <c r="O66" s="48">
        <v>38.0</v>
      </c>
      <c r="P66" s="41">
        <f t="shared" si="81"/>
        <v>0.4578313253</v>
      </c>
      <c r="Q66" s="48">
        <v>14.0</v>
      </c>
      <c r="R66" s="41">
        <f t="shared" si="82"/>
        <v>0.2857142857</v>
      </c>
      <c r="S66" s="48">
        <v>32.0</v>
      </c>
      <c r="T66" s="41">
        <f t="shared" si="83"/>
        <v>0.3855421687</v>
      </c>
      <c r="U66" s="48">
        <v>16.0</v>
      </c>
      <c r="V66" s="48">
        <v>31.0</v>
      </c>
      <c r="W66" s="48">
        <v>10.0</v>
      </c>
      <c r="X66" s="41">
        <f t="shared" si="84"/>
        <v>0.1204819277</v>
      </c>
      <c r="Y66" s="48">
        <v>0.0</v>
      </c>
      <c r="Z66" s="48"/>
      <c r="AA66" s="40"/>
      <c r="AB66" s="74"/>
    </row>
    <row r="67">
      <c r="A67" s="93" t="s">
        <v>57</v>
      </c>
      <c r="B67" s="91" t="s">
        <v>101</v>
      </c>
      <c r="C67" s="48">
        <v>44.0</v>
      </c>
      <c r="D67" s="48">
        <v>44.0</v>
      </c>
      <c r="E67" s="48">
        <v>34.0</v>
      </c>
      <c r="F67" s="41">
        <f t="shared" si="76"/>
        <v>0.7727272727</v>
      </c>
      <c r="G67" s="92">
        <v>22.0</v>
      </c>
      <c r="H67" s="48">
        <v>19.0</v>
      </c>
      <c r="I67" s="48">
        <v>3.0</v>
      </c>
      <c r="J67" s="41">
        <f t="shared" si="78"/>
        <v>0.4318181818</v>
      </c>
      <c r="K67" s="48">
        <v>16.0</v>
      </c>
      <c r="L67" s="41">
        <f t="shared" si="79"/>
        <v>0.3636363636</v>
      </c>
      <c r="M67" s="48">
        <v>3.0</v>
      </c>
      <c r="N67" s="41">
        <f t="shared" si="80"/>
        <v>0.06818181818</v>
      </c>
      <c r="O67" s="48">
        <v>7.0</v>
      </c>
      <c r="P67" s="41">
        <f t="shared" si="81"/>
        <v>0.1590909091</v>
      </c>
      <c r="Q67" s="48">
        <v>14.0</v>
      </c>
      <c r="R67" s="41">
        <f t="shared" si="82"/>
        <v>0.4117647059</v>
      </c>
      <c r="S67" s="48">
        <v>15.0</v>
      </c>
      <c r="T67" s="41">
        <f t="shared" si="83"/>
        <v>0.3409090909</v>
      </c>
      <c r="U67" s="48">
        <v>11.0</v>
      </c>
      <c r="V67" s="48">
        <v>17.0</v>
      </c>
      <c r="W67" s="48">
        <v>7.0</v>
      </c>
      <c r="X67" s="41">
        <f t="shared" si="84"/>
        <v>0.1590909091</v>
      </c>
      <c r="Y67" s="48">
        <v>0.0</v>
      </c>
      <c r="Z67" s="48"/>
      <c r="AA67" s="40"/>
      <c r="AB67" s="74"/>
    </row>
    <row r="68">
      <c r="A68" s="94">
        <v>46266.0</v>
      </c>
      <c r="B68" s="95" t="s">
        <v>102</v>
      </c>
      <c r="C68" s="96">
        <v>110.0</v>
      </c>
      <c r="D68" s="96">
        <v>110.0</v>
      </c>
      <c r="E68" s="96">
        <v>100.0</v>
      </c>
      <c r="F68" s="97">
        <f t="shared" si="76"/>
        <v>0.9090909091</v>
      </c>
      <c r="G68" s="98">
        <f>29+14</f>
        <v>43</v>
      </c>
      <c r="H68" s="96">
        <f>39+26</f>
        <v>65</v>
      </c>
      <c r="I68" s="96">
        <f>1+1</f>
        <v>2</v>
      </c>
      <c r="J68" s="97">
        <f t="shared" si="78"/>
        <v>0.5909090909</v>
      </c>
      <c r="K68" s="96">
        <v>71.0</v>
      </c>
      <c r="L68" s="97">
        <f t="shared" si="79"/>
        <v>0.6454545455</v>
      </c>
      <c r="M68" s="96">
        <v>3.0</v>
      </c>
      <c r="N68" s="97">
        <f t="shared" si="80"/>
        <v>0.02727272727</v>
      </c>
      <c r="O68" s="96"/>
      <c r="P68" s="97"/>
      <c r="Q68" s="96"/>
      <c r="R68" s="97"/>
      <c r="S68" s="96">
        <f>31+14</f>
        <v>45</v>
      </c>
      <c r="T68" s="97">
        <f t="shared" si="83"/>
        <v>0.4090909091</v>
      </c>
      <c r="U68" s="96">
        <v>16.0</v>
      </c>
      <c r="V68" s="96">
        <v>33.0</v>
      </c>
      <c r="W68" s="96">
        <v>30.0</v>
      </c>
      <c r="X68" s="97">
        <f t="shared" si="84"/>
        <v>0.2727272727</v>
      </c>
      <c r="Y68" s="96">
        <v>2.0</v>
      </c>
      <c r="Z68" s="96" t="s">
        <v>103</v>
      </c>
      <c r="AA68" s="7"/>
    </row>
    <row r="69">
      <c r="A69" s="99" t="s">
        <v>67</v>
      </c>
      <c r="B69" s="100" t="s">
        <v>104</v>
      </c>
      <c r="C69" s="101">
        <f t="shared" ref="C69:E69" si="86">SUM(C56:C68)</f>
        <v>1103</v>
      </c>
      <c r="D69" s="101">
        <f t="shared" si="86"/>
        <v>1103</v>
      </c>
      <c r="E69" s="101">
        <f t="shared" si="86"/>
        <v>820</v>
      </c>
      <c r="F69" s="102">
        <f t="shared" si="76"/>
        <v>0.7434270172</v>
      </c>
      <c r="G69" s="101">
        <f t="shared" ref="G69:I69" si="87">SUM(G56:G68)</f>
        <v>577</v>
      </c>
      <c r="H69" s="101">
        <f t="shared" si="87"/>
        <v>500</v>
      </c>
      <c r="I69" s="101">
        <f t="shared" si="87"/>
        <v>38</v>
      </c>
      <c r="J69" s="102">
        <f t="shared" si="78"/>
        <v>0.4533091568</v>
      </c>
      <c r="K69" s="101">
        <f>SUM(K56:K68)</f>
        <v>425</v>
      </c>
      <c r="L69" s="102">
        <f t="shared" si="79"/>
        <v>0.3853127833</v>
      </c>
      <c r="M69" s="101">
        <f>SUM(M56:M68)</f>
        <v>59</v>
      </c>
      <c r="N69" s="102">
        <f t="shared" si="80"/>
        <v>0.05349048051</v>
      </c>
      <c r="O69" s="101">
        <f>SUM(O56:O68)</f>
        <v>609</v>
      </c>
      <c r="P69" s="102">
        <f>O69/C69</f>
        <v>0.552130553</v>
      </c>
      <c r="Q69" s="71"/>
      <c r="R69" s="3"/>
      <c r="S69" s="35"/>
      <c r="T69" s="3"/>
      <c r="U69" s="103"/>
      <c r="V69" s="35"/>
      <c r="W69" s="71"/>
      <c r="X69" s="3"/>
      <c r="Y69" s="71"/>
      <c r="Z69" s="71"/>
      <c r="AA69" s="71"/>
      <c r="AB69" s="35"/>
    </row>
    <row r="70">
      <c r="A70" s="6"/>
      <c r="B70" s="15" t="s">
        <v>46</v>
      </c>
      <c r="C70" s="7"/>
      <c r="F70" s="8"/>
      <c r="G70" s="9"/>
      <c r="H70" s="7"/>
      <c r="I70" s="7"/>
      <c r="J70" s="8"/>
      <c r="L70" s="8"/>
      <c r="N70" s="8"/>
      <c r="P70" s="8"/>
      <c r="R70" s="8"/>
      <c r="S70" s="7"/>
      <c r="T70" s="8"/>
      <c r="X70" s="8"/>
      <c r="Y70" s="5"/>
      <c r="Z70" s="2"/>
      <c r="AA70" s="2"/>
    </row>
    <row r="71" ht="15.0" customHeight="1">
      <c r="A71" s="104" t="s">
        <v>105</v>
      </c>
      <c r="B71" s="105" t="s">
        <v>106</v>
      </c>
      <c r="C71" s="40">
        <v>149.0</v>
      </c>
      <c r="D71" s="40">
        <f t="shared" ref="D71:D73" si="88">G71+H71+I71</f>
        <v>148</v>
      </c>
      <c r="E71" s="40">
        <v>148.0</v>
      </c>
      <c r="F71" s="41">
        <f>E71/C71</f>
        <v>0.9932885906</v>
      </c>
      <c r="G71" s="42">
        <v>108.0</v>
      </c>
      <c r="H71" s="40">
        <v>38.0</v>
      </c>
      <c r="I71" s="40">
        <v>2.0</v>
      </c>
      <c r="J71" s="41">
        <f>H71/C71</f>
        <v>0.255033557</v>
      </c>
      <c r="K71" s="40">
        <v>79.0</v>
      </c>
      <c r="L71" s="41">
        <f t="shared" ref="L71:L74" si="89">K71/C71</f>
        <v>0.5302013423</v>
      </c>
      <c r="M71" s="12"/>
      <c r="N71" s="13"/>
      <c r="O71" s="40">
        <v>134.0</v>
      </c>
      <c r="P71" s="41">
        <f>O71/C71</f>
        <v>0.8993288591</v>
      </c>
      <c r="Q71" s="12"/>
      <c r="R71" s="13"/>
      <c r="S71" s="40">
        <v>4.0</v>
      </c>
      <c r="T71" s="10">
        <f t="shared" ref="T71:T74" si="90">S71/C71</f>
        <v>0.02684563758</v>
      </c>
      <c r="U71" s="40">
        <v>5.0</v>
      </c>
      <c r="V71" s="40">
        <v>19.0</v>
      </c>
      <c r="W71" s="40">
        <v>20.0</v>
      </c>
      <c r="X71" s="41">
        <f t="shared" ref="X71:X74" si="91">W71/C71</f>
        <v>0.1342281879</v>
      </c>
      <c r="Y71" s="40"/>
      <c r="Z71" s="40"/>
      <c r="AA71" s="40"/>
    </row>
    <row r="72">
      <c r="A72" s="39">
        <v>45536.0</v>
      </c>
      <c r="B72" s="40" t="s">
        <v>107</v>
      </c>
      <c r="C72" s="40">
        <v>22.0</v>
      </c>
      <c r="D72" s="40">
        <f t="shared" si="88"/>
        <v>22</v>
      </c>
      <c r="E72" s="40">
        <v>22.0</v>
      </c>
      <c r="F72" s="106">
        <v>1.0</v>
      </c>
      <c r="G72" s="42">
        <v>13.0</v>
      </c>
      <c r="H72" s="40">
        <v>9.0</v>
      </c>
      <c r="I72" s="40">
        <v>0.0</v>
      </c>
      <c r="J72" s="41">
        <f>H72/E72</f>
        <v>0.4090909091</v>
      </c>
      <c r="K72" s="40">
        <v>19.0</v>
      </c>
      <c r="L72" s="41">
        <f t="shared" si="89"/>
        <v>0.8636363636</v>
      </c>
      <c r="M72" s="40">
        <v>6.0</v>
      </c>
      <c r="N72" s="41">
        <f t="shared" ref="N72:N74" si="92">M72/C72</f>
        <v>0.2727272727</v>
      </c>
      <c r="O72" s="12"/>
      <c r="P72" s="12"/>
      <c r="Q72" s="40">
        <v>22.0</v>
      </c>
      <c r="R72" s="41">
        <f>Q72/E72</f>
        <v>1</v>
      </c>
      <c r="S72" s="40">
        <v>5.0</v>
      </c>
      <c r="T72" s="10">
        <f t="shared" si="90"/>
        <v>0.2272727273</v>
      </c>
      <c r="U72" s="40">
        <v>7.0</v>
      </c>
      <c r="V72" s="40">
        <v>14.0</v>
      </c>
      <c r="W72" s="40">
        <v>5.0</v>
      </c>
      <c r="X72" s="41">
        <f t="shared" si="91"/>
        <v>0.2272727273</v>
      </c>
      <c r="Y72" s="40"/>
      <c r="Z72" s="40" t="s">
        <v>108</v>
      </c>
      <c r="AA72" s="40"/>
    </row>
    <row r="73" ht="15.0" customHeight="1">
      <c r="A73" s="107">
        <v>45772.0</v>
      </c>
      <c r="B73" s="48" t="s">
        <v>109</v>
      </c>
      <c r="C73" s="40">
        <f t="array" ref="C73">COUNT(INDIRECT(B73&amp;"!A$2:A$1000"))</f>
        <v>20</v>
      </c>
      <c r="D73" s="40">
        <f t="shared" si="88"/>
        <v>20</v>
      </c>
      <c r="E73" s="48">
        <v>14.0</v>
      </c>
      <c r="F73" s="41">
        <f>E73/C73</f>
        <v>0.7</v>
      </c>
      <c r="G73" s="42">
        <f t="array" ref="G73">COUNTIF(INDIRECT($B73&amp;"!B$2:B$1000"),"Male")</f>
        <v>11</v>
      </c>
      <c r="H73" s="40">
        <f t="array" ref="H73">COUNTIF(INDIRECT($B73&amp;"!B$2:B$1000"),"Female")</f>
        <v>9</v>
      </c>
      <c r="I73" s="40">
        <f t="array" ref="I73">COUNTIF(INDIRECT($B73&amp;"!B$2:B$1000"),"Diverse")</f>
        <v>0</v>
      </c>
      <c r="J73" s="41">
        <f t="shared" ref="J73:J74" si="93">H73/C73</f>
        <v>0.45</v>
      </c>
      <c r="K73" s="40">
        <f t="array" ref="K73">COUNTIF(INDIRECT($B73&amp;"!E$2:E$1000"),"Yes")</f>
        <v>14</v>
      </c>
      <c r="L73" s="41">
        <f t="shared" si="89"/>
        <v>0.7</v>
      </c>
      <c r="M73" s="40">
        <f t="array" ref="M73">COUNTIF(INDIRECT($B73&amp;"!F$2:F$1000"),"Yes")</f>
        <v>1</v>
      </c>
      <c r="N73" s="41">
        <f t="shared" si="92"/>
        <v>0.05</v>
      </c>
      <c r="O73" s="40">
        <f t="array" ref="O73">COUNTIF(INDIRECT($B73&amp;"!I$2:I$1000"),"Yes")</f>
        <v>4</v>
      </c>
      <c r="P73" s="41">
        <f t="shared" ref="P73:P74" si="94">O73/C73</f>
        <v>0.2</v>
      </c>
      <c r="Q73" s="40">
        <v>3.0</v>
      </c>
      <c r="R73" s="41">
        <f>Q73/C73</f>
        <v>0.15</v>
      </c>
      <c r="S73" s="48">
        <v>16.0</v>
      </c>
      <c r="T73" s="10">
        <f t="shared" si="90"/>
        <v>0.8</v>
      </c>
      <c r="U73" s="48">
        <v>14.0</v>
      </c>
      <c r="V73" s="48">
        <v>7.0</v>
      </c>
      <c r="W73" s="48">
        <v>1.0</v>
      </c>
      <c r="X73" s="41">
        <f t="shared" si="91"/>
        <v>0.05</v>
      </c>
      <c r="Y73" s="40"/>
      <c r="Z73" s="40"/>
      <c r="AA73" s="40"/>
      <c r="AB73" s="74"/>
    </row>
    <row r="74">
      <c r="A74" s="93" t="s">
        <v>95</v>
      </c>
      <c r="B74" s="91" t="s">
        <v>110</v>
      </c>
      <c r="C74" s="48">
        <v>33.0</v>
      </c>
      <c r="D74" s="48">
        <v>33.0</v>
      </c>
      <c r="E74" s="48">
        <v>33.0</v>
      </c>
      <c r="F74" s="108">
        <v>1.0</v>
      </c>
      <c r="G74" s="92">
        <v>18.0</v>
      </c>
      <c r="H74" s="48">
        <v>15.0</v>
      </c>
      <c r="I74" s="48">
        <v>0.0</v>
      </c>
      <c r="J74" s="41">
        <f t="shared" si="93"/>
        <v>0.4545454545</v>
      </c>
      <c r="K74" s="48">
        <v>30.0</v>
      </c>
      <c r="L74" s="41">
        <f t="shared" si="89"/>
        <v>0.9090909091</v>
      </c>
      <c r="M74" s="48">
        <v>0.0</v>
      </c>
      <c r="N74" s="41">
        <f t="shared" si="92"/>
        <v>0</v>
      </c>
      <c r="O74" s="48">
        <v>30.0</v>
      </c>
      <c r="P74" s="41">
        <f t="shared" si="94"/>
        <v>0.9090909091</v>
      </c>
      <c r="Q74" s="48">
        <v>33.0</v>
      </c>
      <c r="R74" s="41">
        <f>Q74/E74</f>
        <v>1</v>
      </c>
      <c r="S74" s="48">
        <v>22.0</v>
      </c>
      <c r="T74" s="10">
        <f t="shared" si="90"/>
        <v>0.6666666667</v>
      </c>
      <c r="U74" s="48">
        <v>5.0</v>
      </c>
      <c r="V74" s="48">
        <v>11.0</v>
      </c>
      <c r="W74" s="48">
        <v>4.0</v>
      </c>
      <c r="X74" s="41">
        <f t="shared" si="91"/>
        <v>0.1212121212</v>
      </c>
      <c r="Y74" s="40"/>
      <c r="Z74" s="40"/>
      <c r="AA74" s="40"/>
    </row>
    <row r="75">
      <c r="A75" s="109" t="s">
        <v>111</v>
      </c>
      <c r="B75" s="110" t="s">
        <v>112</v>
      </c>
      <c r="C75" s="111">
        <v>104.0</v>
      </c>
      <c r="D75" s="111">
        <v>38.0</v>
      </c>
      <c r="E75" s="48">
        <v>38.0</v>
      </c>
      <c r="F75" s="108">
        <v>1.0</v>
      </c>
      <c r="G75" s="92">
        <v>19.0</v>
      </c>
      <c r="H75" s="48">
        <v>19.0</v>
      </c>
      <c r="I75" s="48">
        <v>0.0</v>
      </c>
      <c r="J75" s="41">
        <f>H75/E75</f>
        <v>0.5</v>
      </c>
      <c r="K75" s="55"/>
      <c r="L75" s="56"/>
      <c r="M75" s="55"/>
      <c r="N75" s="56"/>
      <c r="O75" s="55"/>
      <c r="P75" s="56"/>
      <c r="Q75" s="55">
        <v>25.0</v>
      </c>
      <c r="R75" s="40"/>
      <c r="S75" s="40"/>
      <c r="T75" s="10"/>
      <c r="U75" s="40"/>
      <c r="V75" s="40"/>
      <c r="W75" s="40"/>
      <c r="X75" s="41"/>
      <c r="Y75" s="40"/>
      <c r="Z75" s="40"/>
      <c r="AA75" s="40"/>
    </row>
    <row r="76">
      <c r="A76" s="109" t="s">
        <v>57</v>
      </c>
      <c r="B76" s="112" t="s">
        <v>113</v>
      </c>
      <c r="C76" s="48">
        <v>105.0</v>
      </c>
      <c r="D76" s="48"/>
      <c r="E76" s="55">
        <v>20.0</v>
      </c>
      <c r="F76" s="108"/>
      <c r="G76" s="92"/>
      <c r="H76" s="48"/>
      <c r="I76" s="48"/>
      <c r="J76" s="41"/>
      <c r="K76" s="55"/>
      <c r="L76" s="56"/>
      <c r="M76" s="55"/>
      <c r="N76" s="56"/>
      <c r="O76" s="55"/>
      <c r="P76" s="56"/>
      <c r="Q76" s="55"/>
      <c r="R76" s="40"/>
      <c r="S76" s="40"/>
      <c r="T76" s="10"/>
      <c r="U76" s="40"/>
      <c r="V76" s="40"/>
      <c r="W76" s="40"/>
      <c r="X76" s="41"/>
      <c r="Y76" s="40"/>
      <c r="Z76" s="40"/>
      <c r="AA76" s="40"/>
    </row>
    <row r="77">
      <c r="A77" s="113" t="s">
        <v>67</v>
      </c>
      <c r="B77" s="114" t="s">
        <v>114</v>
      </c>
      <c r="C77" s="31">
        <f t="shared" ref="C77:E77" si="95">SUM(C71:C76)</f>
        <v>433</v>
      </c>
      <c r="D77" s="31">
        <f t="shared" si="95"/>
        <v>261</v>
      </c>
      <c r="E77" s="31">
        <f t="shared" si="95"/>
        <v>275</v>
      </c>
      <c r="F77" s="30">
        <f>E77/C77</f>
        <v>0.6351039261</v>
      </c>
      <c r="G77" s="31">
        <f t="shared" ref="G77:I77" si="96">SUM(G71:G76)</f>
        <v>169</v>
      </c>
      <c r="H77" s="31">
        <f t="shared" si="96"/>
        <v>90</v>
      </c>
      <c r="I77" s="31">
        <f t="shared" si="96"/>
        <v>2</v>
      </c>
      <c r="J77" s="115">
        <f>H77/C77</f>
        <v>0.207852194</v>
      </c>
      <c r="K77" s="31">
        <f>SUM(K71:K76)</f>
        <v>142</v>
      </c>
      <c r="L77" s="116">
        <f>K77/C77</f>
        <v>0.3279445727</v>
      </c>
      <c r="M77" s="31">
        <f t="shared" ref="M77:N77" si="97">SUM(M71:M72)</f>
        <v>6</v>
      </c>
      <c r="N77" s="117">
        <f t="shared" si="97"/>
        <v>0.2727272727</v>
      </c>
      <c r="O77" s="118"/>
      <c r="P77" s="119">
        <f>AVERAGE(P71:P74)</f>
        <v>0.6694732561</v>
      </c>
      <c r="Q77" s="120"/>
      <c r="R77" s="3"/>
      <c r="S77" s="120"/>
      <c r="T77" s="3"/>
      <c r="U77" s="121"/>
      <c r="V77" s="120"/>
      <c r="W77" s="120"/>
      <c r="X77" s="3"/>
      <c r="Y77" s="120"/>
      <c r="Z77" s="120"/>
      <c r="AA77" s="120"/>
      <c r="AB77" s="120"/>
    </row>
    <row r="78">
      <c r="A78" s="6"/>
      <c r="F78" s="8"/>
      <c r="G78" s="38"/>
      <c r="J78" s="8"/>
      <c r="L78" s="8"/>
      <c r="N78" s="8"/>
      <c r="P78" s="8"/>
      <c r="R78" s="8"/>
      <c r="T78" s="8"/>
      <c r="X78" s="8"/>
    </row>
    <row r="79">
      <c r="A79" s="122"/>
      <c r="B79" s="123" t="s">
        <v>115</v>
      </c>
      <c r="C79" s="123">
        <f>SUM(C2:C77)/2</f>
        <v>4447</v>
      </c>
      <c r="D79" s="123">
        <f>G79+H79+I79</f>
        <v>4007</v>
      </c>
      <c r="E79" s="123">
        <f>SUM(E2:E77)/2</f>
        <v>3113</v>
      </c>
      <c r="F79" s="124">
        <f>E79/C79</f>
        <v>0.7000224871</v>
      </c>
      <c r="G79" s="123">
        <f t="shared" ref="G79:I79" si="98">SUM(G2:G77)/2</f>
        <v>2186</v>
      </c>
      <c r="H79" s="123">
        <f t="shared" si="98"/>
        <v>1759</v>
      </c>
      <c r="I79" s="123">
        <f t="shared" si="98"/>
        <v>62</v>
      </c>
      <c r="J79" s="124">
        <f>H79/C79</f>
        <v>0.3955475602</v>
      </c>
      <c r="K79" s="123">
        <f>SUM(K2:K77)/2</f>
        <v>1482</v>
      </c>
      <c r="L79" s="124">
        <f>AVERAGE(L2:L77)</f>
        <v>0.4229363271</v>
      </c>
      <c r="M79" s="123"/>
      <c r="N79" s="124">
        <f>AVERAGE(N2:N77)</f>
        <v>0.08284422748</v>
      </c>
      <c r="O79" s="123"/>
      <c r="P79" s="124">
        <f>AVERAGE(P2:P77)</f>
        <v>0.4403234829</v>
      </c>
      <c r="Q79" s="123"/>
      <c r="R79" s="124">
        <f>AVERAGE(R2:R77)</f>
        <v>0.4326954584</v>
      </c>
      <c r="S79" s="123">
        <f>SUM(S2:S77)/2</f>
        <v>461</v>
      </c>
      <c r="T79" s="125"/>
      <c r="U79" s="126">
        <f t="shared" ref="U79:V79" si="99">AVERAGE(U2:U77)</f>
        <v>13.03773585</v>
      </c>
      <c r="V79" s="126">
        <f t="shared" si="99"/>
        <v>18.15384615</v>
      </c>
      <c r="W79" s="123"/>
      <c r="X79" s="125"/>
      <c r="Y79" s="2"/>
      <c r="Z79" s="2"/>
      <c r="AA79" s="2"/>
    </row>
    <row r="80">
      <c r="A80" s="6"/>
      <c r="F80" s="8"/>
      <c r="G80" s="38"/>
      <c r="J80" s="8"/>
      <c r="L80" s="8"/>
      <c r="N80" s="8"/>
      <c r="P80" s="8"/>
      <c r="R80" s="8"/>
      <c r="T80" s="8"/>
      <c r="X80" s="8"/>
    </row>
    <row r="81">
      <c r="A81" s="127"/>
      <c r="B81" s="128"/>
      <c r="C81" s="129"/>
      <c r="D81" s="129"/>
      <c r="E81" s="129"/>
      <c r="F81" s="130"/>
      <c r="G81" s="129"/>
      <c r="H81" s="129"/>
      <c r="I81" s="129"/>
      <c r="J81" s="130"/>
      <c r="K81" s="129"/>
      <c r="L81" s="130"/>
      <c r="M81" s="129"/>
      <c r="N81" s="130"/>
      <c r="O81" s="129"/>
      <c r="P81" s="130"/>
      <c r="Q81" s="129"/>
      <c r="R81" s="130"/>
      <c r="S81" s="129"/>
      <c r="T81" s="129"/>
      <c r="U81" s="129"/>
      <c r="V81" s="129"/>
      <c r="W81" s="129"/>
      <c r="X81" s="130"/>
      <c r="Y81" s="129"/>
      <c r="Z81" s="129"/>
      <c r="AA81" s="129"/>
      <c r="AB81" s="129"/>
    </row>
    <row r="82">
      <c r="A82" s="6"/>
      <c r="F82" s="8"/>
      <c r="G82" s="38"/>
      <c r="J82" s="8"/>
      <c r="L82" s="8"/>
      <c r="N82" s="8"/>
      <c r="P82" s="8"/>
      <c r="R82" s="8"/>
      <c r="T82" s="10"/>
      <c r="X82" s="8"/>
    </row>
    <row r="83" ht="15.75" customHeight="1">
      <c r="A83" s="6"/>
      <c r="F83" s="8"/>
      <c r="G83" s="38"/>
      <c r="J83" s="8"/>
      <c r="L83" s="8"/>
      <c r="N83" s="8"/>
      <c r="P83" s="8"/>
      <c r="R83" s="8"/>
      <c r="T83" s="10"/>
      <c r="X83" s="8"/>
    </row>
    <row r="84" ht="15.75" customHeight="1">
      <c r="A84" s="6"/>
      <c r="F84" s="8"/>
      <c r="G84" s="38"/>
      <c r="J84" s="8"/>
      <c r="L84" s="8"/>
      <c r="N84" s="8"/>
      <c r="P84" s="8"/>
      <c r="R84" s="8"/>
      <c r="T84" s="10"/>
      <c r="X84" s="8"/>
    </row>
    <row r="85" ht="15.75" customHeight="1">
      <c r="A85" s="6"/>
      <c r="F85" s="8"/>
      <c r="G85" s="38"/>
      <c r="J85" s="8"/>
      <c r="L85" s="8"/>
      <c r="N85" s="8"/>
      <c r="P85" s="8"/>
      <c r="R85" s="8"/>
      <c r="T85" s="10"/>
      <c r="X85" s="8"/>
    </row>
    <row r="86" ht="15.75" customHeight="1">
      <c r="A86" s="6"/>
      <c r="F86" s="8"/>
      <c r="G86" s="38"/>
      <c r="J86" s="8"/>
      <c r="L86" s="8"/>
      <c r="N86" s="8"/>
      <c r="P86" s="8"/>
      <c r="R86" s="8"/>
      <c r="T86" s="10"/>
      <c r="X86" s="8"/>
    </row>
    <row r="87" ht="15.75" customHeight="1">
      <c r="A87" s="6"/>
      <c r="F87" s="8"/>
      <c r="G87" s="38"/>
      <c r="J87" s="8"/>
      <c r="L87" s="8"/>
      <c r="N87" s="8"/>
      <c r="P87" s="8"/>
      <c r="R87" s="8"/>
      <c r="T87" s="10"/>
      <c r="X87" s="8"/>
    </row>
    <row r="88" ht="15.75" customHeight="1">
      <c r="A88" s="6"/>
      <c r="F88" s="8"/>
      <c r="G88" s="38"/>
      <c r="J88" s="8"/>
      <c r="L88" s="8"/>
      <c r="N88" s="8"/>
      <c r="P88" s="8"/>
      <c r="R88" s="8"/>
      <c r="T88" s="10"/>
      <c r="X88" s="8"/>
    </row>
    <row r="89" ht="15.75" customHeight="1">
      <c r="A89" s="6"/>
      <c r="F89" s="8"/>
      <c r="G89" s="38"/>
      <c r="J89" s="8"/>
      <c r="L89" s="8"/>
      <c r="N89" s="8"/>
      <c r="P89" s="8"/>
      <c r="R89" s="8"/>
      <c r="T89" s="10"/>
      <c r="X89" s="8"/>
    </row>
    <row r="90" ht="15.75" customHeight="1">
      <c r="A90" s="6"/>
      <c r="F90" s="8"/>
      <c r="G90" s="38"/>
      <c r="J90" s="8"/>
      <c r="L90" s="8"/>
      <c r="N90" s="8"/>
      <c r="P90" s="8"/>
      <c r="R90" s="8"/>
      <c r="T90" s="10"/>
      <c r="X90" s="8"/>
    </row>
    <row r="91" ht="15.75" customHeight="1">
      <c r="A91" s="6"/>
      <c r="F91" s="8"/>
      <c r="G91" s="38"/>
      <c r="J91" s="8"/>
      <c r="L91" s="8"/>
      <c r="N91" s="8"/>
      <c r="P91" s="8"/>
      <c r="R91" s="8"/>
      <c r="T91" s="10"/>
      <c r="X91" s="8"/>
    </row>
    <row r="92" ht="15.75" customHeight="1">
      <c r="A92" s="6"/>
      <c r="F92" s="8"/>
      <c r="G92" s="38"/>
      <c r="J92" s="8"/>
      <c r="L92" s="8"/>
      <c r="N92" s="8"/>
      <c r="P92" s="8"/>
      <c r="R92" s="8"/>
      <c r="T92" s="10"/>
      <c r="X92" s="8"/>
    </row>
    <row r="93" ht="15.75" customHeight="1">
      <c r="A93" s="6"/>
      <c r="F93" s="8"/>
      <c r="G93" s="38"/>
      <c r="J93" s="8"/>
      <c r="L93" s="8"/>
      <c r="N93" s="8"/>
      <c r="P93" s="8"/>
      <c r="R93" s="8"/>
      <c r="T93" s="10"/>
      <c r="X93" s="8"/>
    </row>
    <row r="94" ht="15.75" customHeight="1">
      <c r="A94" s="6"/>
      <c r="F94" s="8"/>
      <c r="G94" s="38"/>
      <c r="J94" s="8"/>
      <c r="L94" s="8"/>
      <c r="N94" s="8"/>
      <c r="P94" s="8"/>
      <c r="R94" s="8"/>
      <c r="T94" s="10"/>
      <c r="X94" s="8"/>
    </row>
    <row r="95" ht="15.75" customHeight="1">
      <c r="A95" s="6"/>
      <c r="F95" s="8"/>
      <c r="G95" s="38"/>
      <c r="J95" s="8"/>
      <c r="L95" s="8"/>
      <c r="N95" s="8"/>
      <c r="P95" s="8"/>
      <c r="R95" s="8"/>
      <c r="T95" s="10"/>
      <c r="X95" s="8"/>
    </row>
    <row r="96" ht="15.75" customHeight="1">
      <c r="A96" s="6"/>
      <c r="F96" s="8"/>
      <c r="G96" s="38"/>
      <c r="J96" s="8"/>
      <c r="L96" s="8"/>
      <c r="N96" s="8"/>
      <c r="P96" s="8"/>
      <c r="R96" s="8"/>
      <c r="T96" s="10"/>
      <c r="X96" s="8"/>
    </row>
    <row r="97" ht="15.75" customHeight="1">
      <c r="A97" s="6"/>
      <c r="F97" s="8"/>
      <c r="G97" s="38"/>
      <c r="J97" s="8"/>
      <c r="L97" s="8"/>
      <c r="N97" s="8"/>
      <c r="P97" s="8"/>
      <c r="R97" s="8"/>
      <c r="T97" s="10"/>
      <c r="X97" s="8"/>
    </row>
    <row r="98" ht="15.75" customHeight="1">
      <c r="A98" s="6"/>
      <c r="F98" s="8"/>
      <c r="G98" s="38"/>
      <c r="J98" s="8"/>
      <c r="L98" s="8"/>
      <c r="N98" s="8"/>
      <c r="P98" s="8"/>
      <c r="R98" s="8"/>
      <c r="T98" s="10"/>
      <c r="X98" s="8"/>
    </row>
    <row r="99" ht="15.75" customHeight="1">
      <c r="A99" s="6"/>
      <c r="F99" s="8"/>
      <c r="G99" s="38"/>
      <c r="J99" s="8"/>
      <c r="L99" s="8"/>
      <c r="N99" s="8"/>
      <c r="P99" s="8"/>
      <c r="R99" s="8"/>
      <c r="T99" s="10"/>
      <c r="X99" s="8"/>
    </row>
    <row r="100" ht="15.75" customHeight="1">
      <c r="A100" s="6"/>
      <c r="F100" s="8"/>
      <c r="G100" s="38"/>
      <c r="J100" s="8"/>
      <c r="L100" s="8"/>
      <c r="N100" s="8"/>
      <c r="P100" s="8"/>
      <c r="R100" s="8"/>
      <c r="T100" s="10"/>
      <c r="X100" s="8"/>
    </row>
    <row r="101" ht="15.75" customHeight="1">
      <c r="A101" s="6"/>
      <c r="F101" s="8"/>
      <c r="G101" s="38"/>
      <c r="J101" s="8"/>
      <c r="L101" s="8"/>
      <c r="N101" s="8"/>
      <c r="P101" s="8"/>
      <c r="R101" s="8"/>
      <c r="T101" s="10"/>
      <c r="X101" s="8"/>
    </row>
    <row r="102" ht="15.75" customHeight="1">
      <c r="A102" s="6"/>
      <c r="F102" s="8"/>
      <c r="G102" s="38"/>
      <c r="J102" s="8"/>
      <c r="L102" s="8"/>
      <c r="N102" s="8"/>
      <c r="P102" s="8"/>
      <c r="R102" s="8"/>
      <c r="T102" s="10"/>
      <c r="X102" s="8"/>
    </row>
    <row r="103" ht="15.75" customHeight="1">
      <c r="A103" s="6"/>
      <c r="F103" s="8"/>
      <c r="G103" s="38"/>
      <c r="J103" s="8"/>
      <c r="L103" s="8"/>
      <c r="N103" s="8"/>
      <c r="P103" s="8"/>
      <c r="R103" s="8"/>
      <c r="T103" s="10"/>
      <c r="X103" s="8"/>
    </row>
    <row r="104" ht="15.75" customHeight="1">
      <c r="A104" s="6"/>
      <c r="F104" s="8"/>
      <c r="G104" s="38"/>
      <c r="J104" s="8"/>
      <c r="L104" s="8"/>
      <c r="N104" s="8"/>
      <c r="P104" s="8"/>
      <c r="R104" s="8"/>
      <c r="T104" s="10"/>
      <c r="X104" s="8"/>
    </row>
    <row r="105" ht="15.75" customHeight="1">
      <c r="A105" s="6"/>
      <c r="F105" s="8"/>
      <c r="G105" s="38"/>
      <c r="J105" s="8"/>
      <c r="L105" s="8"/>
      <c r="N105" s="8"/>
      <c r="P105" s="8"/>
      <c r="R105" s="8"/>
      <c r="T105" s="10"/>
      <c r="X105" s="8"/>
    </row>
    <row r="106" ht="15.75" customHeight="1">
      <c r="A106" s="6"/>
      <c r="F106" s="8"/>
      <c r="G106" s="38"/>
      <c r="J106" s="8"/>
      <c r="L106" s="8"/>
      <c r="N106" s="8"/>
      <c r="P106" s="8"/>
      <c r="R106" s="8"/>
      <c r="T106" s="10"/>
      <c r="X106" s="8"/>
    </row>
    <row r="107" ht="15.75" customHeight="1">
      <c r="A107" s="6"/>
      <c r="F107" s="8"/>
      <c r="G107" s="38"/>
      <c r="J107" s="8"/>
      <c r="L107" s="8"/>
      <c r="N107" s="8"/>
      <c r="P107" s="8"/>
      <c r="R107" s="8"/>
      <c r="T107" s="10"/>
      <c r="X107" s="8"/>
    </row>
    <row r="108" ht="15.75" customHeight="1">
      <c r="A108" s="6"/>
      <c r="F108" s="8"/>
      <c r="G108" s="38"/>
      <c r="J108" s="8"/>
      <c r="L108" s="8"/>
      <c r="N108" s="8"/>
      <c r="P108" s="8"/>
      <c r="R108" s="8"/>
      <c r="T108" s="10"/>
      <c r="X108" s="8"/>
    </row>
    <row r="109" ht="15.75" customHeight="1">
      <c r="A109" s="6"/>
      <c r="F109" s="8"/>
      <c r="G109" s="38"/>
      <c r="J109" s="8"/>
      <c r="L109" s="8"/>
      <c r="N109" s="8"/>
      <c r="P109" s="8"/>
      <c r="R109" s="8"/>
      <c r="T109" s="10"/>
      <c r="X109" s="8"/>
    </row>
    <row r="110" ht="15.75" customHeight="1">
      <c r="A110" s="6"/>
      <c r="F110" s="8"/>
      <c r="G110" s="38"/>
      <c r="J110" s="8"/>
      <c r="L110" s="8"/>
      <c r="N110" s="8"/>
      <c r="P110" s="8"/>
      <c r="R110" s="8"/>
      <c r="T110" s="10"/>
      <c r="X110" s="8"/>
    </row>
    <row r="111" ht="15.75" customHeight="1">
      <c r="A111" s="6"/>
      <c r="F111" s="8"/>
      <c r="G111" s="38"/>
      <c r="J111" s="8"/>
      <c r="L111" s="8"/>
      <c r="N111" s="8"/>
      <c r="P111" s="8"/>
      <c r="R111" s="8"/>
      <c r="T111" s="10"/>
      <c r="X111" s="8"/>
    </row>
    <row r="112" ht="15.75" customHeight="1">
      <c r="A112" s="6"/>
      <c r="F112" s="8"/>
      <c r="G112" s="38"/>
      <c r="J112" s="8"/>
      <c r="L112" s="8"/>
      <c r="N112" s="8"/>
      <c r="P112" s="8"/>
      <c r="R112" s="8"/>
      <c r="T112" s="10"/>
      <c r="X112" s="8"/>
    </row>
    <row r="113" ht="15.75" customHeight="1">
      <c r="A113" s="6"/>
      <c r="F113" s="8"/>
      <c r="G113" s="38"/>
      <c r="J113" s="8"/>
      <c r="L113" s="8"/>
      <c r="N113" s="8"/>
      <c r="P113" s="8"/>
      <c r="R113" s="8"/>
      <c r="T113" s="10"/>
      <c r="X113" s="8"/>
    </row>
    <row r="114" ht="15.75" customHeight="1">
      <c r="A114" s="6"/>
      <c r="F114" s="8"/>
      <c r="G114" s="38"/>
      <c r="J114" s="8"/>
      <c r="L114" s="8"/>
      <c r="N114" s="8"/>
      <c r="P114" s="8"/>
      <c r="R114" s="8"/>
      <c r="T114" s="10"/>
      <c r="X114" s="8"/>
    </row>
    <row r="115" ht="15.75" customHeight="1">
      <c r="A115" s="6"/>
      <c r="F115" s="8"/>
      <c r="G115" s="38"/>
      <c r="J115" s="8"/>
      <c r="L115" s="8"/>
      <c r="N115" s="8"/>
      <c r="P115" s="8"/>
      <c r="R115" s="8"/>
      <c r="T115" s="10"/>
      <c r="X115" s="8"/>
    </row>
    <row r="116" ht="15.75" customHeight="1">
      <c r="A116" s="6"/>
      <c r="F116" s="8"/>
      <c r="G116" s="38"/>
      <c r="J116" s="8"/>
      <c r="L116" s="8"/>
      <c r="N116" s="8"/>
      <c r="P116" s="8"/>
      <c r="R116" s="8"/>
      <c r="T116" s="10"/>
      <c r="X116" s="8"/>
    </row>
    <row r="117" ht="15.75" customHeight="1">
      <c r="A117" s="6"/>
      <c r="F117" s="8"/>
      <c r="G117" s="38"/>
      <c r="J117" s="8"/>
      <c r="L117" s="8"/>
      <c r="N117" s="8"/>
      <c r="P117" s="8"/>
      <c r="R117" s="8"/>
      <c r="T117" s="10"/>
      <c r="X117" s="8"/>
    </row>
    <row r="118" ht="15.75" customHeight="1">
      <c r="A118" s="6"/>
      <c r="F118" s="8"/>
      <c r="G118" s="38"/>
      <c r="J118" s="8"/>
      <c r="L118" s="8"/>
      <c r="N118" s="8"/>
      <c r="P118" s="8"/>
      <c r="R118" s="8"/>
      <c r="T118" s="10"/>
      <c r="X118" s="8"/>
    </row>
    <row r="119" ht="15.75" customHeight="1">
      <c r="A119" s="6"/>
      <c r="F119" s="8"/>
      <c r="G119" s="38"/>
      <c r="J119" s="8"/>
      <c r="L119" s="8"/>
      <c r="N119" s="8"/>
      <c r="P119" s="8"/>
      <c r="R119" s="8"/>
      <c r="T119" s="10"/>
      <c r="X119" s="8"/>
    </row>
    <row r="120" ht="15.75" customHeight="1">
      <c r="A120" s="6"/>
      <c r="F120" s="8"/>
      <c r="G120" s="38"/>
      <c r="J120" s="8"/>
      <c r="L120" s="8"/>
      <c r="N120" s="8"/>
      <c r="P120" s="8"/>
      <c r="R120" s="8"/>
      <c r="T120" s="10"/>
      <c r="X120" s="8"/>
    </row>
    <row r="121" ht="15.75" customHeight="1">
      <c r="A121" s="6"/>
      <c r="F121" s="8"/>
      <c r="G121" s="38"/>
      <c r="J121" s="8"/>
      <c r="L121" s="8"/>
      <c r="N121" s="8"/>
      <c r="P121" s="8"/>
      <c r="R121" s="8"/>
      <c r="T121" s="10"/>
      <c r="X121" s="8"/>
    </row>
    <row r="122" ht="15.75" customHeight="1">
      <c r="A122" s="6"/>
      <c r="F122" s="8"/>
      <c r="G122" s="38"/>
      <c r="J122" s="8"/>
      <c r="L122" s="8"/>
      <c r="N122" s="8"/>
      <c r="P122" s="8"/>
      <c r="R122" s="8"/>
      <c r="T122" s="10"/>
      <c r="X122" s="8"/>
    </row>
    <row r="123" ht="15.75" customHeight="1">
      <c r="A123" s="6"/>
      <c r="F123" s="8"/>
      <c r="G123" s="38"/>
      <c r="J123" s="8"/>
      <c r="L123" s="8"/>
      <c r="N123" s="8"/>
      <c r="P123" s="8"/>
      <c r="R123" s="8"/>
      <c r="T123" s="10"/>
      <c r="X123" s="8"/>
    </row>
    <row r="124" ht="15.75" customHeight="1">
      <c r="A124" s="6"/>
      <c r="F124" s="8"/>
      <c r="G124" s="38"/>
      <c r="J124" s="8"/>
      <c r="L124" s="8"/>
      <c r="N124" s="8"/>
      <c r="P124" s="8"/>
      <c r="R124" s="8"/>
      <c r="T124" s="10"/>
      <c r="X124" s="8"/>
    </row>
    <row r="125" ht="15.75" customHeight="1">
      <c r="A125" s="6"/>
      <c r="F125" s="8"/>
      <c r="G125" s="38"/>
      <c r="J125" s="8"/>
      <c r="L125" s="8"/>
      <c r="N125" s="8"/>
      <c r="P125" s="8"/>
      <c r="R125" s="8"/>
      <c r="T125" s="10"/>
      <c r="X125" s="8"/>
    </row>
    <row r="126" ht="15.75" customHeight="1">
      <c r="A126" s="6"/>
      <c r="F126" s="8"/>
      <c r="G126" s="38"/>
      <c r="J126" s="8"/>
      <c r="L126" s="8"/>
      <c r="N126" s="8"/>
      <c r="P126" s="8"/>
      <c r="R126" s="8"/>
      <c r="T126" s="10"/>
      <c r="X126" s="8"/>
    </row>
    <row r="127" ht="15.75" customHeight="1">
      <c r="A127" s="6"/>
      <c r="F127" s="8"/>
      <c r="G127" s="38"/>
      <c r="J127" s="8"/>
      <c r="L127" s="8"/>
      <c r="N127" s="8"/>
      <c r="P127" s="8"/>
      <c r="R127" s="8"/>
      <c r="T127" s="10"/>
      <c r="X127" s="8"/>
    </row>
    <row r="128" ht="15.75" customHeight="1">
      <c r="A128" s="6"/>
      <c r="F128" s="8"/>
      <c r="G128" s="38"/>
      <c r="J128" s="8"/>
      <c r="L128" s="8"/>
      <c r="N128" s="8"/>
      <c r="P128" s="8"/>
      <c r="R128" s="8"/>
      <c r="T128" s="10"/>
      <c r="X128" s="8"/>
    </row>
    <row r="129" ht="15.75" customHeight="1">
      <c r="A129" s="6"/>
      <c r="F129" s="8"/>
      <c r="G129" s="38"/>
      <c r="J129" s="8"/>
      <c r="L129" s="8"/>
      <c r="N129" s="8"/>
      <c r="P129" s="8"/>
      <c r="R129" s="8"/>
      <c r="T129" s="10"/>
      <c r="X129" s="8"/>
    </row>
    <row r="130" ht="15.75" customHeight="1">
      <c r="A130" s="6"/>
      <c r="F130" s="8"/>
      <c r="G130" s="38"/>
      <c r="J130" s="8"/>
      <c r="L130" s="8"/>
      <c r="N130" s="8"/>
      <c r="P130" s="8"/>
      <c r="R130" s="8"/>
      <c r="T130" s="10"/>
      <c r="X130" s="8"/>
    </row>
    <row r="131" ht="15.75" customHeight="1">
      <c r="A131" s="6"/>
      <c r="F131" s="8"/>
      <c r="G131" s="38"/>
      <c r="J131" s="8"/>
      <c r="L131" s="8"/>
      <c r="N131" s="8"/>
      <c r="P131" s="8"/>
      <c r="R131" s="8"/>
      <c r="T131" s="10"/>
      <c r="X131" s="8"/>
    </row>
    <row r="132" ht="15.75" customHeight="1">
      <c r="A132" s="6"/>
      <c r="F132" s="8"/>
      <c r="G132" s="38"/>
      <c r="J132" s="8"/>
      <c r="L132" s="8"/>
      <c r="N132" s="8"/>
      <c r="P132" s="8"/>
      <c r="R132" s="8"/>
      <c r="T132" s="10"/>
      <c r="X132" s="8"/>
    </row>
    <row r="133" ht="15.75" customHeight="1">
      <c r="A133" s="6"/>
      <c r="F133" s="8"/>
      <c r="G133" s="38"/>
      <c r="J133" s="8"/>
      <c r="L133" s="8"/>
      <c r="N133" s="8"/>
      <c r="P133" s="8"/>
      <c r="R133" s="8"/>
      <c r="T133" s="10"/>
      <c r="X133" s="8"/>
    </row>
    <row r="134" ht="15.75" customHeight="1">
      <c r="A134" s="6"/>
      <c r="F134" s="8"/>
      <c r="G134" s="38"/>
      <c r="J134" s="8"/>
      <c r="L134" s="8"/>
      <c r="N134" s="8"/>
      <c r="P134" s="8"/>
      <c r="R134" s="8"/>
      <c r="T134" s="10"/>
      <c r="X134" s="8"/>
    </row>
    <row r="135" ht="15.75" customHeight="1">
      <c r="A135" s="6"/>
      <c r="F135" s="8"/>
      <c r="G135" s="38"/>
      <c r="J135" s="8"/>
      <c r="L135" s="8"/>
      <c r="N135" s="8"/>
      <c r="P135" s="8"/>
      <c r="R135" s="8"/>
      <c r="T135" s="10"/>
      <c r="X135" s="8"/>
    </row>
    <row r="136" ht="15.75" customHeight="1">
      <c r="A136" s="6"/>
      <c r="F136" s="8"/>
      <c r="G136" s="38"/>
      <c r="J136" s="8"/>
      <c r="L136" s="8"/>
      <c r="N136" s="8"/>
      <c r="P136" s="8"/>
      <c r="R136" s="8"/>
      <c r="T136" s="10"/>
      <c r="X136" s="8"/>
    </row>
    <row r="137" ht="15.75" customHeight="1">
      <c r="A137" s="6"/>
      <c r="F137" s="8"/>
      <c r="G137" s="38"/>
      <c r="J137" s="8"/>
      <c r="L137" s="8"/>
      <c r="N137" s="8"/>
      <c r="P137" s="8"/>
      <c r="R137" s="8"/>
      <c r="T137" s="10"/>
      <c r="X137" s="8"/>
    </row>
    <row r="138" ht="15.75" customHeight="1">
      <c r="A138" s="6"/>
      <c r="F138" s="8"/>
      <c r="G138" s="38"/>
      <c r="J138" s="8"/>
      <c r="L138" s="8"/>
      <c r="N138" s="8"/>
      <c r="P138" s="8"/>
      <c r="R138" s="8"/>
      <c r="T138" s="10"/>
      <c r="X138" s="8"/>
    </row>
    <row r="139" ht="15.75" customHeight="1">
      <c r="A139" s="6"/>
      <c r="F139" s="8"/>
      <c r="G139" s="38"/>
      <c r="J139" s="8"/>
      <c r="L139" s="8"/>
      <c r="N139" s="8"/>
      <c r="P139" s="8"/>
      <c r="R139" s="8"/>
      <c r="T139" s="10"/>
      <c r="X139" s="8"/>
    </row>
    <row r="140" ht="15.75" customHeight="1">
      <c r="A140" s="6"/>
      <c r="F140" s="8"/>
      <c r="G140" s="38"/>
      <c r="J140" s="8"/>
      <c r="L140" s="8"/>
      <c r="N140" s="8"/>
      <c r="P140" s="8"/>
      <c r="R140" s="8"/>
      <c r="T140" s="10"/>
      <c r="X140" s="8"/>
    </row>
    <row r="141" ht="15.75" customHeight="1">
      <c r="A141" s="6"/>
      <c r="F141" s="8"/>
      <c r="G141" s="38"/>
      <c r="J141" s="8"/>
      <c r="L141" s="8"/>
      <c r="N141" s="8"/>
      <c r="P141" s="8"/>
      <c r="R141" s="8"/>
      <c r="T141" s="10"/>
      <c r="X141" s="8"/>
    </row>
    <row r="142" ht="15.75" customHeight="1">
      <c r="A142" s="6"/>
      <c r="F142" s="8"/>
      <c r="G142" s="38"/>
      <c r="J142" s="8"/>
      <c r="L142" s="8"/>
      <c r="N142" s="8"/>
      <c r="P142" s="8"/>
      <c r="R142" s="8"/>
      <c r="T142" s="10"/>
      <c r="X142" s="8"/>
    </row>
    <row r="143" ht="15.75" customHeight="1">
      <c r="A143" s="6"/>
      <c r="F143" s="8"/>
      <c r="G143" s="38"/>
      <c r="J143" s="8"/>
      <c r="L143" s="8"/>
      <c r="N143" s="8"/>
      <c r="P143" s="8"/>
      <c r="R143" s="8"/>
      <c r="T143" s="10"/>
      <c r="X143" s="8"/>
    </row>
    <row r="144" ht="15.75" customHeight="1">
      <c r="A144" s="6"/>
      <c r="F144" s="8"/>
      <c r="G144" s="38"/>
      <c r="J144" s="8"/>
      <c r="L144" s="8"/>
      <c r="N144" s="8"/>
      <c r="P144" s="8"/>
      <c r="R144" s="8"/>
      <c r="T144" s="10"/>
      <c r="X144" s="8"/>
    </row>
    <row r="145" ht="15.75" customHeight="1">
      <c r="A145" s="6"/>
      <c r="F145" s="8"/>
      <c r="G145" s="38"/>
      <c r="J145" s="8"/>
      <c r="L145" s="8"/>
      <c r="N145" s="8"/>
      <c r="P145" s="8"/>
      <c r="R145" s="8"/>
      <c r="T145" s="10"/>
      <c r="X145" s="8"/>
    </row>
    <row r="146" ht="15.75" customHeight="1">
      <c r="A146" s="6"/>
      <c r="F146" s="8"/>
      <c r="G146" s="38"/>
      <c r="J146" s="8"/>
      <c r="L146" s="8"/>
      <c r="N146" s="8"/>
      <c r="P146" s="8"/>
      <c r="R146" s="8"/>
      <c r="T146" s="10"/>
      <c r="X146" s="8"/>
    </row>
    <row r="147" ht="15.75" customHeight="1">
      <c r="A147" s="6"/>
      <c r="F147" s="8"/>
      <c r="G147" s="38"/>
      <c r="J147" s="8"/>
      <c r="L147" s="8"/>
      <c r="N147" s="8"/>
      <c r="P147" s="8"/>
      <c r="R147" s="8"/>
      <c r="T147" s="10"/>
      <c r="X147" s="8"/>
    </row>
    <row r="148" ht="15.75" customHeight="1">
      <c r="A148" s="6"/>
      <c r="F148" s="8"/>
      <c r="G148" s="38"/>
      <c r="J148" s="8"/>
      <c r="L148" s="8"/>
      <c r="N148" s="8"/>
      <c r="P148" s="8"/>
      <c r="R148" s="8"/>
      <c r="T148" s="10"/>
      <c r="X148" s="8"/>
    </row>
    <row r="149" ht="15.75" customHeight="1">
      <c r="A149" s="6"/>
      <c r="F149" s="8"/>
      <c r="G149" s="38"/>
      <c r="J149" s="8"/>
      <c r="L149" s="8"/>
      <c r="N149" s="8"/>
      <c r="P149" s="8"/>
      <c r="R149" s="8"/>
      <c r="T149" s="10"/>
      <c r="X149" s="8"/>
    </row>
    <row r="150" ht="15.75" customHeight="1">
      <c r="A150" s="6"/>
      <c r="F150" s="8"/>
      <c r="G150" s="38"/>
      <c r="J150" s="8"/>
      <c r="L150" s="8"/>
      <c r="N150" s="8"/>
      <c r="P150" s="8"/>
      <c r="R150" s="8"/>
      <c r="T150" s="10"/>
      <c r="X150" s="8"/>
    </row>
    <row r="151" ht="15.75" customHeight="1">
      <c r="A151" s="6"/>
      <c r="F151" s="8"/>
      <c r="G151" s="38"/>
      <c r="J151" s="8"/>
      <c r="L151" s="8"/>
      <c r="N151" s="8"/>
      <c r="P151" s="8"/>
      <c r="R151" s="8"/>
      <c r="T151" s="10"/>
      <c r="X151" s="8"/>
    </row>
    <row r="152" ht="15.75" customHeight="1">
      <c r="A152" s="6"/>
      <c r="F152" s="8"/>
      <c r="G152" s="38"/>
      <c r="J152" s="8"/>
      <c r="L152" s="8"/>
      <c r="N152" s="8"/>
      <c r="P152" s="8"/>
      <c r="R152" s="8"/>
      <c r="T152" s="10"/>
      <c r="X152" s="8"/>
    </row>
    <row r="153" ht="15.75" customHeight="1">
      <c r="A153" s="6"/>
      <c r="F153" s="8"/>
      <c r="G153" s="38"/>
      <c r="J153" s="8"/>
      <c r="L153" s="8"/>
      <c r="N153" s="8"/>
      <c r="P153" s="8"/>
      <c r="R153" s="8"/>
      <c r="T153" s="10"/>
      <c r="X153" s="8"/>
    </row>
    <row r="154" ht="15.75" customHeight="1">
      <c r="A154" s="6"/>
      <c r="F154" s="8"/>
      <c r="G154" s="38"/>
      <c r="J154" s="8"/>
      <c r="L154" s="8"/>
      <c r="N154" s="8"/>
      <c r="P154" s="8"/>
      <c r="R154" s="8"/>
      <c r="T154" s="10"/>
      <c r="X154" s="8"/>
    </row>
    <row r="155" ht="15.75" customHeight="1">
      <c r="A155" s="6"/>
      <c r="F155" s="8"/>
      <c r="G155" s="38"/>
      <c r="J155" s="8"/>
      <c r="L155" s="8"/>
      <c r="N155" s="8"/>
      <c r="P155" s="8"/>
      <c r="R155" s="8"/>
      <c r="T155" s="10"/>
      <c r="X155" s="8"/>
    </row>
    <row r="156" ht="15.75" customHeight="1">
      <c r="A156" s="6"/>
      <c r="F156" s="8"/>
      <c r="G156" s="38"/>
      <c r="J156" s="8"/>
      <c r="L156" s="8"/>
      <c r="N156" s="8"/>
      <c r="P156" s="8"/>
      <c r="R156" s="8"/>
      <c r="T156" s="10"/>
      <c r="X156" s="8"/>
    </row>
    <row r="157" ht="15.75" customHeight="1">
      <c r="A157" s="6"/>
      <c r="F157" s="8"/>
      <c r="G157" s="38"/>
      <c r="J157" s="8"/>
      <c r="L157" s="8"/>
      <c r="N157" s="8"/>
      <c r="P157" s="8"/>
      <c r="R157" s="8"/>
      <c r="T157" s="10"/>
      <c r="X157" s="8"/>
    </row>
    <row r="158" ht="15.75" customHeight="1">
      <c r="A158" s="6"/>
      <c r="F158" s="8"/>
      <c r="G158" s="38"/>
      <c r="J158" s="8"/>
      <c r="L158" s="8"/>
      <c r="N158" s="8"/>
      <c r="P158" s="8"/>
      <c r="R158" s="8"/>
      <c r="T158" s="10"/>
      <c r="X158" s="8"/>
    </row>
    <row r="159" ht="15.75" customHeight="1">
      <c r="A159" s="6"/>
      <c r="F159" s="8"/>
      <c r="G159" s="38"/>
      <c r="J159" s="8"/>
      <c r="L159" s="8"/>
      <c r="N159" s="8"/>
      <c r="P159" s="8"/>
      <c r="R159" s="8"/>
      <c r="T159" s="10"/>
      <c r="X159" s="8"/>
    </row>
    <row r="160" ht="15.75" customHeight="1">
      <c r="A160" s="6"/>
      <c r="F160" s="8"/>
      <c r="G160" s="38"/>
      <c r="J160" s="8"/>
      <c r="L160" s="8"/>
      <c r="N160" s="8"/>
      <c r="P160" s="8"/>
      <c r="R160" s="8"/>
      <c r="T160" s="10"/>
      <c r="X160" s="8"/>
    </row>
    <row r="161" ht="15.75" customHeight="1">
      <c r="A161" s="6"/>
      <c r="F161" s="8"/>
      <c r="G161" s="38"/>
      <c r="J161" s="8"/>
      <c r="L161" s="8"/>
      <c r="N161" s="8"/>
      <c r="P161" s="8"/>
      <c r="R161" s="8"/>
      <c r="T161" s="10"/>
      <c r="X161" s="8"/>
    </row>
    <row r="162" ht="15.75" customHeight="1">
      <c r="A162" s="6"/>
      <c r="F162" s="8"/>
      <c r="G162" s="38"/>
      <c r="J162" s="8"/>
      <c r="L162" s="8"/>
      <c r="N162" s="8"/>
      <c r="P162" s="8"/>
      <c r="R162" s="8"/>
      <c r="T162" s="10"/>
      <c r="X162" s="8"/>
    </row>
    <row r="163" ht="15.75" customHeight="1">
      <c r="A163" s="6"/>
      <c r="F163" s="8"/>
      <c r="G163" s="38"/>
      <c r="J163" s="8"/>
      <c r="L163" s="8"/>
      <c r="N163" s="8"/>
      <c r="P163" s="8"/>
      <c r="R163" s="8"/>
      <c r="T163" s="10"/>
      <c r="X163" s="8"/>
    </row>
    <row r="164" ht="15.75" customHeight="1">
      <c r="A164" s="6"/>
      <c r="F164" s="8"/>
      <c r="G164" s="38"/>
      <c r="J164" s="8"/>
      <c r="L164" s="8"/>
      <c r="N164" s="8"/>
      <c r="P164" s="8"/>
      <c r="R164" s="8"/>
      <c r="T164" s="10"/>
      <c r="X164" s="8"/>
    </row>
    <row r="165" ht="15.75" customHeight="1">
      <c r="A165" s="6"/>
      <c r="F165" s="8"/>
      <c r="G165" s="38"/>
      <c r="J165" s="8"/>
      <c r="L165" s="8"/>
      <c r="N165" s="8"/>
      <c r="P165" s="8"/>
      <c r="R165" s="8"/>
      <c r="T165" s="10"/>
      <c r="X165" s="8"/>
    </row>
    <row r="166" ht="15.75" customHeight="1">
      <c r="A166" s="6"/>
      <c r="F166" s="8"/>
      <c r="G166" s="38"/>
      <c r="J166" s="8"/>
      <c r="L166" s="8"/>
      <c r="N166" s="8"/>
      <c r="P166" s="8"/>
      <c r="R166" s="8"/>
      <c r="T166" s="10"/>
      <c r="X166" s="8"/>
    </row>
    <row r="167" ht="15.75" customHeight="1">
      <c r="A167" s="6"/>
      <c r="F167" s="8"/>
      <c r="G167" s="38"/>
      <c r="J167" s="8"/>
      <c r="L167" s="8"/>
      <c r="N167" s="8"/>
      <c r="P167" s="8"/>
      <c r="R167" s="8"/>
      <c r="T167" s="10"/>
      <c r="X167" s="8"/>
    </row>
    <row r="168" ht="15.75" customHeight="1">
      <c r="A168" s="6"/>
      <c r="F168" s="8"/>
      <c r="G168" s="38"/>
      <c r="J168" s="8"/>
      <c r="L168" s="8"/>
      <c r="N168" s="8"/>
      <c r="P168" s="8"/>
      <c r="R168" s="8"/>
      <c r="T168" s="10"/>
      <c r="X168" s="8"/>
    </row>
    <row r="169" ht="15.75" customHeight="1">
      <c r="A169" s="6"/>
      <c r="F169" s="8"/>
      <c r="G169" s="38"/>
      <c r="J169" s="8"/>
      <c r="L169" s="8"/>
      <c r="N169" s="8"/>
      <c r="P169" s="8"/>
      <c r="R169" s="8"/>
      <c r="T169" s="10"/>
      <c r="X169" s="8"/>
    </row>
    <row r="170" ht="15.75" customHeight="1">
      <c r="A170" s="6"/>
      <c r="F170" s="8"/>
      <c r="G170" s="38"/>
      <c r="J170" s="8"/>
      <c r="L170" s="8"/>
      <c r="N170" s="8"/>
      <c r="P170" s="8"/>
      <c r="R170" s="8"/>
      <c r="T170" s="10"/>
      <c r="X170" s="8"/>
    </row>
    <row r="171" ht="15.75" customHeight="1">
      <c r="A171" s="6"/>
      <c r="F171" s="8"/>
      <c r="G171" s="38"/>
      <c r="J171" s="8"/>
      <c r="L171" s="8"/>
      <c r="N171" s="8"/>
      <c r="P171" s="8"/>
      <c r="R171" s="8"/>
      <c r="T171" s="10"/>
      <c r="X171" s="8"/>
    </row>
    <row r="172" ht="15.75" customHeight="1">
      <c r="A172" s="6"/>
      <c r="F172" s="8"/>
      <c r="G172" s="38"/>
      <c r="J172" s="8"/>
      <c r="L172" s="8"/>
      <c r="N172" s="8"/>
      <c r="P172" s="8"/>
      <c r="R172" s="8"/>
      <c r="T172" s="10"/>
      <c r="X172" s="8"/>
    </row>
    <row r="173" ht="15.75" customHeight="1">
      <c r="A173" s="6"/>
      <c r="F173" s="8"/>
      <c r="G173" s="38"/>
      <c r="J173" s="8"/>
      <c r="L173" s="8"/>
      <c r="N173" s="8"/>
      <c r="P173" s="8"/>
      <c r="R173" s="8"/>
      <c r="T173" s="10"/>
      <c r="X173" s="8"/>
    </row>
    <row r="174" ht="15.75" customHeight="1">
      <c r="A174" s="6"/>
      <c r="F174" s="8"/>
      <c r="G174" s="38"/>
      <c r="J174" s="8"/>
      <c r="L174" s="8"/>
      <c r="N174" s="8"/>
      <c r="P174" s="8"/>
      <c r="R174" s="8"/>
      <c r="T174" s="10"/>
      <c r="X174" s="8"/>
    </row>
    <row r="175" ht="15.75" customHeight="1">
      <c r="A175" s="6"/>
      <c r="F175" s="8"/>
      <c r="G175" s="38"/>
      <c r="J175" s="8"/>
      <c r="L175" s="8"/>
      <c r="N175" s="8"/>
      <c r="P175" s="8"/>
      <c r="R175" s="8"/>
      <c r="T175" s="10"/>
      <c r="X175" s="8"/>
    </row>
    <row r="176" ht="15.75" customHeight="1">
      <c r="A176" s="6"/>
      <c r="F176" s="8"/>
      <c r="G176" s="38"/>
      <c r="J176" s="8"/>
      <c r="L176" s="8"/>
      <c r="N176" s="8"/>
      <c r="P176" s="8"/>
      <c r="R176" s="8"/>
      <c r="T176" s="10"/>
      <c r="X176" s="8"/>
    </row>
    <row r="177" ht="15.75" customHeight="1">
      <c r="A177" s="6"/>
      <c r="F177" s="8"/>
      <c r="G177" s="38"/>
      <c r="J177" s="8"/>
      <c r="L177" s="8"/>
      <c r="N177" s="8"/>
      <c r="P177" s="8"/>
      <c r="R177" s="8"/>
      <c r="T177" s="10"/>
      <c r="X177" s="8"/>
    </row>
    <row r="178" ht="15.75" customHeight="1">
      <c r="A178" s="6"/>
      <c r="F178" s="8"/>
      <c r="G178" s="38"/>
      <c r="J178" s="8"/>
      <c r="L178" s="8"/>
      <c r="N178" s="8"/>
      <c r="P178" s="8"/>
      <c r="R178" s="8"/>
      <c r="T178" s="10"/>
      <c r="X178" s="8"/>
    </row>
    <row r="179" ht="15.75" customHeight="1">
      <c r="A179" s="6"/>
      <c r="F179" s="8"/>
      <c r="G179" s="38"/>
      <c r="J179" s="8"/>
      <c r="L179" s="8"/>
      <c r="N179" s="8"/>
      <c r="P179" s="8"/>
      <c r="R179" s="8"/>
      <c r="T179" s="10"/>
      <c r="X179" s="8"/>
    </row>
    <row r="180" ht="15.75" customHeight="1">
      <c r="A180" s="6"/>
      <c r="F180" s="8"/>
      <c r="G180" s="38"/>
      <c r="J180" s="8"/>
      <c r="L180" s="8"/>
      <c r="N180" s="8"/>
      <c r="P180" s="8"/>
      <c r="R180" s="8"/>
      <c r="T180" s="10"/>
      <c r="X180" s="8"/>
    </row>
    <row r="181" ht="15.75" customHeight="1">
      <c r="A181" s="6"/>
      <c r="F181" s="8"/>
      <c r="G181" s="38"/>
      <c r="J181" s="8"/>
      <c r="L181" s="8"/>
      <c r="N181" s="8"/>
      <c r="P181" s="8"/>
      <c r="R181" s="8"/>
      <c r="T181" s="10"/>
      <c r="X181" s="8"/>
    </row>
    <row r="182" ht="15.75" customHeight="1">
      <c r="A182" s="6"/>
      <c r="F182" s="8"/>
      <c r="G182" s="38"/>
      <c r="J182" s="8"/>
      <c r="L182" s="8"/>
      <c r="N182" s="8"/>
      <c r="P182" s="8"/>
      <c r="R182" s="8"/>
      <c r="T182" s="10"/>
      <c r="X182" s="8"/>
    </row>
    <row r="183" ht="15.75" customHeight="1">
      <c r="A183" s="6"/>
      <c r="F183" s="8"/>
      <c r="G183" s="38"/>
      <c r="J183" s="8"/>
      <c r="L183" s="8"/>
      <c r="N183" s="8"/>
      <c r="P183" s="8"/>
      <c r="R183" s="8"/>
      <c r="T183" s="10"/>
      <c r="X183" s="8"/>
    </row>
    <row r="184" ht="15.75" customHeight="1">
      <c r="A184" s="6"/>
      <c r="F184" s="8"/>
      <c r="G184" s="38"/>
      <c r="J184" s="8"/>
      <c r="L184" s="8"/>
      <c r="N184" s="8"/>
      <c r="P184" s="8"/>
      <c r="R184" s="8"/>
      <c r="T184" s="10"/>
      <c r="X184" s="8"/>
    </row>
    <row r="185" ht="15.75" customHeight="1">
      <c r="A185" s="6"/>
      <c r="F185" s="8"/>
      <c r="G185" s="38"/>
      <c r="J185" s="8"/>
      <c r="L185" s="8"/>
      <c r="N185" s="8"/>
      <c r="P185" s="8"/>
      <c r="R185" s="8"/>
      <c r="T185" s="10"/>
      <c r="X185" s="8"/>
    </row>
    <row r="186" ht="15.75" customHeight="1">
      <c r="A186" s="6"/>
      <c r="F186" s="8"/>
      <c r="G186" s="38"/>
      <c r="J186" s="8"/>
      <c r="L186" s="8"/>
      <c r="N186" s="8"/>
      <c r="P186" s="8"/>
      <c r="R186" s="8"/>
      <c r="T186" s="10"/>
      <c r="X186" s="8"/>
    </row>
    <row r="187" ht="15.75" customHeight="1">
      <c r="A187" s="6"/>
      <c r="F187" s="8"/>
      <c r="G187" s="38"/>
      <c r="J187" s="8"/>
      <c r="L187" s="8"/>
      <c r="N187" s="8"/>
      <c r="P187" s="8"/>
      <c r="R187" s="8"/>
      <c r="T187" s="10"/>
      <c r="X187" s="8"/>
    </row>
    <row r="188" ht="15.75" customHeight="1">
      <c r="A188" s="6"/>
      <c r="F188" s="8"/>
      <c r="G188" s="38"/>
      <c r="J188" s="8"/>
      <c r="L188" s="8"/>
      <c r="N188" s="8"/>
      <c r="P188" s="8"/>
      <c r="R188" s="8"/>
      <c r="T188" s="10"/>
      <c r="X188" s="8"/>
    </row>
    <row r="189" ht="15.75" customHeight="1">
      <c r="A189" s="6"/>
      <c r="F189" s="8"/>
      <c r="G189" s="38"/>
      <c r="J189" s="8"/>
      <c r="L189" s="8"/>
      <c r="N189" s="8"/>
      <c r="P189" s="8"/>
      <c r="R189" s="8"/>
      <c r="T189" s="10"/>
      <c r="X189" s="8"/>
    </row>
    <row r="190" ht="15.75" customHeight="1">
      <c r="A190" s="6"/>
      <c r="F190" s="8"/>
      <c r="G190" s="38"/>
      <c r="J190" s="8"/>
      <c r="L190" s="8"/>
      <c r="N190" s="8"/>
      <c r="P190" s="8"/>
      <c r="R190" s="8"/>
      <c r="T190" s="10"/>
      <c r="X190" s="8"/>
    </row>
    <row r="191" ht="15.75" customHeight="1">
      <c r="A191" s="6"/>
      <c r="F191" s="8"/>
      <c r="G191" s="38"/>
      <c r="J191" s="8"/>
      <c r="L191" s="8"/>
      <c r="N191" s="8"/>
      <c r="P191" s="8"/>
      <c r="R191" s="8"/>
      <c r="T191" s="10"/>
      <c r="X191" s="8"/>
    </row>
    <row r="192" ht="15.75" customHeight="1">
      <c r="A192" s="6"/>
      <c r="F192" s="8"/>
      <c r="G192" s="38"/>
      <c r="J192" s="8"/>
      <c r="L192" s="8"/>
      <c r="N192" s="8"/>
      <c r="P192" s="8"/>
      <c r="R192" s="8"/>
      <c r="T192" s="10"/>
      <c r="X192" s="8"/>
    </row>
    <row r="193" ht="15.75" customHeight="1">
      <c r="A193" s="6"/>
      <c r="F193" s="8"/>
      <c r="G193" s="38"/>
      <c r="J193" s="8"/>
      <c r="L193" s="8"/>
      <c r="N193" s="8"/>
      <c r="P193" s="8"/>
      <c r="R193" s="8"/>
      <c r="T193" s="10"/>
      <c r="X193" s="8"/>
    </row>
    <row r="194" ht="15.75" customHeight="1">
      <c r="A194" s="6"/>
      <c r="F194" s="8"/>
      <c r="G194" s="38"/>
      <c r="J194" s="8"/>
      <c r="L194" s="8"/>
      <c r="N194" s="8"/>
      <c r="P194" s="8"/>
      <c r="R194" s="8"/>
      <c r="T194" s="10"/>
      <c r="X194" s="8"/>
    </row>
    <row r="195" ht="15.75" customHeight="1">
      <c r="A195" s="6"/>
      <c r="F195" s="8"/>
      <c r="G195" s="38"/>
      <c r="J195" s="8"/>
      <c r="L195" s="8"/>
      <c r="N195" s="8"/>
      <c r="P195" s="8"/>
      <c r="R195" s="8"/>
      <c r="T195" s="10"/>
      <c r="X195" s="8"/>
    </row>
    <row r="196" ht="15.75" customHeight="1">
      <c r="A196" s="6"/>
      <c r="F196" s="8"/>
      <c r="G196" s="38"/>
      <c r="J196" s="8"/>
      <c r="L196" s="8"/>
      <c r="N196" s="8"/>
      <c r="P196" s="8"/>
      <c r="R196" s="8"/>
      <c r="T196" s="10"/>
      <c r="X196" s="8"/>
    </row>
    <row r="197" ht="15.75" customHeight="1">
      <c r="A197" s="6"/>
      <c r="F197" s="8"/>
      <c r="G197" s="38"/>
      <c r="J197" s="8"/>
      <c r="L197" s="8"/>
      <c r="N197" s="8"/>
      <c r="P197" s="8"/>
      <c r="R197" s="8"/>
      <c r="T197" s="10"/>
      <c r="X197" s="8"/>
    </row>
    <row r="198" ht="15.75" customHeight="1">
      <c r="A198" s="6"/>
      <c r="F198" s="8"/>
      <c r="G198" s="38"/>
      <c r="J198" s="8"/>
      <c r="L198" s="8"/>
      <c r="N198" s="8"/>
      <c r="P198" s="8"/>
      <c r="R198" s="8"/>
      <c r="T198" s="10"/>
      <c r="X198" s="8"/>
    </row>
    <row r="199" ht="15.75" customHeight="1">
      <c r="A199" s="6"/>
      <c r="F199" s="8"/>
      <c r="G199" s="38"/>
      <c r="J199" s="8"/>
      <c r="L199" s="8"/>
      <c r="N199" s="8"/>
      <c r="P199" s="8"/>
      <c r="R199" s="8"/>
      <c r="T199" s="10"/>
      <c r="X199" s="8"/>
    </row>
    <row r="200" ht="15.75" customHeight="1">
      <c r="A200" s="6"/>
      <c r="F200" s="8"/>
      <c r="G200" s="38"/>
      <c r="J200" s="8"/>
      <c r="L200" s="8"/>
      <c r="N200" s="8"/>
      <c r="P200" s="8"/>
      <c r="R200" s="8"/>
      <c r="T200" s="10"/>
      <c r="X200" s="8"/>
    </row>
    <row r="201" ht="15.75" customHeight="1">
      <c r="A201" s="6"/>
      <c r="F201" s="8"/>
      <c r="G201" s="38"/>
      <c r="J201" s="8"/>
      <c r="L201" s="8"/>
      <c r="N201" s="8"/>
      <c r="P201" s="8"/>
      <c r="R201" s="8"/>
      <c r="T201" s="10"/>
      <c r="X201" s="8"/>
    </row>
    <row r="202" ht="15.75" customHeight="1">
      <c r="A202" s="6"/>
      <c r="F202" s="8"/>
      <c r="G202" s="38"/>
      <c r="J202" s="8"/>
      <c r="L202" s="8"/>
      <c r="N202" s="8"/>
      <c r="P202" s="8"/>
      <c r="R202" s="8"/>
      <c r="T202" s="10"/>
      <c r="X202" s="8"/>
    </row>
    <row r="203" ht="15.75" customHeight="1">
      <c r="A203" s="6"/>
      <c r="F203" s="8"/>
      <c r="G203" s="38"/>
      <c r="J203" s="8"/>
      <c r="L203" s="8"/>
      <c r="N203" s="8"/>
      <c r="P203" s="8"/>
      <c r="R203" s="8"/>
      <c r="T203" s="10"/>
      <c r="X203" s="8"/>
    </row>
    <row r="204" ht="15.75" customHeight="1">
      <c r="A204" s="6"/>
      <c r="F204" s="8"/>
      <c r="G204" s="38"/>
      <c r="J204" s="8"/>
      <c r="L204" s="8"/>
      <c r="N204" s="8"/>
      <c r="P204" s="8"/>
      <c r="R204" s="8"/>
      <c r="T204" s="10"/>
      <c r="X204" s="8"/>
    </row>
    <row r="205" ht="15.75" customHeight="1">
      <c r="A205" s="6"/>
      <c r="F205" s="8"/>
      <c r="G205" s="38"/>
      <c r="J205" s="8"/>
      <c r="L205" s="8"/>
      <c r="N205" s="8"/>
      <c r="P205" s="8"/>
      <c r="R205" s="8"/>
      <c r="T205" s="10"/>
      <c r="X205" s="8"/>
    </row>
    <row r="206" ht="15.75" customHeight="1">
      <c r="A206" s="6"/>
      <c r="F206" s="8"/>
      <c r="G206" s="38"/>
      <c r="J206" s="8"/>
      <c r="L206" s="8"/>
      <c r="N206" s="8"/>
      <c r="P206" s="8"/>
      <c r="R206" s="8"/>
      <c r="T206" s="10"/>
      <c r="X206" s="8"/>
    </row>
    <row r="207" ht="15.75" customHeight="1">
      <c r="A207" s="6"/>
      <c r="F207" s="8"/>
      <c r="G207" s="38"/>
      <c r="J207" s="8"/>
      <c r="L207" s="8"/>
      <c r="N207" s="8"/>
      <c r="P207" s="8"/>
      <c r="R207" s="8"/>
      <c r="T207" s="10"/>
      <c r="X207" s="8"/>
    </row>
    <row r="208" ht="15.75" customHeight="1">
      <c r="A208" s="6"/>
      <c r="F208" s="8"/>
      <c r="G208" s="38"/>
      <c r="J208" s="8"/>
      <c r="L208" s="8"/>
      <c r="N208" s="8"/>
      <c r="P208" s="8"/>
      <c r="R208" s="8"/>
      <c r="T208" s="10"/>
      <c r="X208" s="8"/>
    </row>
    <row r="209" ht="15.75" customHeight="1">
      <c r="A209" s="6"/>
      <c r="F209" s="8"/>
      <c r="G209" s="38"/>
      <c r="J209" s="8"/>
      <c r="L209" s="8"/>
      <c r="N209" s="8"/>
      <c r="P209" s="8"/>
      <c r="R209" s="8"/>
      <c r="T209" s="10"/>
      <c r="X209" s="8"/>
    </row>
    <row r="210" ht="15.75" customHeight="1">
      <c r="A210" s="6"/>
      <c r="F210" s="8"/>
      <c r="G210" s="38"/>
      <c r="J210" s="8"/>
      <c r="L210" s="8"/>
      <c r="N210" s="8"/>
      <c r="P210" s="8"/>
      <c r="R210" s="8"/>
      <c r="T210" s="10"/>
      <c r="X210" s="8"/>
    </row>
    <row r="211" ht="15.75" customHeight="1">
      <c r="A211" s="6"/>
      <c r="F211" s="8"/>
      <c r="G211" s="38"/>
      <c r="J211" s="8"/>
      <c r="L211" s="8"/>
      <c r="N211" s="8"/>
      <c r="P211" s="8"/>
      <c r="R211" s="8"/>
      <c r="T211" s="10"/>
      <c r="X211" s="8"/>
    </row>
    <row r="212" ht="15.75" customHeight="1">
      <c r="A212" s="6"/>
      <c r="F212" s="8"/>
      <c r="G212" s="38"/>
      <c r="J212" s="8"/>
      <c r="L212" s="8"/>
      <c r="N212" s="8"/>
      <c r="P212" s="8"/>
      <c r="R212" s="8"/>
      <c r="T212" s="10"/>
      <c r="X212" s="8"/>
    </row>
    <row r="213" ht="15.75" customHeight="1">
      <c r="A213" s="6"/>
      <c r="F213" s="8"/>
      <c r="G213" s="38"/>
      <c r="J213" s="8"/>
      <c r="L213" s="8"/>
      <c r="N213" s="8"/>
      <c r="P213" s="8"/>
      <c r="R213" s="8"/>
      <c r="T213" s="10"/>
      <c r="X213" s="8"/>
    </row>
    <row r="214" ht="15.75" customHeight="1">
      <c r="A214" s="6"/>
      <c r="F214" s="8"/>
      <c r="G214" s="38"/>
      <c r="J214" s="8"/>
      <c r="L214" s="8"/>
      <c r="N214" s="8"/>
      <c r="P214" s="8"/>
      <c r="R214" s="8"/>
      <c r="T214" s="10"/>
      <c r="X214" s="8"/>
    </row>
    <row r="215" ht="15.75" customHeight="1">
      <c r="A215" s="6"/>
      <c r="F215" s="8"/>
      <c r="G215" s="38"/>
      <c r="J215" s="8"/>
      <c r="L215" s="8"/>
      <c r="N215" s="8"/>
      <c r="P215" s="8"/>
      <c r="R215" s="8"/>
      <c r="T215" s="10"/>
      <c r="X215" s="8"/>
    </row>
    <row r="216" ht="15.75" customHeight="1">
      <c r="A216" s="6"/>
      <c r="F216" s="8"/>
      <c r="G216" s="38"/>
      <c r="J216" s="8"/>
      <c r="L216" s="8"/>
      <c r="N216" s="8"/>
      <c r="P216" s="8"/>
      <c r="R216" s="8"/>
      <c r="T216" s="10"/>
      <c r="X216" s="8"/>
    </row>
    <row r="217" ht="15.75" customHeight="1">
      <c r="A217" s="6"/>
      <c r="F217" s="8"/>
      <c r="G217" s="38"/>
      <c r="J217" s="8"/>
      <c r="L217" s="8"/>
      <c r="N217" s="8"/>
      <c r="P217" s="8"/>
      <c r="R217" s="8"/>
      <c r="T217" s="10"/>
      <c r="X217" s="8"/>
    </row>
    <row r="218" ht="15.75" customHeight="1">
      <c r="A218" s="6"/>
      <c r="F218" s="8"/>
      <c r="G218" s="38"/>
      <c r="J218" s="8"/>
      <c r="L218" s="8"/>
      <c r="N218" s="8"/>
      <c r="P218" s="8"/>
      <c r="R218" s="8"/>
      <c r="T218" s="10"/>
      <c r="X218" s="8"/>
    </row>
    <row r="219" ht="15.75" customHeight="1">
      <c r="A219" s="6"/>
      <c r="F219" s="8"/>
      <c r="G219" s="38"/>
      <c r="J219" s="8"/>
      <c r="L219" s="8"/>
      <c r="N219" s="8"/>
      <c r="P219" s="8"/>
      <c r="R219" s="8"/>
      <c r="T219" s="10"/>
      <c r="X219" s="8"/>
    </row>
    <row r="220" ht="15.75" customHeight="1">
      <c r="A220" s="6"/>
      <c r="F220" s="8"/>
      <c r="G220" s="38"/>
      <c r="J220" s="8"/>
      <c r="L220" s="8"/>
      <c r="N220" s="8"/>
      <c r="P220" s="8"/>
      <c r="R220" s="8"/>
      <c r="T220" s="10"/>
      <c r="X220" s="8"/>
    </row>
    <row r="221" ht="15.75" customHeight="1">
      <c r="A221" s="6"/>
      <c r="F221" s="8"/>
      <c r="G221" s="38"/>
      <c r="J221" s="8"/>
      <c r="L221" s="8"/>
      <c r="N221" s="8"/>
      <c r="P221" s="8"/>
      <c r="R221" s="8"/>
      <c r="T221" s="10"/>
      <c r="X221" s="8"/>
    </row>
    <row r="222" ht="15.75" customHeight="1">
      <c r="A222" s="6"/>
      <c r="F222" s="8"/>
      <c r="G222" s="38"/>
      <c r="J222" s="8"/>
      <c r="L222" s="8"/>
      <c r="N222" s="8"/>
      <c r="P222" s="8"/>
      <c r="R222" s="8"/>
      <c r="T222" s="10"/>
      <c r="X222" s="8"/>
    </row>
    <row r="223" ht="15.75" customHeight="1">
      <c r="A223" s="6"/>
      <c r="F223" s="8"/>
      <c r="G223" s="38"/>
      <c r="J223" s="8"/>
      <c r="L223" s="8"/>
      <c r="N223" s="8"/>
      <c r="P223" s="8"/>
      <c r="R223" s="8"/>
      <c r="T223" s="10"/>
      <c r="X223" s="8"/>
    </row>
    <row r="224" ht="15.75" customHeight="1">
      <c r="A224" s="6"/>
      <c r="F224" s="8"/>
      <c r="G224" s="38"/>
      <c r="J224" s="8"/>
      <c r="L224" s="8"/>
      <c r="N224" s="8"/>
      <c r="P224" s="8"/>
      <c r="R224" s="8"/>
      <c r="T224" s="10"/>
      <c r="X224" s="8"/>
    </row>
    <row r="225" ht="15.75" customHeight="1">
      <c r="A225" s="6"/>
      <c r="F225" s="8"/>
      <c r="G225" s="38"/>
      <c r="J225" s="8"/>
      <c r="L225" s="8"/>
      <c r="N225" s="8"/>
      <c r="P225" s="8"/>
      <c r="R225" s="8"/>
      <c r="T225" s="10"/>
      <c r="X225" s="8"/>
    </row>
    <row r="226" ht="15.75" customHeight="1">
      <c r="A226" s="6"/>
      <c r="F226" s="8"/>
      <c r="G226" s="38"/>
      <c r="J226" s="8"/>
      <c r="L226" s="8"/>
      <c r="N226" s="8"/>
      <c r="P226" s="8"/>
      <c r="R226" s="8"/>
      <c r="T226" s="10"/>
      <c r="X226" s="8"/>
    </row>
    <row r="227" ht="15.75" customHeight="1">
      <c r="A227" s="6"/>
      <c r="F227" s="8"/>
      <c r="G227" s="38"/>
      <c r="J227" s="8"/>
      <c r="L227" s="8"/>
      <c r="N227" s="8"/>
      <c r="P227" s="8"/>
      <c r="R227" s="8"/>
      <c r="T227" s="10"/>
      <c r="X227" s="8"/>
    </row>
    <row r="228" ht="15.75" customHeight="1">
      <c r="A228" s="6"/>
      <c r="F228" s="8"/>
      <c r="G228" s="38"/>
      <c r="J228" s="8"/>
      <c r="L228" s="8"/>
      <c r="N228" s="8"/>
      <c r="P228" s="8"/>
      <c r="R228" s="8"/>
      <c r="T228" s="10"/>
      <c r="X228" s="8"/>
    </row>
    <row r="229" ht="15.75" customHeight="1">
      <c r="A229" s="6"/>
      <c r="F229" s="8"/>
      <c r="G229" s="38"/>
      <c r="J229" s="8"/>
      <c r="L229" s="8"/>
      <c r="N229" s="8"/>
      <c r="P229" s="8"/>
      <c r="R229" s="8"/>
      <c r="T229" s="10"/>
      <c r="X229" s="8"/>
    </row>
    <row r="230" ht="15.75" customHeight="1">
      <c r="A230" s="6"/>
      <c r="F230" s="8"/>
      <c r="G230" s="38"/>
      <c r="J230" s="8"/>
      <c r="L230" s="8"/>
      <c r="N230" s="8"/>
      <c r="P230" s="8"/>
      <c r="R230" s="8"/>
      <c r="T230" s="10"/>
      <c r="X230" s="8"/>
    </row>
    <row r="231" ht="15.75" customHeight="1">
      <c r="A231" s="6"/>
      <c r="F231" s="8"/>
      <c r="G231" s="38"/>
      <c r="J231" s="8"/>
      <c r="L231" s="8"/>
      <c r="N231" s="8"/>
      <c r="P231" s="8"/>
      <c r="R231" s="8"/>
      <c r="T231" s="10"/>
      <c r="X231" s="8"/>
    </row>
    <row r="232" ht="15.75" customHeight="1">
      <c r="A232" s="6"/>
      <c r="F232" s="8"/>
      <c r="G232" s="38"/>
      <c r="J232" s="8"/>
      <c r="L232" s="8"/>
      <c r="N232" s="8"/>
      <c r="P232" s="8"/>
      <c r="R232" s="8"/>
      <c r="T232" s="10"/>
      <c r="X232" s="8"/>
    </row>
    <row r="233" ht="15.75" customHeight="1">
      <c r="A233" s="6"/>
      <c r="F233" s="8"/>
      <c r="G233" s="38"/>
      <c r="J233" s="8"/>
      <c r="L233" s="8"/>
      <c r="N233" s="8"/>
      <c r="P233" s="8"/>
      <c r="R233" s="8"/>
      <c r="T233" s="10"/>
      <c r="X233" s="8"/>
    </row>
    <row r="234" ht="15.75" customHeight="1">
      <c r="A234" s="6"/>
      <c r="F234" s="8"/>
      <c r="G234" s="38"/>
      <c r="J234" s="8"/>
      <c r="L234" s="8"/>
      <c r="N234" s="8"/>
      <c r="P234" s="8"/>
      <c r="R234" s="8"/>
      <c r="T234" s="10"/>
      <c r="X234" s="8"/>
    </row>
    <row r="235" ht="15.75" customHeight="1">
      <c r="A235" s="6"/>
      <c r="F235" s="8"/>
      <c r="G235" s="38"/>
      <c r="J235" s="8"/>
      <c r="L235" s="8"/>
      <c r="N235" s="8"/>
      <c r="P235" s="8"/>
      <c r="R235" s="8"/>
      <c r="T235" s="10"/>
      <c r="X235" s="8"/>
    </row>
    <row r="236" ht="15.75" customHeight="1">
      <c r="A236" s="6"/>
      <c r="F236" s="8"/>
      <c r="G236" s="38"/>
      <c r="J236" s="8"/>
      <c r="L236" s="8"/>
      <c r="N236" s="8"/>
      <c r="P236" s="8"/>
      <c r="R236" s="8"/>
      <c r="T236" s="10"/>
      <c r="X236" s="8"/>
    </row>
    <row r="237" ht="15.75" customHeight="1">
      <c r="A237" s="6"/>
      <c r="F237" s="8"/>
      <c r="G237" s="38"/>
      <c r="J237" s="8"/>
      <c r="L237" s="8"/>
      <c r="N237" s="8"/>
      <c r="P237" s="8"/>
      <c r="R237" s="8"/>
      <c r="T237" s="10"/>
      <c r="X237" s="8"/>
    </row>
    <row r="238" ht="15.75" customHeight="1">
      <c r="A238" s="6"/>
      <c r="F238" s="8"/>
      <c r="G238" s="38"/>
      <c r="J238" s="8"/>
      <c r="L238" s="8"/>
      <c r="N238" s="8"/>
      <c r="P238" s="8"/>
      <c r="R238" s="8"/>
      <c r="T238" s="10"/>
      <c r="X238" s="8"/>
    </row>
    <row r="239" ht="15.75" customHeight="1">
      <c r="A239" s="6"/>
      <c r="F239" s="8"/>
      <c r="G239" s="38"/>
      <c r="J239" s="8"/>
      <c r="L239" s="8"/>
      <c r="N239" s="8"/>
      <c r="P239" s="8"/>
      <c r="R239" s="8"/>
      <c r="T239" s="10"/>
      <c r="X239" s="8"/>
    </row>
    <row r="240" ht="15.75" customHeight="1">
      <c r="A240" s="6"/>
      <c r="F240" s="8"/>
      <c r="G240" s="38"/>
      <c r="J240" s="8"/>
      <c r="L240" s="8"/>
      <c r="N240" s="8"/>
      <c r="P240" s="8"/>
      <c r="R240" s="8"/>
      <c r="T240" s="10"/>
      <c r="X240" s="8"/>
    </row>
    <row r="241" ht="15.75" customHeight="1">
      <c r="A241" s="6"/>
      <c r="F241" s="8"/>
      <c r="G241" s="38"/>
      <c r="J241" s="8"/>
      <c r="L241" s="8"/>
      <c r="N241" s="8"/>
      <c r="P241" s="8"/>
      <c r="R241" s="8"/>
      <c r="T241" s="10"/>
      <c r="X241" s="8"/>
    </row>
    <row r="242" ht="15.75" customHeight="1">
      <c r="A242" s="6"/>
      <c r="F242" s="8"/>
      <c r="G242" s="38"/>
      <c r="J242" s="8"/>
      <c r="L242" s="8"/>
      <c r="N242" s="8"/>
      <c r="P242" s="8"/>
      <c r="R242" s="8"/>
      <c r="T242" s="10"/>
      <c r="X242" s="8"/>
    </row>
    <row r="243" ht="15.75" customHeight="1">
      <c r="A243" s="6"/>
      <c r="F243" s="8"/>
      <c r="G243" s="38"/>
      <c r="J243" s="8"/>
      <c r="L243" s="8"/>
      <c r="N243" s="8"/>
      <c r="P243" s="8"/>
      <c r="R243" s="8"/>
      <c r="T243" s="10"/>
      <c r="X243" s="8"/>
    </row>
    <row r="244" ht="15.75" customHeight="1">
      <c r="A244" s="6"/>
      <c r="F244" s="8"/>
      <c r="G244" s="38"/>
      <c r="J244" s="8"/>
      <c r="L244" s="8"/>
      <c r="N244" s="8"/>
      <c r="P244" s="8"/>
      <c r="R244" s="8"/>
      <c r="T244" s="10"/>
      <c r="X244" s="8"/>
    </row>
    <row r="245" ht="15.75" customHeight="1">
      <c r="A245" s="6"/>
      <c r="F245" s="8"/>
      <c r="G245" s="38"/>
      <c r="J245" s="8"/>
      <c r="L245" s="8"/>
      <c r="N245" s="8"/>
      <c r="P245" s="8"/>
      <c r="R245" s="8"/>
      <c r="T245" s="10"/>
      <c r="X245" s="8"/>
    </row>
    <row r="246" ht="15.75" customHeight="1">
      <c r="A246" s="6"/>
      <c r="F246" s="8"/>
      <c r="G246" s="38"/>
      <c r="J246" s="8"/>
      <c r="L246" s="8"/>
      <c r="N246" s="8"/>
      <c r="P246" s="8"/>
      <c r="R246" s="8"/>
      <c r="T246" s="10"/>
      <c r="X246" s="8"/>
    </row>
    <row r="247" ht="15.75" customHeight="1">
      <c r="A247" s="6"/>
      <c r="F247" s="8"/>
      <c r="G247" s="38"/>
      <c r="J247" s="8"/>
      <c r="L247" s="8"/>
      <c r="N247" s="8"/>
      <c r="P247" s="8"/>
      <c r="R247" s="8"/>
      <c r="T247" s="10"/>
      <c r="X247" s="8"/>
    </row>
    <row r="248" ht="15.75" customHeight="1">
      <c r="A248" s="6"/>
      <c r="F248" s="8"/>
      <c r="G248" s="38"/>
      <c r="J248" s="8"/>
      <c r="L248" s="8"/>
      <c r="N248" s="8"/>
      <c r="P248" s="8"/>
      <c r="R248" s="8"/>
      <c r="T248" s="10"/>
      <c r="X248" s="8"/>
    </row>
    <row r="249" ht="15.75" customHeight="1">
      <c r="A249" s="6"/>
      <c r="F249" s="8"/>
      <c r="G249" s="38"/>
      <c r="J249" s="8"/>
      <c r="L249" s="8"/>
      <c r="N249" s="8"/>
      <c r="P249" s="8"/>
      <c r="R249" s="8"/>
      <c r="T249" s="10"/>
      <c r="X249" s="8"/>
    </row>
    <row r="250" ht="15.75" customHeight="1">
      <c r="A250" s="6"/>
      <c r="F250" s="8"/>
      <c r="G250" s="38"/>
      <c r="J250" s="8"/>
      <c r="L250" s="8"/>
      <c r="N250" s="8"/>
      <c r="P250" s="8"/>
      <c r="R250" s="8"/>
      <c r="T250" s="10"/>
      <c r="X250" s="8"/>
    </row>
    <row r="251" ht="15.75" customHeight="1">
      <c r="A251" s="6"/>
      <c r="F251" s="8"/>
      <c r="G251" s="38"/>
      <c r="J251" s="8"/>
      <c r="L251" s="8"/>
      <c r="N251" s="8"/>
      <c r="P251" s="8"/>
      <c r="R251" s="8"/>
      <c r="T251" s="10"/>
      <c r="X251" s="8"/>
    </row>
    <row r="252" ht="15.75" customHeight="1">
      <c r="A252" s="6"/>
      <c r="F252" s="8"/>
      <c r="G252" s="38"/>
      <c r="J252" s="8"/>
      <c r="L252" s="8"/>
      <c r="N252" s="8"/>
      <c r="P252" s="8"/>
      <c r="R252" s="8"/>
      <c r="T252" s="10"/>
      <c r="X252" s="8"/>
    </row>
    <row r="253" ht="15.75" customHeight="1">
      <c r="A253" s="6"/>
      <c r="F253" s="8"/>
      <c r="G253" s="38"/>
      <c r="J253" s="8"/>
      <c r="L253" s="8"/>
      <c r="N253" s="8"/>
      <c r="P253" s="8"/>
      <c r="R253" s="8"/>
      <c r="T253" s="10"/>
      <c r="X253" s="8"/>
    </row>
    <row r="254" ht="15.75" customHeight="1">
      <c r="A254" s="6"/>
      <c r="F254" s="8"/>
      <c r="G254" s="38"/>
      <c r="J254" s="8"/>
      <c r="L254" s="8"/>
      <c r="N254" s="8"/>
      <c r="P254" s="8"/>
      <c r="R254" s="8"/>
      <c r="T254" s="10"/>
      <c r="X254" s="8"/>
    </row>
    <row r="255" ht="15.75" customHeight="1">
      <c r="A255" s="6"/>
      <c r="F255" s="8"/>
      <c r="G255" s="38"/>
      <c r="J255" s="8"/>
      <c r="L255" s="8"/>
      <c r="N255" s="8"/>
      <c r="P255" s="8"/>
      <c r="R255" s="8"/>
      <c r="T255" s="10"/>
      <c r="X255" s="8"/>
    </row>
    <row r="256" ht="15.75" customHeight="1">
      <c r="A256" s="6"/>
      <c r="F256" s="8"/>
      <c r="G256" s="38"/>
      <c r="J256" s="8"/>
      <c r="L256" s="8"/>
      <c r="N256" s="8"/>
      <c r="P256" s="8"/>
      <c r="R256" s="8"/>
      <c r="T256" s="10"/>
      <c r="X256" s="8"/>
    </row>
    <row r="257" ht="15.75" customHeight="1">
      <c r="A257" s="6"/>
      <c r="F257" s="8"/>
      <c r="G257" s="38"/>
      <c r="J257" s="8"/>
      <c r="L257" s="8"/>
      <c r="N257" s="8"/>
      <c r="P257" s="8"/>
      <c r="R257" s="8"/>
      <c r="T257" s="10"/>
      <c r="X257" s="8"/>
    </row>
    <row r="258" ht="15.75" customHeight="1">
      <c r="A258" s="6"/>
      <c r="F258" s="8"/>
      <c r="G258" s="38"/>
      <c r="J258" s="8"/>
      <c r="L258" s="8"/>
      <c r="N258" s="8"/>
      <c r="P258" s="8"/>
      <c r="R258" s="8"/>
      <c r="T258" s="10"/>
      <c r="X258" s="8"/>
    </row>
    <row r="259" ht="15.75" customHeight="1">
      <c r="A259" s="6"/>
      <c r="F259" s="8"/>
      <c r="G259" s="38"/>
      <c r="J259" s="8"/>
      <c r="L259" s="8"/>
      <c r="N259" s="8"/>
      <c r="P259" s="8"/>
      <c r="R259" s="8"/>
      <c r="T259" s="10"/>
      <c r="X259" s="8"/>
    </row>
    <row r="260" ht="15.75" customHeight="1">
      <c r="A260" s="6"/>
      <c r="F260" s="8"/>
      <c r="G260" s="38"/>
      <c r="J260" s="8"/>
      <c r="L260" s="8"/>
      <c r="N260" s="8"/>
      <c r="P260" s="8"/>
      <c r="R260" s="8"/>
      <c r="T260" s="10"/>
      <c r="X260" s="8"/>
    </row>
    <row r="261" ht="15.75" customHeight="1">
      <c r="A261" s="6"/>
      <c r="F261" s="8"/>
      <c r="G261" s="38"/>
      <c r="J261" s="8"/>
      <c r="L261" s="8"/>
      <c r="N261" s="8"/>
      <c r="P261" s="8"/>
      <c r="R261" s="8"/>
      <c r="T261" s="10"/>
      <c r="X261" s="8"/>
    </row>
    <row r="262" ht="15.75" customHeight="1">
      <c r="A262" s="6"/>
      <c r="F262" s="8"/>
      <c r="G262" s="38"/>
      <c r="J262" s="8"/>
      <c r="L262" s="8"/>
      <c r="N262" s="8"/>
      <c r="P262" s="8"/>
      <c r="R262" s="8"/>
      <c r="T262" s="10"/>
      <c r="X262" s="8"/>
    </row>
    <row r="263" ht="15.75" customHeight="1">
      <c r="A263" s="6"/>
      <c r="F263" s="8"/>
      <c r="G263" s="38"/>
      <c r="J263" s="8"/>
      <c r="L263" s="8"/>
      <c r="N263" s="8"/>
      <c r="P263" s="8"/>
      <c r="R263" s="8"/>
      <c r="T263" s="10"/>
      <c r="X263" s="8"/>
    </row>
    <row r="264" ht="15.75" customHeight="1">
      <c r="A264" s="6"/>
      <c r="F264" s="8"/>
      <c r="G264" s="38"/>
      <c r="J264" s="8"/>
      <c r="L264" s="8"/>
      <c r="N264" s="8"/>
      <c r="P264" s="8"/>
      <c r="R264" s="8"/>
      <c r="T264" s="10"/>
      <c r="X264" s="8"/>
    </row>
    <row r="265" ht="15.75" customHeight="1">
      <c r="A265" s="6"/>
      <c r="F265" s="8"/>
      <c r="G265" s="38"/>
      <c r="J265" s="8"/>
      <c r="L265" s="8"/>
      <c r="N265" s="8"/>
      <c r="P265" s="8"/>
      <c r="R265" s="8"/>
      <c r="T265" s="10"/>
      <c r="X265" s="8"/>
    </row>
    <row r="266" ht="15.75" customHeight="1">
      <c r="A266" s="6"/>
      <c r="F266" s="8"/>
      <c r="G266" s="38"/>
      <c r="J266" s="8"/>
      <c r="L266" s="8"/>
      <c r="N266" s="8"/>
      <c r="P266" s="8"/>
      <c r="R266" s="8"/>
      <c r="T266" s="10"/>
      <c r="X266" s="8"/>
    </row>
    <row r="267" ht="15.75" customHeight="1">
      <c r="A267" s="6"/>
      <c r="F267" s="8"/>
      <c r="G267" s="38"/>
      <c r="J267" s="8"/>
      <c r="L267" s="8"/>
      <c r="N267" s="8"/>
      <c r="P267" s="8"/>
      <c r="R267" s="8"/>
      <c r="T267" s="10"/>
      <c r="X267" s="8"/>
    </row>
    <row r="268" ht="15.75" customHeight="1">
      <c r="A268" s="6"/>
      <c r="F268" s="8"/>
      <c r="G268" s="38"/>
      <c r="J268" s="8"/>
      <c r="L268" s="8"/>
      <c r="N268" s="8"/>
      <c r="P268" s="8"/>
      <c r="R268" s="8"/>
      <c r="T268" s="10"/>
      <c r="X268" s="8"/>
    </row>
    <row r="269" ht="15.75" customHeight="1">
      <c r="A269" s="6"/>
      <c r="F269" s="8"/>
      <c r="G269" s="38"/>
      <c r="J269" s="8"/>
      <c r="L269" s="8"/>
      <c r="N269" s="8"/>
      <c r="P269" s="8"/>
      <c r="R269" s="8"/>
      <c r="T269" s="10"/>
      <c r="X269" s="8"/>
    </row>
    <row r="270" ht="15.75" customHeight="1">
      <c r="A270" s="6"/>
      <c r="F270" s="8"/>
      <c r="G270" s="38"/>
      <c r="J270" s="8"/>
      <c r="L270" s="8"/>
      <c r="N270" s="8"/>
      <c r="P270" s="8"/>
      <c r="R270" s="8"/>
      <c r="T270" s="10"/>
      <c r="X270" s="8"/>
    </row>
    <row r="271" ht="15.75" customHeight="1">
      <c r="A271" s="6"/>
      <c r="F271" s="8"/>
      <c r="G271" s="38"/>
      <c r="J271" s="8"/>
      <c r="L271" s="8"/>
      <c r="N271" s="8"/>
      <c r="P271" s="8"/>
      <c r="R271" s="8"/>
      <c r="T271" s="10"/>
      <c r="X271" s="8"/>
    </row>
    <row r="272" ht="15.75" customHeight="1">
      <c r="A272" s="6"/>
      <c r="F272" s="8"/>
      <c r="G272" s="38"/>
      <c r="J272" s="8"/>
      <c r="L272" s="8"/>
      <c r="N272" s="8"/>
      <c r="P272" s="8"/>
      <c r="R272" s="8"/>
      <c r="T272" s="10"/>
      <c r="X272" s="8"/>
    </row>
    <row r="273" ht="15.75" customHeight="1">
      <c r="A273" s="6"/>
      <c r="F273" s="8"/>
      <c r="G273" s="38"/>
      <c r="J273" s="8"/>
      <c r="L273" s="8"/>
      <c r="N273" s="8"/>
      <c r="P273" s="8"/>
      <c r="R273" s="8"/>
      <c r="T273" s="10"/>
      <c r="X273" s="8"/>
    </row>
    <row r="274" ht="15.75" customHeight="1">
      <c r="A274" s="6"/>
      <c r="F274" s="8"/>
      <c r="G274" s="38"/>
      <c r="J274" s="8"/>
      <c r="L274" s="8"/>
      <c r="N274" s="8"/>
      <c r="P274" s="8"/>
      <c r="R274" s="8"/>
      <c r="T274" s="10"/>
      <c r="X274" s="8"/>
    </row>
    <row r="275" ht="15.75" customHeight="1">
      <c r="A275" s="6"/>
      <c r="F275" s="8"/>
      <c r="G275" s="38"/>
      <c r="J275" s="8"/>
      <c r="L275" s="8"/>
      <c r="N275" s="8"/>
      <c r="P275" s="8"/>
      <c r="R275" s="8"/>
      <c r="T275" s="10"/>
      <c r="X275" s="8"/>
    </row>
    <row r="276" ht="15.75" customHeight="1">
      <c r="A276" s="6"/>
      <c r="F276" s="8"/>
      <c r="G276" s="38"/>
      <c r="J276" s="8"/>
      <c r="L276" s="8"/>
      <c r="N276" s="8"/>
      <c r="P276" s="8"/>
      <c r="R276" s="8"/>
      <c r="T276" s="10"/>
      <c r="X276" s="8"/>
    </row>
    <row r="277" ht="15.75" customHeight="1">
      <c r="A277" s="6"/>
      <c r="F277" s="8"/>
      <c r="G277" s="38"/>
      <c r="J277" s="8"/>
      <c r="L277" s="8"/>
      <c r="N277" s="8"/>
      <c r="P277" s="8"/>
      <c r="R277" s="8"/>
      <c r="T277" s="10"/>
      <c r="X277" s="8"/>
    </row>
    <row r="278" ht="15.75" customHeight="1">
      <c r="A278" s="6"/>
      <c r="F278" s="8"/>
      <c r="G278" s="38"/>
      <c r="J278" s="8"/>
      <c r="L278" s="8"/>
      <c r="N278" s="8"/>
      <c r="P278" s="8"/>
      <c r="R278" s="8"/>
      <c r="T278" s="10"/>
      <c r="X278" s="8"/>
    </row>
    <row r="279" ht="15.75" customHeight="1">
      <c r="A279" s="6"/>
      <c r="F279" s="8"/>
      <c r="G279" s="38"/>
      <c r="J279" s="8"/>
      <c r="L279" s="8"/>
      <c r="N279" s="8"/>
      <c r="P279" s="8"/>
      <c r="R279" s="8"/>
      <c r="T279" s="10"/>
      <c r="X279" s="8"/>
    </row>
    <row r="280" ht="15.75" customHeight="1">
      <c r="A280" s="6"/>
      <c r="F280" s="8"/>
      <c r="G280" s="38"/>
      <c r="J280" s="8"/>
      <c r="L280" s="8"/>
      <c r="N280" s="8"/>
      <c r="P280" s="8"/>
      <c r="R280" s="8"/>
      <c r="T280" s="10"/>
      <c r="X280" s="8"/>
    </row>
    <row r="281" ht="15.75" customHeight="1">
      <c r="A281" s="6"/>
      <c r="F281" s="8"/>
      <c r="G281" s="38"/>
      <c r="J281" s="8"/>
      <c r="L281" s="8"/>
      <c r="N281" s="8"/>
      <c r="P281" s="8"/>
      <c r="R281" s="8"/>
      <c r="T281" s="10"/>
      <c r="X281" s="8"/>
    </row>
    <row r="282" ht="15.75" customHeight="1">
      <c r="A282" s="6"/>
      <c r="F282" s="8"/>
      <c r="G282" s="38"/>
      <c r="J282" s="8"/>
      <c r="L282" s="8"/>
      <c r="N282" s="8"/>
      <c r="P282" s="8"/>
      <c r="R282" s="8"/>
      <c r="T282" s="10"/>
      <c r="X282" s="8"/>
    </row>
    <row r="283" ht="15.75" customHeight="1">
      <c r="A283" s="6"/>
      <c r="F283" s="8"/>
      <c r="G283" s="38"/>
      <c r="J283" s="8"/>
      <c r="L283" s="8"/>
      <c r="N283" s="8"/>
      <c r="P283" s="8"/>
      <c r="R283" s="8"/>
      <c r="T283" s="10"/>
      <c r="X283" s="8"/>
    </row>
    <row r="284" ht="15.75" customHeight="1">
      <c r="A284" s="6"/>
      <c r="F284" s="8"/>
      <c r="G284" s="38"/>
      <c r="J284" s="8"/>
      <c r="L284" s="8"/>
      <c r="N284" s="8"/>
      <c r="P284" s="8"/>
      <c r="R284" s="8"/>
      <c r="T284" s="10"/>
      <c r="X284" s="8"/>
    </row>
    <row r="285" ht="15.75" customHeight="1">
      <c r="A285" s="6"/>
      <c r="F285" s="8"/>
      <c r="G285" s="38"/>
      <c r="J285" s="8"/>
      <c r="L285" s="8"/>
      <c r="N285" s="8"/>
      <c r="P285" s="8"/>
      <c r="R285" s="8"/>
      <c r="T285" s="10"/>
      <c r="X285" s="8"/>
    </row>
    <row r="286" ht="15.75" customHeight="1">
      <c r="A286" s="6"/>
      <c r="F286" s="8"/>
      <c r="G286" s="38"/>
      <c r="J286" s="8"/>
      <c r="L286" s="8"/>
      <c r="N286" s="8"/>
      <c r="P286" s="8"/>
      <c r="R286" s="8"/>
      <c r="T286" s="10"/>
      <c r="X286" s="8"/>
    </row>
    <row r="287" ht="15.75" customHeight="1">
      <c r="A287" s="6"/>
      <c r="F287" s="8"/>
      <c r="G287" s="38"/>
      <c r="J287" s="8"/>
      <c r="L287" s="8"/>
      <c r="N287" s="8"/>
      <c r="P287" s="8"/>
      <c r="R287" s="8"/>
      <c r="T287" s="10"/>
      <c r="X287" s="8"/>
    </row>
    <row r="288" ht="15.75" customHeight="1">
      <c r="A288" s="6"/>
      <c r="F288" s="8"/>
      <c r="G288" s="38"/>
      <c r="J288" s="8"/>
      <c r="L288" s="8"/>
      <c r="N288" s="8"/>
      <c r="P288" s="8"/>
      <c r="R288" s="8"/>
      <c r="T288" s="10"/>
      <c r="X288" s="8"/>
    </row>
    <row r="289" ht="15.75" customHeight="1">
      <c r="A289" s="6"/>
      <c r="F289" s="8"/>
      <c r="G289" s="38"/>
      <c r="J289" s="8"/>
      <c r="L289" s="8"/>
      <c r="N289" s="8"/>
      <c r="P289" s="8"/>
      <c r="R289" s="8"/>
      <c r="T289" s="10"/>
      <c r="X289" s="8"/>
    </row>
    <row r="290" ht="15.75" customHeight="1">
      <c r="A290" s="6"/>
      <c r="F290" s="8"/>
      <c r="G290" s="38"/>
      <c r="J290" s="8"/>
      <c r="L290" s="8"/>
      <c r="N290" s="8"/>
      <c r="P290" s="8"/>
      <c r="R290" s="8"/>
      <c r="T290" s="10"/>
      <c r="X290" s="8"/>
    </row>
    <row r="291" ht="15.75" customHeight="1">
      <c r="A291" s="6"/>
      <c r="F291" s="8"/>
      <c r="G291" s="38"/>
      <c r="J291" s="8"/>
      <c r="L291" s="8"/>
      <c r="N291" s="8"/>
      <c r="P291" s="8"/>
      <c r="R291" s="8"/>
      <c r="T291" s="10"/>
      <c r="X291" s="8"/>
    </row>
    <row r="292" ht="15.75" customHeight="1">
      <c r="A292" s="6"/>
      <c r="F292" s="8"/>
      <c r="G292" s="38"/>
      <c r="J292" s="8"/>
      <c r="L292" s="8"/>
      <c r="N292" s="8"/>
      <c r="P292" s="8"/>
      <c r="R292" s="8"/>
      <c r="T292" s="10"/>
      <c r="X292" s="8"/>
    </row>
    <row r="293" ht="15.75" customHeight="1">
      <c r="A293" s="6"/>
      <c r="F293" s="8"/>
      <c r="G293" s="38"/>
      <c r="J293" s="8"/>
      <c r="L293" s="8"/>
      <c r="N293" s="8"/>
      <c r="P293" s="8"/>
      <c r="R293" s="8"/>
      <c r="T293" s="10"/>
      <c r="X293" s="8"/>
    </row>
    <row r="294" ht="15.75" customHeight="1">
      <c r="A294" s="6"/>
      <c r="F294" s="8"/>
      <c r="G294" s="38"/>
      <c r="J294" s="8"/>
      <c r="L294" s="8"/>
      <c r="N294" s="8"/>
      <c r="P294" s="8"/>
      <c r="R294" s="8"/>
      <c r="T294" s="10"/>
      <c r="X294" s="8"/>
    </row>
    <row r="295" ht="15.75" customHeight="1">
      <c r="A295" s="6"/>
      <c r="F295" s="8"/>
      <c r="G295" s="38"/>
      <c r="J295" s="8"/>
      <c r="L295" s="8"/>
      <c r="N295" s="8"/>
      <c r="P295" s="8"/>
      <c r="R295" s="8"/>
      <c r="T295" s="10"/>
      <c r="X295" s="8"/>
    </row>
    <row r="296" ht="15.75" customHeight="1">
      <c r="A296" s="6"/>
      <c r="F296" s="8"/>
      <c r="G296" s="38"/>
      <c r="J296" s="8"/>
      <c r="L296" s="8"/>
      <c r="N296" s="8"/>
      <c r="P296" s="8"/>
      <c r="R296" s="8"/>
      <c r="T296" s="10"/>
      <c r="X296" s="8"/>
    </row>
    <row r="297" ht="15.75" customHeight="1">
      <c r="A297" s="6"/>
      <c r="F297" s="8"/>
      <c r="G297" s="38"/>
      <c r="J297" s="8"/>
      <c r="L297" s="8"/>
      <c r="N297" s="8"/>
      <c r="P297" s="8"/>
      <c r="R297" s="8"/>
      <c r="T297" s="10"/>
      <c r="X297" s="8"/>
    </row>
    <row r="298" ht="15.75" customHeight="1">
      <c r="A298" s="6"/>
      <c r="F298" s="8"/>
      <c r="G298" s="38"/>
      <c r="J298" s="8"/>
      <c r="L298" s="8"/>
      <c r="N298" s="8"/>
      <c r="P298" s="8"/>
      <c r="R298" s="8"/>
      <c r="T298" s="10"/>
      <c r="X298" s="8"/>
    </row>
    <row r="299" ht="15.75" customHeight="1">
      <c r="A299" s="6"/>
      <c r="F299" s="8"/>
      <c r="G299" s="38"/>
      <c r="J299" s="8"/>
      <c r="L299" s="8"/>
      <c r="N299" s="8"/>
      <c r="P299" s="8"/>
      <c r="R299" s="8"/>
      <c r="T299" s="10"/>
      <c r="X299" s="8"/>
    </row>
    <row r="300" ht="15.75" customHeight="1">
      <c r="A300" s="6"/>
      <c r="F300" s="8"/>
      <c r="G300" s="38"/>
      <c r="J300" s="8"/>
      <c r="L300" s="8"/>
      <c r="N300" s="8"/>
      <c r="P300" s="8"/>
      <c r="R300" s="8"/>
      <c r="T300" s="10"/>
      <c r="X300" s="8"/>
    </row>
    <row r="301" ht="15.75" customHeight="1">
      <c r="A301" s="6"/>
      <c r="F301" s="8"/>
      <c r="G301" s="38"/>
      <c r="J301" s="8"/>
      <c r="L301" s="8"/>
      <c r="N301" s="8"/>
      <c r="P301" s="8"/>
      <c r="R301" s="8"/>
      <c r="T301" s="10"/>
      <c r="X301" s="8"/>
    </row>
    <row r="302" ht="15.75" customHeight="1">
      <c r="A302" s="6"/>
      <c r="F302" s="8"/>
      <c r="G302" s="38"/>
      <c r="J302" s="8"/>
      <c r="L302" s="8"/>
      <c r="N302" s="8"/>
      <c r="P302" s="8"/>
      <c r="R302" s="8"/>
      <c r="T302" s="10"/>
      <c r="X302" s="8"/>
    </row>
    <row r="303" ht="15.75" customHeight="1">
      <c r="A303" s="6"/>
      <c r="F303" s="8"/>
      <c r="G303" s="38"/>
      <c r="J303" s="8"/>
      <c r="L303" s="8"/>
      <c r="N303" s="8"/>
      <c r="P303" s="8"/>
      <c r="R303" s="8"/>
      <c r="T303" s="10"/>
      <c r="X303" s="8"/>
    </row>
    <row r="304" ht="15.75" customHeight="1">
      <c r="A304" s="6"/>
      <c r="F304" s="8"/>
      <c r="G304" s="38"/>
      <c r="J304" s="8"/>
      <c r="L304" s="8"/>
      <c r="N304" s="8"/>
      <c r="P304" s="8"/>
      <c r="R304" s="8"/>
      <c r="T304" s="10"/>
      <c r="X304" s="8"/>
    </row>
    <row r="305" ht="15.75" customHeight="1">
      <c r="A305" s="6"/>
      <c r="F305" s="8"/>
      <c r="G305" s="38"/>
      <c r="J305" s="8"/>
      <c r="L305" s="8"/>
      <c r="N305" s="8"/>
      <c r="P305" s="8"/>
      <c r="R305" s="8"/>
      <c r="T305" s="10"/>
      <c r="X305" s="8"/>
    </row>
    <row r="306" ht="15.75" customHeight="1">
      <c r="A306" s="6"/>
      <c r="F306" s="8"/>
      <c r="G306" s="38"/>
      <c r="J306" s="8"/>
      <c r="L306" s="8"/>
      <c r="N306" s="8"/>
      <c r="P306" s="8"/>
      <c r="R306" s="8"/>
      <c r="T306" s="10"/>
      <c r="X306" s="8"/>
    </row>
    <row r="307" ht="15.75" customHeight="1">
      <c r="A307" s="6"/>
      <c r="F307" s="8"/>
      <c r="G307" s="38"/>
      <c r="J307" s="8"/>
      <c r="L307" s="8"/>
      <c r="N307" s="8"/>
      <c r="P307" s="8"/>
      <c r="R307" s="8"/>
      <c r="T307" s="10"/>
      <c r="X307" s="8"/>
    </row>
    <row r="308" ht="15.75" customHeight="1">
      <c r="A308" s="6"/>
      <c r="F308" s="8"/>
      <c r="G308" s="38"/>
      <c r="J308" s="8"/>
      <c r="L308" s="8"/>
      <c r="N308" s="8"/>
      <c r="P308" s="8"/>
      <c r="R308" s="8"/>
      <c r="T308" s="10"/>
      <c r="X308" s="8"/>
    </row>
    <row r="309" ht="15.75" customHeight="1">
      <c r="A309" s="6"/>
      <c r="F309" s="8"/>
      <c r="G309" s="38"/>
      <c r="J309" s="8"/>
      <c r="L309" s="8"/>
      <c r="N309" s="8"/>
      <c r="P309" s="8"/>
      <c r="R309" s="8"/>
      <c r="T309" s="10"/>
      <c r="X309" s="8"/>
    </row>
    <row r="310" ht="15.75" customHeight="1">
      <c r="A310" s="6"/>
      <c r="F310" s="8"/>
      <c r="G310" s="38"/>
      <c r="J310" s="8"/>
      <c r="L310" s="8"/>
      <c r="N310" s="8"/>
      <c r="P310" s="8"/>
      <c r="R310" s="8"/>
      <c r="T310" s="10"/>
      <c r="X310" s="8"/>
    </row>
    <row r="311" ht="15.75" customHeight="1">
      <c r="A311" s="6"/>
      <c r="F311" s="8"/>
      <c r="G311" s="38"/>
      <c r="J311" s="8"/>
      <c r="L311" s="8"/>
      <c r="N311" s="8"/>
      <c r="P311" s="8"/>
      <c r="R311" s="8"/>
      <c r="T311" s="10"/>
      <c r="X311" s="8"/>
    </row>
    <row r="312" ht="15.75" customHeight="1">
      <c r="A312" s="6"/>
      <c r="F312" s="8"/>
      <c r="G312" s="38"/>
      <c r="J312" s="8"/>
      <c r="L312" s="8"/>
      <c r="N312" s="8"/>
      <c r="P312" s="8"/>
      <c r="R312" s="8"/>
      <c r="T312" s="10"/>
      <c r="X312" s="8"/>
    </row>
    <row r="313" ht="15.75" customHeight="1">
      <c r="A313" s="6"/>
      <c r="F313" s="8"/>
      <c r="G313" s="38"/>
      <c r="J313" s="8"/>
      <c r="L313" s="8"/>
      <c r="N313" s="8"/>
      <c r="P313" s="8"/>
      <c r="R313" s="8"/>
      <c r="T313" s="10"/>
      <c r="X313" s="8"/>
    </row>
    <row r="314" ht="15.75" customHeight="1">
      <c r="A314" s="6"/>
      <c r="F314" s="8"/>
      <c r="G314" s="38"/>
      <c r="J314" s="8"/>
      <c r="L314" s="8"/>
      <c r="N314" s="8"/>
      <c r="P314" s="8"/>
      <c r="R314" s="8"/>
      <c r="T314" s="10"/>
      <c r="X314" s="8"/>
    </row>
    <row r="315" ht="15.75" customHeight="1">
      <c r="A315" s="6"/>
      <c r="F315" s="8"/>
      <c r="G315" s="38"/>
      <c r="J315" s="8"/>
      <c r="L315" s="8"/>
      <c r="N315" s="8"/>
      <c r="P315" s="8"/>
      <c r="R315" s="8"/>
      <c r="T315" s="10"/>
      <c r="X315" s="8"/>
    </row>
    <row r="316" ht="15.75" customHeight="1">
      <c r="A316" s="6"/>
      <c r="F316" s="8"/>
      <c r="G316" s="38"/>
      <c r="J316" s="8"/>
      <c r="L316" s="8"/>
      <c r="N316" s="8"/>
      <c r="P316" s="8"/>
      <c r="R316" s="8"/>
      <c r="T316" s="10"/>
      <c r="X316" s="8"/>
    </row>
    <row r="317" ht="15.75" customHeight="1">
      <c r="A317" s="6"/>
      <c r="F317" s="8"/>
      <c r="G317" s="38"/>
      <c r="J317" s="8"/>
      <c r="L317" s="8"/>
      <c r="N317" s="8"/>
      <c r="P317" s="8"/>
      <c r="R317" s="8"/>
      <c r="T317" s="10"/>
      <c r="X317" s="8"/>
    </row>
    <row r="318" ht="15.75" customHeight="1">
      <c r="A318" s="6"/>
      <c r="F318" s="8"/>
      <c r="G318" s="38"/>
      <c r="J318" s="8"/>
      <c r="L318" s="8"/>
      <c r="N318" s="8"/>
      <c r="P318" s="8"/>
      <c r="R318" s="8"/>
      <c r="T318" s="10"/>
      <c r="X318" s="8"/>
    </row>
    <row r="319" ht="15.75" customHeight="1">
      <c r="A319" s="6"/>
      <c r="F319" s="8"/>
      <c r="G319" s="38"/>
      <c r="J319" s="8"/>
      <c r="L319" s="8"/>
      <c r="N319" s="8"/>
      <c r="P319" s="8"/>
      <c r="R319" s="8"/>
      <c r="T319" s="10"/>
      <c r="X319" s="8"/>
    </row>
    <row r="320" ht="15.75" customHeight="1">
      <c r="A320" s="6"/>
      <c r="F320" s="8"/>
      <c r="G320" s="38"/>
      <c r="J320" s="8"/>
      <c r="L320" s="8"/>
      <c r="N320" s="8"/>
      <c r="P320" s="8"/>
      <c r="R320" s="8"/>
      <c r="T320" s="10"/>
      <c r="X320" s="8"/>
    </row>
    <row r="321" ht="15.75" customHeight="1">
      <c r="A321" s="6"/>
      <c r="F321" s="8"/>
      <c r="G321" s="38"/>
      <c r="J321" s="8"/>
      <c r="L321" s="8"/>
      <c r="N321" s="8"/>
      <c r="P321" s="8"/>
      <c r="R321" s="8"/>
      <c r="T321" s="10"/>
      <c r="X321" s="8"/>
    </row>
    <row r="322" ht="15.75" customHeight="1">
      <c r="A322" s="6"/>
      <c r="F322" s="8"/>
      <c r="G322" s="38"/>
      <c r="J322" s="8"/>
      <c r="L322" s="8"/>
      <c r="N322" s="8"/>
      <c r="P322" s="8"/>
      <c r="R322" s="8"/>
      <c r="T322" s="10"/>
      <c r="X322" s="8"/>
    </row>
    <row r="323" ht="15.75" customHeight="1">
      <c r="A323" s="6"/>
      <c r="F323" s="8"/>
      <c r="G323" s="38"/>
      <c r="J323" s="8"/>
      <c r="L323" s="8"/>
      <c r="N323" s="8"/>
      <c r="P323" s="8"/>
      <c r="R323" s="8"/>
      <c r="T323" s="10"/>
      <c r="X323" s="8"/>
    </row>
    <row r="324" ht="15.75" customHeight="1">
      <c r="A324" s="6"/>
      <c r="F324" s="8"/>
      <c r="G324" s="38"/>
      <c r="J324" s="8"/>
      <c r="L324" s="8"/>
      <c r="N324" s="8"/>
      <c r="P324" s="8"/>
      <c r="R324" s="8"/>
      <c r="T324" s="10"/>
      <c r="X324" s="8"/>
    </row>
    <row r="325" ht="15.75" customHeight="1">
      <c r="A325" s="6"/>
      <c r="F325" s="8"/>
      <c r="G325" s="38"/>
      <c r="J325" s="8"/>
      <c r="L325" s="8"/>
      <c r="N325" s="8"/>
      <c r="P325" s="8"/>
      <c r="R325" s="8"/>
      <c r="T325" s="10"/>
      <c r="X325" s="8"/>
    </row>
    <row r="326" ht="15.75" customHeight="1">
      <c r="A326" s="6"/>
      <c r="F326" s="8"/>
      <c r="G326" s="38"/>
      <c r="J326" s="8"/>
      <c r="L326" s="8"/>
      <c r="N326" s="8"/>
      <c r="P326" s="8"/>
      <c r="R326" s="8"/>
      <c r="T326" s="10"/>
      <c r="X326" s="8"/>
    </row>
    <row r="327" ht="15.75" customHeight="1">
      <c r="A327" s="6"/>
      <c r="F327" s="8"/>
      <c r="G327" s="38"/>
      <c r="J327" s="8"/>
      <c r="L327" s="8"/>
      <c r="N327" s="8"/>
      <c r="P327" s="8"/>
      <c r="R327" s="8"/>
      <c r="T327" s="10"/>
      <c r="X327" s="8"/>
    </row>
    <row r="328" ht="15.75" customHeight="1">
      <c r="A328" s="6"/>
      <c r="F328" s="8"/>
      <c r="G328" s="38"/>
      <c r="J328" s="8"/>
      <c r="L328" s="8"/>
      <c r="N328" s="8"/>
      <c r="P328" s="8"/>
      <c r="R328" s="8"/>
      <c r="T328" s="10"/>
      <c r="X328" s="8"/>
    </row>
    <row r="329" ht="15.75" customHeight="1">
      <c r="A329" s="6"/>
      <c r="F329" s="8"/>
      <c r="G329" s="38"/>
      <c r="J329" s="8"/>
      <c r="L329" s="8"/>
      <c r="N329" s="8"/>
      <c r="P329" s="8"/>
      <c r="R329" s="8"/>
      <c r="T329" s="10"/>
      <c r="X329" s="8"/>
    </row>
    <row r="330" ht="15.75" customHeight="1">
      <c r="A330" s="6"/>
      <c r="F330" s="8"/>
      <c r="G330" s="38"/>
      <c r="J330" s="8"/>
      <c r="L330" s="8"/>
      <c r="N330" s="8"/>
      <c r="P330" s="8"/>
      <c r="R330" s="8"/>
      <c r="T330" s="10"/>
      <c r="X330" s="8"/>
    </row>
    <row r="331" ht="15.75" customHeight="1">
      <c r="A331" s="6"/>
      <c r="F331" s="8"/>
      <c r="G331" s="38"/>
      <c r="J331" s="8"/>
      <c r="L331" s="8"/>
      <c r="N331" s="8"/>
      <c r="P331" s="8"/>
      <c r="R331" s="8"/>
      <c r="T331" s="10"/>
      <c r="X331" s="8"/>
    </row>
    <row r="332" ht="15.75" customHeight="1">
      <c r="A332" s="6"/>
      <c r="F332" s="8"/>
      <c r="G332" s="38"/>
      <c r="J332" s="8"/>
      <c r="L332" s="8"/>
      <c r="N332" s="8"/>
      <c r="P332" s="8"/>
      <c r="R332" s="8"/>
      <c r="T332" s="10"/>
      <c r="X332" s="8"/>
    </row>
    <row r="333" ht="15.75" customHeight="1">
      <c r="A333" s="6"/>
      <c r="F333" s="8"/>
      <c r="G333" s="38"/>
      <c r="J333" s="8"/>
      <c r="L333" s="8"/>
      <c r="N333" s="8"/>
      <c r="P333" s="8"/>
      <c r="R333" s="8"/>
      <c r="T333" s="10"/>
      <c r="X333" s="8"/>
    </row>
    <row r="334" ht="15.75" customHeight="1">
      <c r="A334" s="6"/>
      <c r="F334" s="8"/>
      <c r="G334" s="38"/>
      <c r="J334" s="8"/>
      <c r="L334" s="8"/>
      <c r="N334" s="8"/>
      <c r="P334" s="8"/>
      <c r="R334" s="8"/>
      <c r="T334" s="10"/>
      <c r="X334" s="8"/>
    </row>
    <row r="335" ht="15.75" customHeight="1">
      <c r="A335" s="6"/>
      <c r="F335" s="8"/>
      <c r="G335" s="38"/>
      <c r="J335" s="8"/>
      <c r="L335" s="8"/>
      <c r="N335" s="8"/>
      <c r="P335" s="8"/>
      <c r="R335" s="8"/>
      <c r="T335" s="10"/>
      <c r="X335" s="8"/>
    </row>
    <row r="336" ht="15.75" customHeight="1">
      <c r="A336" s="6"/>
      <c r="F336" s="8"/>
      <c r="G336" s="38"/>
      <c r="J336" s="8"/>
      <c r="L336" s="8"/>
      <c r="N336" s="8"/>
      <c r="P336" s="8"/>
      <c r="R336" s="8"/>
      <c r="T336" s="10"/>
      <c r="X336" s="8"/>
    </row>
    <row r="337" ht="15.75" customHeight="1">
      <c r="A337" s="6"/>
      <c r="F337" s="8"/>
      <c r="G337" s="38"/>
      <c r="J337" s="8"/>
      <c r="L337" s="8"/>
      <c r="N337" s="8"/>
      <c r="P337" s="8"/>
      <c r="R337" s="8"/>
      <c r="T337" s="10"/>
      <c r="X337" s="8"/>
    </row>
    <row r="338" ht="15.75" customHeight="1">
      <c r="A338" s="6"/>
      <c r="F338" s="8"/>
      <c r="G338" s="38"/>
      <c r="J338" s="8"/>
      <c r="L338" s="8"/>
      <c r="N338" s="8"/>
      <c r="P338" s="8"/>
      <c r="R338" s="8"/>
      <c r="T338" s="10"/>
      <c r="X338" s="8"/>
    </row>
    <row r="339" ht="15.75" customHeight="1">
      <c r="A339" s="6"/>
      <c r="F339" s="8"/>
      <c r="G339" s="38"/>
      <c r="J339" s="8"/>
      <c r="L339" s="8"/>
      <c r="N339" s="8"/>
      <c r="P339" s="8"/>
      <c r="R339" s="8"/>
      <c r="T339" s="10"/>
      <c r="X339" s="8"/>
    </row>
    <row r="340" ht="15.75" customHeight="1">
      <c r="A340" s="6"/>
      <c r="F340" s="8"/>
      <c r="G340" s="38"/>
      <c r="J340" s="8"/>
      <c r="L340" s="8"/>
      <c r="N340" s="8"/>
      <c r="P340" s="8"/>
      <c r="R340" s="8"/>
      <c r="T340" s="10"/>
      <c r="X340" s="8"/>
    </row>
    <row r="341" ht="15.75" customHeight="1">
      <c r="A341" s="6"/>
      <c r="F341" s="8"/>
      <c r="G341" s="38"/>
      <c r="J341" s="8"/>
      <c r="L341" s="8"/>
      <c r="N341" s="8"/>
      <c r="P341" s="8"/>
      <c r="R341" s="8"/>
      <c r="T341" s="10"/>
      <c r="X341" s="8"/>
    </row>
    <row r="342" ht="15.75" customHeight="1">
      <c r="A342" s="6"/>
      <c r="F342" s="8"/>
      <c r="G342" s="38"/>
      <c r="J342" s="8"/>
      <c r="L342" s="8"/>
      <c r="N342" s="8"/>
      <c r="P342" s="8"/>
      <c r="R342" s="8"/>
      <c r="T342" s="10"/>
      <c r="X342" s="8"/>
    </row>
    <row r="343" ht="15.75" customHeight="1">
      <c r="A343" s="6"/>
      <c r="F343" s="8"/>
      <c r="G343" s="38"/>
      <c r="J343" s="8"/>
      <c r="L343" s="8"/>
      <c r="N343" s="8"/>
      <c r="P343" s="8"/>
      <c r="R343" s="8"/>
      <c r="T343" s="10"/>
      <c r="X343" s="8"/>
    </row>
    <row r="344" ht="15.75" customHeight="1">
      <c r="A344" s="6"/>
      <c r="F344" s="8"/>
      <c r="G344" s="38"/>
      <c r="J344" s="8"/>
      <c r="L344" s="8"/>
      <c r="N344" s="8"/>
      <c r="P344" s="8"/>
      <c r="R344" s="8"/>
      <c r="T344" s="10"/>
      <c r="X344" s="8"/>
    </row>
    <row r="345" ht="15.75" customHeight="1">
      <c r="A345" s="6"/>
      <c r="F345" s="8"/>
      <c r="G345" s="38"/>
      <c r="J345" s="8"/>
      <c r="L345" s="8"/>
      <c r="N345" s="8"/>
      <c r="P345" s="8"/>
      <c r="R345" s="8"/>
      <c r="T345" s="10"/>
      <c r="X345" s="8"/>
    </row>
    <row r="346" ht="15.75" customHeight="1">
      <c r="A346" s="6"/>
      <c r="F346" s="8"/>
      <c r="G346" s="38"/>
      <c r="J346" s="8"/>
      <c r="L346" s="8"/>
      <c r="N346" s="8"/>
      <c r="P346" s="8"/>
      <c r="R346" s="8"/>
      <c r="T346" s="10"/>
      <c r="X346" s="8"/>
    </row>
    <row r="347" ht="15.75" customHeight="1">
      <c r="A347" s="6"/>
      <c r="F347" s="8"/>
      <c r="G347" s="38"/>
      <c r="J347" s="8"/>
      <c r="L347" s="8"/>
      <c r="N347" s="8"/>
      <c r="P347" s="8"/>
      <c r="R347" s="8"/>
      <c r="T347" s="10"/>
      <c r="X347" s="8"/>
    </row>
    <row r="348" ht="15.75" customHeight="1">
      <c r="A348" s="6"/>
      <c r="F348" s="8"/>
      <c r="G348" s="38"/>
      <c r="J348" s="8"/>
      <c r="L348" s="8"/>
      <c r="N348" s="8"/>
      <c r="P348" s="8"/>
      <c r="R348" s="8"/>
      <c r="T348" s="10"/>
      <c r="X348" s="8"/>
    </row>
    <row r="349" ht="15.75" customHeight="1">
      <c r="A349" s="6"/>
      <c r="F349" s="8"/>
      <c r="G349" s="38"/>
      <c r="J349" s="8"/>
      <c r="L349" s="8"/>
      <c r="N349" s="8"/>
      <c r="P349" s="8"/>
      <c r="R349" s="8"/>
      <c r="T349" s="10"/>
      <c r="X349" s="8"/>
    </row>
    <row r="350" ht="15.75" customHeight="1">
      <c r="A350" s="6"/>
      <c r="F350" s="8"/>
      <c r="G350" s="38"/>
      <c r="J350" s="8"/>
      <c r="L350" s="8"/>
      <c r="N350" s="8"/>
      <c r="P350" s="8"/>
      <c r="R350" s="8"/>
      <c r="T350" s="10"/>
      <c r="X350" s="8"/>
    </row>
    <row r="351" ht="15.75" customHeight="1">
      <c r="A351" s="6"/>
      <c r="F351" s="8"/>
      <c r="G351" s="38"/>
      <c r="J351" s="8"/>
      <c r="L351" s="8"/>
      <c r="N351" s="8"/>
      <c r="P351" s="8"/>
      <c r="R351" s="8"/>
      <c r="T351" s="10"/>
      <c r="X351" s="8"/>
    </row>
    <row r="352" ht="15.75" customHeight="1">
      <c r="A352" s="6"/>
      <c r="F352" s="8"/>
      <c r="G352" s="38"/>
      <c r="J352" s="8"/>
      <c r="L352" s="8"/>
      <c r="N352" s="8"/>
      <c r="P352" s="8"/>
      <c r="R352" s="8"/>
      <c r="T352" s="10"/>
      <c r="X352" s="8"/>
    </row>
    <row r="353" ht="15.75" customHeight="1">
      <c r="A353" s="6"/>
      <c r="F353" s="8"/>
      <c r="G353" s="38"/>
      <c r="J353" s="8"/>
      <c r="L353" s="8"/>
      <c r="N353" s="8"/>
      <c r="P353" s="8"/>
      <c r="R353" s="8"/>
      <c r="T353" s="10"/>
      <c r="X353" s="8"/>
    </row>
    <row r="354" ht="15.75" customHeight="1">
      <c r="A354" s="6"/>
      <c r="F354" s="8"/>
      <c r="G354" s="38"/>
      <c r="J354" s="8"/>
      <c r="L354" s="8"/>
      <c r="N354" s="8"/>
      <c r="P354" s="8"/>
      <c r="R354" s="8"/>
      <c r="T354" s="10"/>
      <c r="X354" s="8"/>
    </row>
    <row r="355" ht="15.75" customHeight="1">
      <c r="A355" s="6"/>
      <c r="F355" s="8"/>
      <c r="G355" s="38"/>
      <c r="J355" s="8"/>
      <c r="L355" s="8"/>
      <c r="N355" s="8"/>
      <c r="P355" s="8"/>
      <c r="R355" s="8"/>
      <c r="T355" s="10"/>
      <c r="X355" s="8"/>
    </row>
    <row r="356" ht="15.75" customHeight="1">
      <c r="A356" s="6"/>
      <c r="F356" s="8"/>
      <c r="G356" s="38"/>
      <c r="J356" s="8"/>
      <c r="L356" s="8"/>
      <c r="N356" s="8"/>
      <c r="P356" s="8"/>
      <c r="R356" s="8"/>
      <c r="T356" s="10"/>
      <c r="X356" s="8"/>
    </row>
    <row r="357" ht="15.75" customHeight="1">
      <c r="A357" s="6"/>
      <c r="F357" s="8"/>
      <c r="G357" s="38"/>
      <c r="J357" s="8"/>
      <c r="L357" s="8"/>
      <c r="N357" s="8"/>
      <c r="P357" s="8"/>
      <c r="R357" s="8"/>
      <c r="T357" s="10"/>
      <c r="X357" s="8"/>
    </row>
    <row r="358" ht="15.75" customHeight="1">
      <c r="A358" s="6"/>
      <c r="F358" s="8"/>
      <c r="G358" s="38"/>
      <c r="J358" s="8"/>
      <c r="L358" s="8"/>
      <c r="N358" s="8"/>
      <c r="P358" s="8"/>
      <c r="R358" s="8"/>
      <c r="T358" s="10"/>
      <c r="X358" s="8"/>
    </row>
    <row r="359" ht="15.75" customHeight="1">
      <c r="A359" s="6"/>
      <c r="F359" s="8"/>
      <c r="G359" s="38"/>
      <c r="J359" s="8"/>
      <c r="L359" s="8"/>
      <c r="N359" s="8"/>
      <c r="P359" s="8"/>
      <c r="R359" s="8"/>
      <c r="T359" s="10"/>
      <c r="X359" s="8"/>
    </row>
    <row r="360" ht="15.75" customHeight="1">
      <c r="A360" s="6"/>
      <c r="F360" s="8"/>
      <c r="G360" s="38"/>
      <c r="J360" s="8"/>
      <c r="L360" s="8"/>
      <c r="N360" s="8"/>
      <c r="P360" s="8"/>
      <c r="R360" s="8"/>
      <c r="T360" s="10"/>
      <c r="X360" s="8"/>
    </row>
    <row r="361" ht="15.75" customHeight="1">
      <c r="A361" s="6"/>
      <c r="F361" s="8"/>
      <c r="G361" s="38"/>
      <c r="J361" s="8"/>
      <c r="L361" s="8"/>
      <c r="N361" s="8"/>
      <c r="P361" s="8"/>
      <c r="R361" s="8"/>
      <c r="T361" s="10"/>
      <c r="X361" s="8"/>
    </row>
    <row r="362" ht="15.75" customHeight="1">
      <c r="A362" s="6"/>
      <c r="F362" s="8"/>
      <c r="G362" s="38"/>
      <c r="J362" s="8"/>
      <c r="L362" s="8"/>
      <c r="N362" s="8"/>
      <c r="P362" s="8"/>
      <c r="R362" s="8"/>
      <c r="T362" s="10"/>
      <c r="X362" s="8"/>
    </row>
    <row r="363" ht="15.75" customHeight="1">
      <c r="A363" s="6"/>
      <c r="F363" s="8"/>
      <c r="G363" s="38"/>
      <c r="J363" s="8"/>
      <c r="L363" s="8"/>
      <c r="N363" s="8"/>
      <c r="P363" s="8"/>
      <c r="R363" s="8"/>
      <c r="T363" s="10"/>
      <c r="X363" s="8"/>
    </row>
    <row r="364" ht="15.75" customHeight="1">
      <c r="A364" s="6"/>
      <c r="F364" s="8"/>
      <c r="G364" s="38"/>
      <c r="J364" s="8"/>
      <c r="L364" s="8"/>
      <c r="N364" s="8"/>
      <c r="P364" s="8"/>
      <c r="R364" s="8"/>
      <c r="T364" s="10"/>
      <c r="X364" s="8"/>
    </row>
    <row r="365" ht="15.75" customHeight="1">
      <c r="A365" s="6"/>
      <c r="F365" s="8"/>
      <c r="G365" s="38"/>
      <c r="J365" s="8"/>
      <c r="L365" s="8"/>
      <c r="N365" s="8"/>
      <c r="P365" s="8"/>
      <c r="R365" s="8"/>
      <c r="T365" s="10"/>
      <c r="X365" s="8"/>
    </row>
    <row r="366" ht="15.75" customHeight="1">
      <c r="A366" s="6"/>
      <c r="F366" s="8"/>
      <c r="G366" s="38"/>
      <c r="J366" s="8"/>
      <c r="L366" s="8"/>
      <c r="N366" s="8"/>
      <c r="P366" s="8"/>
      <c r="R366" s="8"/>
      <c r="T366" s="10"/>
      <c r="X366" s="8"/>
    </row>
    <row r="367" ht="15.75" customHeight="1">
      <c r="A367" s="6"/>
      <c r="F367" s="8"/>
      <c r="G367" s="38"/>
      <c r="J367" s="8"/>
      <c r="L367" s="8"/>
      <c r="N367" s="8"/>
      <c r="P367" s="8"/>
      <c r="R367" s="8"/>
      <c r="T367" s="10"/>
      <c r="X367" s="8"/>
    </row>
    <row r="368" ht="15.75" customHeight="1">
      <c r="A368" s="6"/>
      <c r="F368" s="8"/>
      <c r="G368" s="38"/>
      <c r="J368" s="8"/>
      <c r="L368" s="8"/>
      <c r="N368" s="8"/>
      <c r="P368" s="8"/>
      <c r="R368" s="8"/>
      <c r="T368" s="10"/>
      <c r="X368" s="8"/>
    </row>
    <row r="369" ht="15.75" customHeight="1">
      <c r="A369" s="6"/>
      <c r="F369" s="8"/>
      <c r="G369" s="38"/>
      <c r="J369" s="8"/>
      <c r="L369" s="8"/>
      <c r="N369" s="8"/>
      <c r="P369" s="8"/>
      <c r="R369" s="8"/>
      <c r="T369" s="10"/>
      <c r="X369" s="8"/>
    </row>
    <row r="370" ht="15.75" customHeight="1">
      <c r="A370" s="6"/>
      <c r="F370" s="8"/>
      <c r="G370" s="38"/>
      <c r="J370" s="8"/>
      <c r="L370" s="8"/>
      <c r="N370" s="8"/>
      <c r="P370" s="8"/>
      <c r="R370" s="8"/>
      <c r="T370" s="10"/>
      <c r="X370" s="8"/>
    </row>
    <row r="371" ht="15.75" customHeight="1">
      <c r="A371" s="6"/>
      <c r="F371" s="8"/>
      <c r="G371" s="38"/>
      <c r="J371" s="8"/>
      <c r="L371" s="8"/>
      <c r="N371" s="8"/>
      <c r="P371" s="8"/>
      <c r="R371" s="8"/>
      <c r="T371" s="10"/>
      <c r="X371" s="8"/>
    </row>
    <row r="372" ht="15.75" customHeight="1">
      <c r="A372" s="6"/>
      <c r="F372" s="8"/>
      <c r="G372" s="38"/>
      <c r="J372" s="8"/>
      <c r="L372" s="8"/>
      <c r="N372" s="8"/>
      <c r="P372" s="8"/>
      <c r="R372" s="8"/>
      <c r="T372" s="10"/>
      <c r="X372" s="8"/>
    </row>
    <row r="373" ht="15.75" customHeight="1">
      <c r="A373" s="6"/>
      <c r="F373" s="8"/>
      <c r="G373" s="38"/>
      <c r="J373" s="8"/>
      <c r="L373" s="8"/>
      <c r="N373" s="8"/>
      <c r="P373" s="8"/>
      <c r="R373" s="8"/>
      <c r="T373" s="10"/>
      <c r="X373" s="8"/>
    </row>
    <row r="374" ht="15.75" customHeight="1">
      <c r="A374" s="6"/>
      <c r="F374" s="8"/>
      <c r="G374" s="38"/>
      <c r="J374" s="8"/>
      <c r="L374" s="8"/>
      <c r="N374" s="8"/>
      <c r="P374" s="8"/>
      <c r="R374" s="8"/>
      <c r="T374" s="10"/>
      <c r="X374" s="8"/>
    </row>
    <row r="375" ht="15.75" customHeight="1">
      <c r="A375" s="6"/>
      <c r="F375" s="8"/>
      <c r="G375" s="38"/>
      <c r="J375" s="8"/>
      <c r="L375" s="8"/>
      <c r="N375" s="8"/>
      <c r="P375" s="8"/>
      <c r="R375" s="8"/>
      <c r="T375" s="10"/>
      <c r="X375" s="8"/>
    </row>
    <row r="376" ht="15.75" customHeight="1">
      <c r="A376" s="6"/>
      <c r="F376" s="8"/>
      <c r="G376" s="38"/>
      <c r="J376" s="8"/>
      <c r="L376" s="8"/>
      <c r="N376" s="8"/>
      <c r="P376" s="8"/>
      <c r="R376" s="8"/>
      <c r="T376" s="10"/>
      <c r="X376" s="8"/>
    </row>
    <row r="377" ht="15.75" customHeight="1">
      <c r="A377" s="6"/>
      <c r="F377" s="8"/>
      <c r="G377" s="38"/>
      <c r="J377" s="8"/>
      <c r="L377" s="8"/>
      <c r="N377" s="8"/>
      <c r="P377" s="8"/>
      <c r="R377" s="8"/>
      <c r="T377" s="10"/>
      <c r="X377" s="8"/>
    </row>
    <row r="378" ht="15.75" customHeight="1">
      <c r="A378" s="6"/>
      <c r="F378" s="8"/>
      <c r="G378" s="38"/>
      <c r="J378" s="8"/>
      <c r="L378" s="8"/>
      <c r="N378" s="8"/>
      <c r="P378" s="8"/>
      <c r="R378" s="8"/>
      <c r="T378" s="10"/>
      <c r="X378" s="8"/>
    </row>
    <row r="379" ht="15.75" customHeight="1">
      <c r="A379" s="6"/>
      <c r="F379" s="8"/>
      <c r="G379" s="38"/>
      <c r="J379" s="8"/>
      <c r="L379" s="8"/>
      <c r="N379" s="8"/>
      <c r="P379" s="8"/>
      <c r="R379" s="8"/>
      <c r="T379" s="10"/>
      <c r="X379" s="8"/>
    </row>
    <row r="380" ht="15.75" customHeight="1">
      <c r="A380" s="6"/>
      <c r="F380" s="8"/>
      <c r="G380" s="38"/>
      <c r="J380" s="8"/>
      <c r="L380" s="8"/>
      <c r="N380" s="8"/>
      <c r="P380" s="8"/>
      <c r="R380" s="8"/>
      <c r="T380" s="10"/>
      <c r="X380" s="8"/>
    </row>
    <row r="381" ht="15.75" customHeight="1">
      <c r="A381" s="6"/>
      <c r="F381" s="8"/>
      <c r="G381" s="38"/>
      <c r="J381" s="8"/>
      <c r="L381" s="8"/>
      <c r="N381" s="8"/>
      <c r="P381" s="8"/>
      <c r="R381" s="8"/>
      <c r="T381" s="10"/>
      <c r="X381" s="8"/>
    </row>
    <row r="382" ht="15.75" customHeight="1">
      <c r="A382" s="6"/>
      <c r="F382" s="8"/>
      <c r="G382" s="38"/>
      <c r="J382" s="8"/>
      <c r="L382" s="8"/>
      <c r="N382" s="8"/>
      <c r="P382" s="8"/>
      <c r="R382" s="8"/>
      <c r="T382" s="10"/>
      <c r="X382" s="8"/>
    </row>
    <row r="383" ht="15.75" customHeight="1">
      <c r="A383" s="6"/>
      <c r="F383" s="8"/>
      <c r="G383" s="38"/>
      <c r="J383" s="8"/>
      <c r="L383" s="8"/>
      <c r="N383" s="8"/>
      <c r="P383" s="8"/>
      <c r="R383" s="8"/>
      <c r="T383" s="10"/>
      <c r="X383" s="8"/>
    </row>
    <row r="384" ht="15.75" customHeight="1">
      <c r="A384" s="6"/>
      <c r="F384" s="8"/>
      <c r="G384" s="38"/>
      <c r="J384" s="8"/>
      <c r="L384" s="8"/>
      <c r="N384" s="8"/>
      <c r="P384" s="8"/>
      <c r="R384" s="8"/>
      <c r="T384" s="10"/>
      <c r="X384" s="8"/>
    </row>
    <row r="385" ht="15.75" customHeight="1">
      <c r="A385" s="6"/>
      <c r="F385" s="8"/>
      <c r="G385" s="38"/>
      <c r="J385" s="8"/>
      <c r="L385" s="8"/>
      <c r="N385" s="8"/>
      <c r="P385" s="8"/>
      <c r="R385" s="8"/>
      <c r="T385" s="10"/>
      <c r="X385" s="8"/>
    </row>
    <row r="386" ht="15.75" customHeight="1">
      <c r="A386" s="6"/>
      <c r="F386" s="8"/>
      <c r="G386" s="38"/>
      <c r="J386" s="8"/>
      <c r="L386" s="8"/>
      <c r="N386" s="8"/>
      <c r="P386" s="8"/>
      <c r="R386" s="8"/>
      <c r="T386" s="10"/>
      <c r="X386" s="8"/>
    </row>
    <row r="387" ht="15.75" customHeight="1">
      <c r="A387" s="6"/>
      <c r="F387" s="8"/>
      <c r="G387" s="38"/>
      <c r="J387" s="8"/>
      <c r="L387" s="8"/>
      <c r="N387" s="8"/>
      <c r="P387" s="8"/>
      <c r="R387" s="8"/>
      <c r="T387" s="10"/>
      <c r="X387" s="8"/>
    </row>
    <row r="388" ht="15.75" customHeight="1">
      <c r="A388" s="6"/>
      <c r="F388" s="8"/>
      <c r="G388" s="38"/>
      <c r="J388" s="8"/>
      <c r="L388" s="8"/>
      <c r="N388" s="8"/>
      <c r="P388" s="8"/>
      <c r="R388" s="8"/>
      <c r="T388" s="10"/>
      <c r="X388" s="8"/>
    </row>
    <row r="389" ht="15.75" customHeight="1">
      <c r="A389" s="6"/>
      <c r="F389" s="8"/>
      <c r="G389" s="38"/>
      <c r="J389" s="8"/>
      <c r="L389" s="8"/>
      <c r="N389" s="8"/>
      <c r="P389" s="8"/>
      <c r="R389" s="8"/>
      <c r="T389" s="10"/>
      <c r="X389" s="8"/>
    </row>
    <row r="390" ht="15.75" customHeight="1">
      <c r="A390" s="6"/>
      <c r="F390" s="8"/>
      <c r="G390" s="38"/>
      <c r="J390" s="8"/>
      <c r="L390" s="8"/>
      <c r="N390" s="8"/>
      <c r="P390" s="8"/>
      <c r="R390" s="8"/>
      <c r="T390" s="10"/>
      <c r="X390" s="8"/>
    </row>
    <row r="391" ht="15.75" customHeight="1">
      <c r="A391" s="6"/>
      <c r="F391" s="8"/>
      <c r="G391" s="38"/>
      <c r="J391" s="8"/>
      <c r="L391" s="8"/>
      <c r="N391" s="8"/>
      <c r="P391" s="8"/>
      <c r="R391" s="8"/>
      <c r="T391" s="10"/>
      <c r="X391" s="8"/>
    </row>
    <row r="392" ht="15.75" customHeight="1">
      <c r="A392" s="6"/>
      <c r="F392" s="8"/>
      <c r="G392" s="38"/>
      <c r="J392" s="8"/>
      <c r="L392" s="8"/>
      <c r="N392" s="8"/>
      <c r="P392" s="8"/>
      <c r="R392" s="8"/>
      <c r="T392" s="10"/>
      <c r="X392" s="8"/>
    </row>
    <row r="393" ht="15.75" customHeight="1">
      <c r="A393" s="6"/>
      <c r="F393" s="8"/>
      <c r="G393" s="38"/>
      <c r="J393" s="8"/>
      <c r="L393" s="8"/>
      <c r="N393" s="8"/>
      <c r="P393" s="8"/>
      <c r="R393" s="8"/>
      <c r="T393" s="10"/>
      <c r="X393" s="8"/>
    </row>
    <row r="394" ht="15.75" customHeight="1">
      <c r="A394" s="6"/>
      <c r="F394" s="8"/>
      <c r="G394" s="38"/>
      <c r="J394" s="8"/>
      <c r="L394" s="8"/>
      <c r="N394" s="8"/>
      <c r="P394" s="8"/>
      <c r="R394" s="8"/>
      <c r="T394" s="10"/>
      <c r="X394" s="8"/>
    </row>
    <row r="395" ht="15.75" customHeight="1">
      <c r="A395" s="6"/>
      <c r="F395" s="8"/>
      <c r="G395" s="38"/>
      <c r="J395" s="8"/>
      <c r="L395" s="8"/>
      <c r="N395" s="8"/>
      <c r="P395" s="8"/>
      <c r="R395" s="8"/>
      <c r="T395" s="10"/>
      <c r="X395" s="8"/>
    </row>
    <row r="396" ht="15.75" customHeight="1">
      <c r="A396" s="6"/>
      <c r="F396" s="8"/>
      <c r="G396" s="38"/>
      <c r="J396" s="8"/>
      <c r="L396" s="8"/>
      <c r="N396" s="8"/>
      <c r="P396" s="8"/>
      <c r="R396" s="8"/>
      <c r="T396" s="10"/>
      <c r="X396" s="8"/>
    </row>
    <row r="397" ht="15.75" customHeight="1">
      <c r="A397" s="6"/>
      <c r="F397" s="8"/>
      <c r="G397" s="38"/>
      <c r="J397" s="8"/>
      <c r="L397" s="8"/>
      <c r="N397" s="8"/>
      <c r="P397" s="8"/>
      <c r="R397" s="8"/>
      <c r="T397" s="10"/>
      <c r="X397" s="8"/>
    </row>
    <row r="398" ht="15.75" customHeight="1">
      <c r="A398" s="6"/>
      <c r="F398" s="8"/>
      <c r="G398" s="38"/>
      <c r="J398" s="8"/>
      <c r="L398" s="8"/>
      <c r="N398" s="8"/>
      <c r="P398" s="8"/>
      <c r="R398" s="8"/>
      <c r="T398" s="10"/>
      <c r="X398" s="8"/>
    </row>
    <row r="399" ht="15.75" customHeight="1">
      <c r="A399" s="6"/>
      <c r="F399" s="8"/>
      <c r="G399" s="38"/>
      <c r="J399" s="8"/>
      <c r="L399" s="8"/>
      <c r="N399" s="8"/>
      <c r="P399" s="8"/>
      <c r="R399" s="8"/>
      <c r="T399" s="10"/>
      <c r="X399" s="8"/>
    </row>
    <row r="400" ht="15.75" customHeight="1">
      <c r="A400" s="6"/>
      <c r="F400" s="8"/>
      <c r="G400" s="38"/>
      <c r="J400" s="8"/>
      <c r="L400" s="8"/>
      <c r="N400" s="8"/>
      <c r="P400" s="8"/>
      <c r="R400" s="8"/>
      <c r="T400" s="10"/>
      <c r="X400" s="8"/>
    </row>
    <row r="401" ht="15.75" customHeight="1">
      <c r="A401" s="6"/>
      <c r="F401" s="8"/>
      <c r="G401" s="38"/>
      <c r="J401" s="8"/>
      <c r="L401" s="8"/>
      <c r="N401" s="8"/>
      <c r="P401" s="8"/>
      <c r="R401" s="8"/>
      <c r="T401" s="10"/>
      <c r="X401" s="8"/>
    </row>
    <row r="402" ht="15.75" customHeight="1">
      <c r="A402" s="6"/>
      <c r="F402" s="8"/>
      <c r="G402" s="38"/>
      <c r="J402" s="8"/>
      <c r="L402" s="8"/>
      <c r="N402" s="8"/>
      <c r="P402" s="8"/>
      <c r="R402" s="8"/>
      <c r="T402" s="10"/>
      <c r="X402" s="8"/>
    </row>
    <row r="403" ht="15.75" customHeight="1">
      <c r="A403" s="6"/>
      <c r="F403" s="8"/>
      <c r="G403" s="38"/>
      <c r="J403" s="8"/>
      <c r="L403" s="8"/>
      <c r="N403" s="8"/>
      <c r="P403" s="8"/>
      <c r="R403" s="8"/>
      <c r="T403" s="10"/>
      <c r="X403" s="8"/>
    </row>
    <row r="404" ht="15.75" customHeight="1">
      <c r="A404" s="6"/>
      <c r="F404" s="8"/>
      <c r="G404" s="38"/>
      <c r="J404" s="8"/>
      <c r="L404" s="8"/>
      <c r="N404" s="8"/>
      <c r="P404" s="8"/>
      <c r="R404" s="8"/>
      <c r="T404" s="10"/>
      <c r="X404" s="8"/>
    </row>
    <row r="405" ht="15.75" customHeight="1">
      <c r="A405" s="6"/>
      <c r="F405" s="8"/>
      <c r="G405" s="38"/>
      <c r="J405" s="8"/>
      <c r="L405" s="8"/>
      <c r="N405" s="8"/>
      <c r="P405" s="8"/>
      <c r="R405" s="8"/>
      <c r="T405" s="10"/>
      <c r="X405" s="8"/>
    </row>
    <row r="406" ht="15.75" customHeight="1">
      <c r="A406" s="6"/>
      <c r="F406" s="8"/>
      <c r="G406" s="38"/>
      <c r="J406" s="8"/>
      <c r="L406" s="8"/>
      <c r="N406" s="8"/>
      <c r="P406" s="8"/>
      <c r="R406" s="8"/>
      <c r="T406" s="10"/>
      <c r="X406" s="8"/>
    </row>
    <row r="407" ht="15.75" customHeight="1">
      <c r="A407" s="6"/>
      <c r="F407" s="8"/>
      <c r="G407" s="38"/>
      <c r="J407" s="8"/>
      <c r="L407" s="8"/>
      <c r="N407" s="8"/>
      <c r="P407" s="8"/>
      <c r="R407" s="8"/>
      <c r="T407" s="10"/>
      <c r="X407" s="8"/>
    </row>
    <row r="408" ht="15.75" customHeight="1">
      <c r="A408" s="6"/>
      <c r="F408" s="8"/>
      <c r="G408" s="38"/>
      <c r="J408" s="8"/>
      <c r="L408" s="8"/>
      <c r="N408" s="8"/>
      <c r="P408" s="8"/>
      <c r="R408" s="8"/>
      <c r="T408" s="10"/>
      <c r="X408" s="8"/>
    </row>
    <row r="409" ht="15.75" customHeight="1">
      <c r="A409" s="6"/>
      <c r="F409" s="8"/>
      <c r="G409" s="38"/>
      <c r="J409" s="8"/>
      <c r="L409" s="8"/>
      <c r="N409" s="8"/>
      <c r="P409" s="8"/>
      <c r="R409" s="8"/>
      <c r="T409" s="10"/>
      <c r="X409" s="8"/>
    </row>
    <row r="410" ht="15.75" customHeight="1">
      <c r="A410" s="6"/>
      <c r="F410" s="8"/>
      <c r="G410" s="38"/>
      <c r="J410" s="8"/>
      <c r="L410" s="8"/>
      <c r="N410" s="8"/>
      <c r="P410" s="8"/>
      <c r="R410" s="8"/>
      <c r="T410" s="10"/>
      <c r="X410" s="8"/>
    </row>
    <row r="411" ht="15.75" customHeight="1">
      <c r="A411" s="6"/>
      <c r="F411" s="8"/>
      <c r="G411" s="38"/>
      <c r="J411" s="8"/>
      <c r="L411" s="8"/>
      <c r="N411" s="8"/>
      <c r="P411" s="8"/>
      <c r="R411" s="8"/>
      <c r="T411" s="10"/>
      <c r="X411" s="8"/>
    </row>
    <row r="412" ht="15.75" customHeight="1">
      <c r="A412" s="6"/>
      <c r="F412" s="8"/>
      <c r="G412" s="38"/>
      <c r="J412" s="8"/>
      <c r="L412" s="8"/>
      <c r="N412" s="8"/>
      <c r="P412" s="8"/>
      <c r="R412" s="8"/>
      <c r="T412" s="10"/>
      <c r="X412" s="8"/>
    </row>
    <row r="413" ht="15.75" customHeight="1">
      <c r="A413" s="6"/>
      <c r="F413" s="8"/>
      <c r="G413" s="38"/>
      <c r="J413" s="8"/>
      <c r="L413" s="8"/>
      <c r="N413" s="8"/>
      <c r="P413" s="8"/>
      <c r="R413" s="8"/>
      <c r="T413" s="10"/>
      <c r="X413" s="8"/>
    </row>
    <row r="414" ht="15.75" customHeight="1">
      <c r="A414" s="6"/>
      <c r="F414" s="8"/>
      <c r="G414" s="38"/>
      <c r="J414" s="8"/>
      <c r="L414" s="8"/>
      <c r="N414" s="8"/>
      <c r="P414" s="8"/>
      <c r="R414" s="8"/>
      <c r="T414" s="10"/>
      <c r="X414" s="8"/>
    </row>
    <row r="415" ht="15.75" customHeight="1">
      <c r="A415" s="6"/>
      <c r="F415" s="8"/>
      <c r="G415" s="38"/>
      <c r="J415" s="8"/>
      <c r="L415" s="8"/>
      <c r="N415" s="8"/>
      <c r="P415" s="8"/>
      <c r="R415" s="8"/>
      <c r="T415" s="10"/>
      <c r="X415" s="8"/>
    </row>
    <row r="416" ht="15.75" customHeight="1">
      <c r="A416" s="6"/>
      <c r="F416" s="8"/>
      <c r="G416" s="38"/>
      <c r="J416" s="8"/>
      <c r="L416" s="8"/>
      <c r="N416" s="8"/>
      <c r="P416" s="8"/>
      <c r="R416" s="8"/>
      <c r="T416" s="10"/>
      <c r="X416" s="8"/>
    </row>
    <row r="417" ht="15.75" customHeight="1">
      <c r="A417" s="6"/>
      <c r="F417" s="8"/>
      <c r="G417" s="38"/>
      <c r="J417" s="8"/>
      <c r="L417" s="8"/>
      <c r="N417" s="8"/>
      <c r="P417" s="8"/>
      <c r="R417" s="8"/>
      <c r="T417" s="10"/>
      <c r="X417" s="8"/>
    </row>
    <row r="418" ht="15.75" customHeight="1">
      <c r="A418" s="6"/>
      <c r="F418" s="8"/>
      <c r="G418" s="38"/>
      <c r="J418" s="8"/>
      <c r="L418" s="8"/>
      <c r="N418" s="8"/>
      <c r="P418" s="8"/>
      <c r="R418" s="8"/>
      <c r="T418" s="10"/>
      <c r="X418" s="8"/>
    </row>
    <row r="419" ht="15.75" customHeight="1">
      <c r="A419" s="6"/>
      <c r="F419" s="8"/>
      <c r="G419" s="38"/>
      <c r="J419" s="8"/>
      <c r="L419" s="8"/>
      <c r="N419" s="8"/>
      <c r="P419" s="8"/>
      <c r="R419" s="8"/>
      <c r="T419" s="10"/>
      <c r="X419" s="8"/>
    </row>
    <row r="420" ht="15.75" customHeight="1">
      <c r="A420" s="6"/>
      <c r="F420" s="8"/>
      <c r="G420" s="38"/>
      <c r="J420" s="8"/>
      <c r="L420" s="8"/>
      <c r="N420" s="8"/>
      <c r="P420" s="8"/>
      <c r="R420" s="8"/>
      <c r="T420" s="10"/>
      <c r="X420" s="8"/>
    </row>
    <row r="421" ht="15.75" customHeight="1">
      <c r="A421" s="6"/>
      <c r="F421" s="8"/>
      <c r="G421" s="38"/>
      <c r="J421" s="8"/>
      <c r="L421" s="8"/>
      <c r="N421" s="8"/>
      <c r="P421" s="8"/>
      <c r="R421" s="8"/>
      <c r="T421" s="10"/>
      <c r="X421" s="8"/>
    </row>
    <row r="422" ht="15.75" customHeight="1">
      <c r="A422" s="6"/>
      <c r="F422" s="8"/>
      <c r="G422" s="38"/>
      <c r="J422" s="8"/>
      <c r="L422" s="8"/>
      <c r="N422" s="8"/>
      <c r="P422" s="8"/>
      <c r="R422" s="8"/>
      <c r="T422" s="10"/>
      <c r="X422" s="8"/>
    </row>
    <row r="423" ht="15.75" customHeight="1">
      <c r="A423" s="6"/>
      <c r="F423" s="8"/>
      <c r="G423" s="38"/>
      <c r="J423" s="8"/>
      <c r="L423" s="8"/>
      <c r="N423" s="8"/>
      <c r="P423" s="8"/>
      <c r="R423" s="8"/>
      <c r="T423" s="10"/>
      <c r="X423" s="8"/>
    </row>
    <row r="424" ht="15.75" customHeight="1">
      <c r="A424" s="6"/>
      <c r="F424" s="8"/>
      <c r="G424" s="38"/>
      <c r="J424" s="8"/>
      <c r="L424" s="8"/>
      <c r="N424" s="8"/>
      <c r="P424" s="8"/>
      <c r="R424" s="8"/>
      <c r="T424" s="10"/>
      <c r="X424" s="8"/>
    </row>
    <row r="425" ht="15.75" customHeight="1">
      <c r="A425" s="6"/>
      <c r="F425" s="8"/>
      <c r="G425" s="38"/>
      <c r="J425" s="8"/>
      <c r="L425" s="8"/>
      <c r="N425" s="8"/>
      <c r="P425" s="8"/>
      <c r="R425" s="8"/>
      <c r="T425" s="10"/>
      <c r="X425" s="8"/>
    </row>
    <row r="426" ht="15.75" customHeight="1">
      <c r="A426" s="6"/>
      <c r="F426" s="8"/>
      <c r="G426" s="38"/>
      <c r="J426" s="8"/>
      <c r="L426" s="8"/>
      <c r="N426" s="8"/>
      <c r="P426" s="8"/>
      <c r="R426" s="8"/>
      <c r="T426" s="10"/>
      <c r="X426" s="8"/>
    </row>
    <row r="427" ht="15.75" customHeight="1">
      <c r="A427" s="6"/>
      <c r="F427" s="8"/>
      <c r="G427" s="38"/>
      <c r="J427" s="8"/>
      <c r="L427" s="8"/>
      <c r="N427" s="8"/>
      <c r="P427" s="8"/>
      <c r="R427" s="8"/>
      <c r="T427" s="10"/>
      <c r="X427" s="8"/>
    </row>
    <row r="428" ht="15.75" customHeight="1">
      <c r="A428" s="6"/>
      <c r="F428" s="8"/>
      <c r="G428" s="38"/>
      <c r="J428" s="8"/>
      <c r="L428" s="8"/>
      <c r="N428" s="8"/>
      <c r="P428" s="8"/>
      <c r="R428" s="8"/>
      <c r="T428" s="10"/>
      <c r="X428" s="8"/>
    </row>
    <row r="429" ht="15.75" customHeight="1">
      <c r="A429" s="6"/>
      <c r="F429" s="8"/>
      <c r="G429" s="38"/>
      <c r="J429" s="8"/>
      <c r="L429" s="8"/>
      <c r="N429" s="8"/>
      <c r="P429" s="8"/>
      <c r="R429" s="8"/>
      <c r="T429" s="10"/>
      <c r="X429" s="8"/>
    </row>
    <row r="430" ht="15.75" customHeight="1">
      <c r="A430" s="6"/>
      <c r="F430" s="8"/>
      <c r="G430" s="38"/>
      <c r="J430" s="8"/>
      <c r="L430" s="8"/>
      <c r="N430" s="8"/>
      <c r="P430" s="8"/>
      <c r="R430" s="8"/>
      <c r="T430" s="10"/>
      <c r="X430" s="8"/>
    </row>
    <row r="431" ht="15.75" customHeight="1">
      <c r="A431" s="6"/>
      <c r="F431" s="8"/>
      <c r="G431" s="38"/>
      <c r="J431" s="8"/>
      <c r="L431" s="8"/>
      <c r="N431" s="8"/>
      <c r="P431" s="8"/>
      <c r="R431" s="8"/>
      <c r="T431" s="10"/>
      <c r="X431" s="8"/>
    </row>
    <row r="432" ht="15.75" customHeight="1">
      <c r="A432" s="6"/>
      <c r="F432" s="8"/>
      <c r="G432" s="38"/>
      <c r="J432" s="8"/>
      <c r="L432" s="8"/>
      <c r="N432" s="8"/>
      <c r="P432" s="8"/>
      <c r="R432" s="8"/>
      <c r="T432" s="10"/>
      <c r="X432" s="8"/>
    </row>
    <row r="433" ht="15.75" customHeight="1">
      <c r="A433" s="6"/>
      <c r="F433" s="8"/>
      <c r="G433" s="38"/>
      <c r="J433" s="8"/>
      <c r="L433" s="8"/>
      <c r="N433" s="8"/>
      <c r="P433" s="8"/>
      <c r="R433" s="8"/>
      <c r="T433" s="10"/>
      <c r="X433" s="8"/>
    </row>
    <row r="434" ht="15.75" customHeight="1">
      <c r="A434" s="6"/>
      <c r="F434" s="8"/>
      <c r="G434" s="38"/>
      <c r="J434" s="8"/>
      <c r="L434" s="8"/>
      <c r="N434" s="8"/>
      <c r="P434" s="8"/>
      <c r="R434" s="8"/>
      <c r="T434" s="10"/>
      <c r="X434" s="8"/>
    </row>
    <row r="435" ht="15.75" customHeight="1">
      <c r="A435" s="6"/>
      <c r="F435" s="8"/>
      <c r="G435" s="38"/>
      <c r="J435" s="8"/>
      <c r="L435" s="8"/>
      <c r="N435" s="8"/>
      <c r="P435" s="8"/>
      <c r="R435" s="8"/>
      <c r="T435" s="10"/>
      <c r="X435" s="8"/>
    </row>
    <row r="436" ht="15.75" customHeight="1">
      <c r="A436" s="6"/>
      <c r="F436" s="8"/>
      <c r="G436" s="38"/>
      <c r="J436" s="8"/>
      <c r="L436" s="8"/>
      <c r="N436" s="8"/>
      <c r="P436" s="8"/>
      <c r="R436" s="8"/>
      <c r="T436" s="10"/>
      <c r="X436" s="8"/>
    </row>
    <row r="437" ht="15.75" customHeight="1">
      <c r="A437" s="6"/>
      <c r="F437" s="8"/>
      <c r="G437" s="38"/>
      <c r="J437" s="8"/>
      <c r="L437" s="8"/>
      <c r="N437" s="8"/>
      <c r="P437" s="8"/>
      <c r="R437" s="8"/>
      <c r="T437" s="10"/>
      <c r="X437" s="8"/>
    </row>
    <row r="438" ht="15.75" customHeight="1">
      <c r="A438" s="6"/>
      <c r="F438" s="8"/>
      <c r="G438" s="38"/>
      <c r="J438" s="8"/>
      <c r="L438" s="8"/>
      <c r="N438" s="8"/>
      <c r="P438" s="8"/>
      <c r="R438" s="8"/>
      <c r="T438" s="10"/>
      <c r="X438" s="8"/>
    </row>
    <row r="439" ht="15.75" customHeight="1">
      <c r="A439" s="6"/>
      <c r="F439" s="8"/>
      <c r="G439" s="38"/>
      <c r="J439" s="8"/>
      <c r="L439" s="8"/>
      <c r="N439" s="8"/>
      <c r="P439" s="8"/>
      <c r="R439" s="8"/>
      <c r="T439" s="10"/>
      <c r="X439" s="8"/>
    </row>
    <row r="440" ht="15.75" customHeight="1">
      <c r="A440" s="6"/>
      <c r="F440" s="8"/>
      <c r="G440" s="38"/>
      <c r="J440" s="8"/>
      <c r="L440" s="8"/>
      <c r="N440" s="8"/>
      <c r="P440" s="8"/>
      <c r="R440" s="8"/>
      <c r="T440" s="10"/>
      <c r="X440" s="8"/>
    </row>
    <row r="441" ht="15.75" customHeight="1">
      <c r="A441" s="6"/>
      <c r="F441" s="8"/>
      <c r="G441" s="38"/>
      <c r="J441" s="8"/>
      <c r="L441" s="8"/>
      <c r="N441" s="8"/>
      <c r="P441" s="8"/>
      <c r="R441" s="8"/>
      <c r="T441" s="10"/>
      <c r="X441" s="8"/>
    </row>
    <row r="442" ht="15.75" customHeight="1">
      <c r="A442" s="6"/>
      <c r="F442" s="8"/>
      <c r="G442" s="38"/>
      <c r="J442" s="8"/>
      <c r="L442" s="8"/>
      <c r="N442" s="8"/>
      <c r="P442" s="8"/>
      <c r="R442" s="8"/>
      <c r="T442" s="10"/>
      <c r="X442" s="8"/>
    </row>
    <row r="443" ht="15.75" customHeight="1">
      <c r="A443" s="6"/>
      <c r="F443" s="8"/>
      <c r="G443" s="38"/>
      <c r="J443" s="8"/>
      <c r="L443" s="8"/>
      <c r="N443" s="8"/>
      <c r="P443" s="8"/>
      <c r="R443" s="8"/>
      <c r="T443" s="10"/>
      <c r="X443" s="8"/>
    </row>
    <row r="444" ht="15.75" customHeight="1">
      <c r="A444" s="6"/>
      <c r="F444" s="8"/>
      <c r="G444" s="38"/>
      <c r="J444" s="8"/>
      <c r="L444" s="8"/>
      <c r="N444" s="8"/>
      <c r="P444" s="8"/>
      <c r="R444" s="8"/>
      <c r="T444" s="10"/>
      <c r="X444" s="8"/>
    </row>
    <row r="445" ht="15.75" customHeight="1">
      <c r="A445" s="6"/>
      <c r="F445" s="8"/>
      <c r="G445" s="38"/>
      <c r="J445" s="8"/>
      <c r="L445" s="8"/>
      <c r="N445" s="8"/>
      <c r="P445" s="8"/>
      <c r="R445" s="8"/>
      <c r="T445" s="10"/>
      <c r="X445" s="8"/>
    </row>
    <row r="446" ht="15.75" customHeight="1">
      <c r="A446" s="6"/>
      <c r="F446" s="8"/>
      <c r="G446" s="38"/>
      <c r="J446" s="8"/>
      <c r="L446" s="8"/>
      <c r="N446" s="8"/>
      <c r="P446" s="8"/>
      <c r="R446" s="8"/>
      <c r="T446" s="10"/>
      <c r="X446" s="8"/>
    </row>
    <row r="447" ht="15.75" customHeight="1">
      <c r="A447" s="6"/>
      <c r="F447" s="8"/>
      <c r="G447" s="38"/>
      <c r="J447" s="8"/>
      <c r="L447" s="8"/>
      <c r="N447" s="8"/>
      <c r="P447" s="8"/>
      <c r="R447" s="8"/>
      <c r="T447" s="10"/>
      <c r="X447" s="8"/>
    </row>
    <row r="448" ht="15.75" customHeight="1">
      <c r="A448" s="6"/>
      <c r="F448" s="8"/>
      <c r="G448" s="38"/>
      <c r="J448" s="8"/>
      <c r="L448" s="8"/>
      <c r="N448" s="8"/>
      <c r="P448" s="8"/>
      <c r="R448" s="8"/>
      <c r="T448" s="10"/>
      <c r="X448" s="8"/>
    </row>
    <row r="449" ht="15.75" customHeight="1">
      <c r="A449" s="6"/>
      <c r="F449" s="8"/>
      <c r="G449" s="38"/>
      <c r="J449" s="8"/>
      <c r="L449" s="8"/>
      <c r="N449" s="8"/>
      <c r="P449" s="8"/>
      <c r="R449" s="8"/>
      <c r="T449" s="10"/>
      <c r="X449" s="8"/>
    </row>
    <row r="450" ht="15.75" customHeight="1">
      <c r="A450" s="6"/>
      <c r="F450" s="8"/>
      <c r="G450" s="38"/>
      <c r="J450" s="8"/>
      <c r="L450" s="8"/>
      <c r="N450" s="8"/>
      <c r="P450" s="8"/>
      <c r="R450" s="8"/>
      <c r="T450" s="10"/>
      <c r="X450" s="8"/>
    </row>
    <row r="451" ht="15.75" customHeight="1">
      <c r="A451" s="6"/>
      <c r="F451" s="8"/>
      <c r="G451" s="38"/>
      <c r="J451" s="8"/>
      <c r="L451" s="8"/>
      <c r="N451" s="8"/>
      <c r="P451" s="8"/>
      <c r="R451" s="8"/>
      <c r="T451" s="10"/>
      <c r="X451" s="8"/>
    </row>
    <row r="452" ht="15.75" customHeight="1">
      <c r="A452" s="6"/>
      <c r="F452" s="8"/>
      <c r="G452" s="38"/>
      <c r="J452" s="8"/>
      <c r="L452" s="8"/>
      <c r="N452" s="8"/>
      <c r="P452" s="8"/>
      <c r="R452" s="8"/>
      <c r="T452" s="10"/>
      <c r="X452" s="8"/>
    </row>
    <row r="453" ht="15.75" customHeight="1">
      <c r="A453" s="6"/>
      <c r="F453" s="8"/>
      <c r="G453" s="38"/>
      <c r="J453" s="8"/>
      <c r="L453" s="8"/>
      <c r="N453" s="8"/>
      <c r="P453" s="8"/>
      <c r="R453" s="8"/>
      <c r="T453" s="10"/>
      <c r="X453" s="8"/>
    </row>
    <row r="454" ht="15.75" customHeight="1">
      <c r="A454" s="6"/>
      <c r="F454" s="8"/>
      <c r="G454" s="38"/>
      <c r="J454" s="8"/>
      <c r="L454" s="8"/>
      <c r="N454" s="8"/>
      <c r="P454" s="8"/>
      <c r="R454" s="8"/>
      <c r="T454" s="10"/>
      <c r="X454" s="8"/>
    </row>
    <row r="455" ht="15.75" customHeight="1">
      <c r="A455" s="6"/>
      <c r="F455" s="8"/>
      <c r="G455" s="38"/>
      <c r="J455" s="8"/>
      <c r="L455" s="8"/>
      <c r="N455" s="8"/>
      <c r="P455" s="8"/>
      <c r="R455" s="8"/>
      <c r="T455" s="10"/>
      <c r="X455" s="8"/>
    </row>
    <row r="456" ht="15.75" customHeight="1">
      <c r="A456" s="6"/>
      <c r="F456" s="8"/>
      <c r="G456" s="38"/>
      <c r="J456" s="8"/>
      <c r="L456" s="8"/>
      <c r="N456" s="8"/>
      <c r="P456" s="8"/>
      <c r="R456" s="8"/>
      <c r="T456" s="10"/>
      <c r="X456" s="8"/>
    </row>
    <row r="457" ht="15.75" customHeight="1">
      <c r="A457" s="6"/>
      <c r="F457" s="8"/>
      <c r="G457" s="38"/>
      <c r="J457" s="8"/>
      <c r="L457" s="8"/>
      <c r="N457" s="8"/>
      <c r="P457" s="8"/>
      <c r="R457" s="8"/>
      <c r="T457" s="10"/>
      <c r="X457" s="8"/>
    </row>
    <row r="458" ht="15.75" customHeight="1">
      <c r="A458" s="6"/>
      <c r="F458" s="8"/>
      <c r="G458" s="38"/>
      <c r="J458" s="8"/>
      <c r="L458" s="8"/>
      <c r="N458" s="8"/>
      <c r="P458" s="8"/>
      <c r="R458" s="8"/>
      <c r="T458" s="10"/>
      <c r="X458" s="8"/>
    </row>
    <row r="459" ht="15.75" customHeight="1">
      <c r="A459" s="6"/>
      <c r="F459" s="8"/>
      <c r="G459" s="38"/>
      <c r="J459" s="8"/>
      <c r="L459" s="8"/>
      <c r="N459" s="8"/>
      <c r="P459" s="8"/>
      <c r="R459" s="8"/>
      <c r="T459" s="10"/>
      <c r="X459" s="8"/>
    </row>
    <row r="460" ht="15.75" customHeight="1">
      <c r="A460" s="6"/>
      <c r="F460" s="8"/>
      <c r="G460" s="38"/>
      <c r="J460" s="8"/>
      <c r="L460" s="8"/>
      <c r="N460" s="8"/>
      <c r="P460" s="8"/>
      <c r="R460" s="8"/>
      <c r="T460" s="10"/>
      <c r="X460" s="8"/>
    </row>
    <row r="461" ht="15.75" customHeight="1">
      <c r="A461" s="6"/>
      <c r="F461" s="8"/>
      <c r="G461" s="38"/>
      <c r="J461" s="8"/>
      <c r="L461" s="8"/>
      <c r="N461" s="8"/>
      <c r="P461" s="8"/>
      <c r="R461" s="8"/>
      <c r="T461" s="10"/>
      <c r="X461" s="8"/>
    </row>
    <row r="462" ht="15.75" customHeight="1">
      <c r="A462" s="6"/>
      <c r="F462" s="8"/>
      <c r="G462" s="38"/>
      <c r="J462" s="8"/>
      <c r="L462" s="8"/>
      <c r="N462" s="8"/>
      <c r="P462" s="8"/>
      <c r="R462" s="8"/>
      <c r="T462" s="10"/>
      <c r="X462" s="8"/>
    </row>
    <row r="463" ht="15.75" customHeight="1">
      <c r="A463" s="6"/>
      <c r="F463" s="8"/>
      <c r="G463" s="38"/>
      <c r="J463" s="8"/>
      <c r="L463" s="8"/>
      <c r="N463" s="8"/>
      <c r="P463" s="8"/>
      <c r="R463" s="8"/>
      <c r="T463" s="10"/>
      <c r="X463" s="8"/>
    </row>
    <row r="464" ht="15.75" customHeight="1">
      <c r="A464" s="6"/>
      <c r="F464" s="8"/>
      <c r="G464" s="38"/>
      <c r="J464" s="8"/>
      <c r="L464" s="8"/>
      <c r="N464" s="8"/>
      <c r="P464" s="8"/>
      <c r="R464" s="8"/>
      <c r="T464" s="10"/>
      <c r="X464" s="8"/>
    </row>
    <row r="465" ht="15.75" customHeight="1">
      <c r="A465" s="6"/>
      <c r="F465" s="8"/>
      <c r="G465" s="38"/>
      <c r="J465" s="8"/>
      <c r="L465" s="8"/>
      <c r="N465" s="8"/>
      <c r="P465" s="8"/>
      <c r="R465" s="8"/>
      <c r="T465" s="10"/>
      <c r="X465" s="8"/>
    </row>
    <row r="466" ht="15.75" customHeight="1">
      <c r="A466" s="6"/>
      <c r="F466" s="8"/>
      <c r="G466" s="38"/>
      <c r="J466" s="8"/>
      <c r="L466" s="8"/>
      <c r="N466" s="8"/>
      <c r="P466" s="8"/>
      <c r="R466" s="8"/>
      <c r="T466" s="10"/>
      <c r="X466" s="8"/>
    </row>
    <row r="467" ht="15.75" customHeight="1">
      <c r="A467" s="6"/>
      <c r="F467" s="8"/>
      <c r="G467" s="38"/>
      <c r="J467" s="8"/>
      <c r="L467" s="8"/>
      <c r="N467" s="8"/>
      <c r="P467" s="8"/>
      <c r="R467" s="8"/>
      <c r="T467" s="10"/>
      <c r="X467" s="8"/>
    </row>
    <row r="468" ht="15.75" customHeight="1">
      <c r="A468" s="6"/>
      <c r="F468" s="8"/>
      <c r="G468" s="38"/>
      <c r="J468" s="8"/>
      <c r="L468" s="8"/>
      <c r="N468" s="8"/>
      <c r="P468" s="8"/>
      <c r="R468" s="8"/>
      <c r="T468" s="10"/>
      <c r="X468" s="8"/>
    </row>
    <row r="469" ht="15.75" customHeight="1">
      <c r="A469" s="6"/>
      <c r="F469" s="8"/>
      <c r="G469" s="38"/>
      <c r="J469" s="8"/>
      <c r="L469" s="8"/>
      <c r="N469" s="8"/>
      <c r="P469" s="8"/>
      <c r="R469" s="8"/>
      <c r="T469" s="10"/>
      <c r="X469" s="8"/>
    </row>
    <row r="470" ht="15.75" customHeight="1">
      <c r="A470" s="6"/>
      <c r="F470" s="8"/>
      <c r="G470" s="38"/>
      <c r="J470" s="8"/>
      <c r="L470" s="8"/>
      <c r="N470" s="8"/>
      <c r="P470" s="8"/>
      <c r="R470" s="8"/>
      <c r="T470" s="10"/>
      <c r="X470" s="8"/>
    </row>
    <row r="471" ht="15.75" customHeight="1">
      <c r="A471" s="6"/>
      <c r="F471" s="8"/>
      <c r="G471" s="38"/>
      <c r="J471" s="8"/>
      <c r="L471" s="8"/>
      <c r="N471" s="8"/>
      <c r="P471" s="8"/>
      <c r="R471" s="8"/>
      <c r="T471" s="10"/>
      <c r="X471" s="8"/>
    </row>
    <row r="472" ht="15.75" customHeight="1">
      <c r="A472" s="6"/>
      <c r="F472" s="8"/>
      <c r="G472" s="38"/>
      <c r="J472" s="8"/>
      <c r="L472" s="8"/>
      <c r="N472" s="8"/>
      <c r="P472" s="8"/>
      <c r="R472" s="8"/>
      <c r="T472" s="10"/>
      <c r="X472" s="8"/>
    </row>
    <row r="473" ht="15.75" customHeight="1">
      <c r="A473" s="6"/>
      <c r="F473" s="8"/>
      <c r="G473" s="38"/>
      <c r="J473" s="8"/>
      <c r="L473" s="8"/>
      <c r="N473" s="8"/>
      <c r="P473" s="8"/>
      <c r="R473" s="8"/>
      <c r="T473" s="10"/>
      <c r="X473" s="8"/>
    </row>
    <row r="474" ht="15.75" customHeight="1">
      <c r="A474" s="6"/>
      <c r="F474" s="8"/>
      <c r="G474" s="38"/>
      <c r="J474" s="8"/>
      <c r="L474" s="8"/>
      <c r="N474" s="8"/>
      <c r="P474" s="8"/>
      <c r="R474" s="8"/>
      <c r="T474" s="10"/>
      <c r="X474" s="8"/>
    </row>
    <row r="475" ht="15.75" customHeight="1">
      <c r="A475" s="6"/>
      <c r="F475" s="8"/>
      <c r="G475" s="38"/>
      <c r="J475" s="8"/>
      <c r="L475" s="8"/>
      <c r="N475" s="8"/>
      <c r="P475" s="8"/>
      <c r="R475" s="8"/>
      <c r="T475" s="10"/>
      <c r="X475" s="8"/>
    </row>
    <row r="476" ht="15.75" customHeight="1">
      <c r="A476" s="6"/>
      <c r="F476" s="8"/>
      <c r="G476" s="38"/>
      <c r="J476" s="8"/>
      <c r="L476" s="8"/>
      <c r="N476" s="8"/>
      <c r="P476" s="8"/>
      <c r="R476" s="8"/>
      <c r="T476" s="10"/>
      <c r="X476" s="8"/>
    </row>
    <row r="477" ht="15.75" customHeight="1">
      <c r="A477" s="6"/>
      <c r="F477" s="8"/>
      <c r="G477" s="38"/>
      <c r="J477" s="8"/>
      <c r="L477" s="8"/>
      <c r="N477" s="8"/>
      <c r="P477" s="8"/>
      <c r="R477" s="8"/>
      <c r="T477" s="10"/>
      <c r="X477" s="8"/>
    </row>
    <row r="478" ht="15.75" customHeight="1">
      <c r="A478" s="6"/>
      <c r="F478" s="8"/>
      <c r="G478" s="38"/>
      <c r="J478" s="8"/>
      <c r="L478" s="8"/>
      <c r="N478" s="8"/>
      <c r="P478" s="8"/>
      <c r="R478" s="8"/>
      <c r="T478" s="10"/>
      <c r="X478" s="8"/>
    </row>
    <row r="479" ht="15.75" customHeight="1">
      <c r="A479" s="6"/>
      <c r="F479" s="8"/>
      <c r="G479" s="38"/>
      <c r="J479" s="8"/>
      <c r="L479" s="8"/>
      <c r="N479" s="8"/>
      <c r="P479" s="8"/>
      <c r="R479" s="8"/>
      <c r="T479" s="10"/>
      <c r="X479" s="8"/>
    </row>
    <row r="480" ht="15.75" customHeight="1">
      <c r="A480" s="6"/>
      <c r="F480" s="8"/>
      <c r="G480" s="38"/>
      <c r="J480" s="8"/>
      <c r="L480" s="8"/>
      <c r="N480" s="8"/>
      <c r="P480" s="8"/>
      <c r="R480" s="8"/>
      <c r="T480" s="10"/>
      <c r="X480" s="8"/>
    </row>
    <row r="481" ht="15.75" customHeight="1">
      <c r="A481" s="6"/>
      <c r="F481" s="8"/>
      <c r="G481" s="38"/>
      <c r="J481" s="8"/>
      <c r="L481" s="8"/>
      <c r="N481" s="8"/>
      <c r="P481" s="8"/>
      <c r="R481" s="8"/>
      <c r="T481" s="10"/>
      <c r="X481" s="8"/>
    </row>
    <row r="482" ht="15.75" customHeight="1">
      <c r="A482" s="6"/>
      <c r="F482" s="8"/>
      <c r="G482" s="38"/>
      <c r="J482" s="8"/>
      <c r="L482" s="8"/>
      <c r="N482" s="8"/>
      <c r="P482" s="8"/>
      <c r="R482" s="8"/>
      <c r="T482" s="10"/>
      <c r="X482" s="8"/>
    </row>
    <row r="483" ht="15.75" customHeight="1">
      <c r="A483" s="6"/>
      <c r="F483" s="8"/>
      <c r="G483" s="38"/>
      <c r="J483" s="8"/>
      <c r="L483" s="8"/>
      <c r="N483" s="8"/>
      <c r="P483" s="8"/>
      <c r="R483" s="8"/>
      <c r="T483" s="10"/>
      <c r="X483" s="8"/>
    </row>
    <row r="484" ht="15.75" customHeight="1">
      <c r="A484" s="6"/>
      <c r="F484" s="8"/>
      <c r="G484" s="38"/>
      <c r="J484" s="8"/>
      <c r="L484" s="8"/>
      <c r="N484" s="8"/>
      <c r="P484" s="8"/>
      <c r="R484" s="8"/>
      <c r="T484" s="10"/>
      <c r="X484" s="8"/>
    </row>
    <row r="485" ht="15.75" customHeight="1">
      <c r="A485" s="6"/>
      <c r="F485" s="8"/>
      <c r="G485" s="38"/>
      <c r="J485" s="8"/>
      <c r="L485" s="8"/>
      <c r="N485" s="8"/>
      <c r="P485" s="8"/>
      <c r="R485" s="8"/>
      <c r="T485" s="10"/>
      <c r="X485" s="8"/>
    </row>
    <row r="486" ht="15.75" customHeight="1">
      <c r="A486" s="6"/>
      <c r="F486" s="8"/>
      <c r="G486" s="38"/>
      <c r="J486" s="8"/>
      <c r="L486" s="8"/>
      <c r="N486" s="8"/>
      <c r="P486" s="8"/>
      <c r="R486" s="8"/>
      <c r="T486" s="10"/>
      <c r="X486" s="8"/>
    </row>
    <row r="487" ht="15.75" customHeight="1">
      <c r="A487" s="6"/>
      <c r="F487" s="8"/>
      <c r="G487" s="38"/>
      <c r="J487" s="8"/>
      <c r="L487" s="8"/>
      <c r="N487" s="8"/>
      <c r="P487" s="8"/>
      <c r="R487" s="8"/>
      <c r="T487" s="10"/>
      <c r="X487" s="8"/>
    </row>
    <row r="488" ht="15.75" customHeight="1">
      <c r="A488" s="6"/>
      <c r="F488" s="8"/>
      <c r="G488" s="38"/>
      <c r="J488" s="8"/>
      <c r="L488" s="8"/>
      <c r="N488" s="8"/>
      <c r="P488" s="8"/>
      <c r="R488" s="8"/>
      <c r="T488" s="10"/>
      <c r="X488" s="8"/>
    </row>
    <row r="489" ht="15.75" customHeight="1">
      <c r="A489" s="6"/>
      <c r="F489" s="8"/>
      <c r="G489" s="38"/>
      <c r="J489" s="8"/>
      <c r="L489" s="8"/>
      <c r="N489" s="8"/>
      <c r="P489" s="8"/>
      <c r="R489" s="8"/>
      <c r="T489" s="10"/>
      <c r="X489" s="8"/>
    </row>
    <row r="490" ht="15.75" customHeight="1">
      <c r="A490" s="6"/>
      <c r="F490" s="8"/>
      <c r="G490" s="38"/>
      <c r="J490" s="8"/>
      <c r="L490" s="8"/>
      <c r="N490" s="8"/>
      <c r="P490" s="8"/>
      <c r="R490" s="8"/>
      <c r="T490" s="10"/>
      <c r="X490" s="8"/>
    </row>
    <row r="491" ht="15.75" customHeight="1">
      <c r="A491" s="6"/>
      <c r="F491" s="8"/>
      <c r="G491" s="38"/>
      <c r="J491" s="8"/>
      <c r="L491" s="8"/>
      <c r="N491" s="8"/>
      <c r="P491" s="8"/>
      <c r="R491" s="8"/>
      <c r="T491" s="10"/>
      <c r="X491" s="8"/>
    </row>
    <row r="492" ht="15.75" customHeight="1">
      <c r="A492" s="6"/>
      <c r="F492" s="8"/>
      <c r="G492" s="38"/>
      <c r="J492" s="8"/>
      <c r="L492" s="8"/>
      <c r="N492" s="8"/>
      <c r="P492" s="8"/>
      <c r="R492" s="8"/>
      <c r="T492" s="10"/>
      <c r="X492" s="8"/>
    </row>
    <row r="493" ht="15.75" customHeight="1">
      <c r="A493" s="6"/>
      <c r="F493" s="8"/>
      <c r="G493" s="38"/>
      <c r="J493" s="8"/>
      <c r="L493" s="8"/>
      <c r="N493" s="8"/>
      <c r="P493" s="8"/>
      <c r="R493" s="8"/>
      <c r="T493" s="10"/>
      <c r="X493" s="8"/>
    </row>
    <row r="494" ht="15.75" customHeight="1">
      <c r="A494" s="6"/>
      <c r="F494" s="8"/>
      <c r="G494" s="38"/>
      <c r="J494" s="8"/>
      <c r="L494" s="8"/>
      <c r="N494" s="8"/>
      <c r="P494" s="8"/>
      <c r="R494" s="8"/>
      <c r="T494" s="10"/>
      <c r="X494" s="8"/>
    </row>
    <row r="495" ht="15.75" customHeight="1">
      <c r="A495" s="6"/>
      <c r="F495" s="8"/>
      <c r="G495" s="38"/>
      <c r="J495" s="8"/>
      <c r="L495" s="8"/>
      <c r="N495" s="8"/>
      <c r="P495" s="8"/>
      <c r="R495" s="8"/>
      <c r="T495" s="10"/>
      <c r="X495" s="8"/>
    </row>
    <row r="496" ht="15.75" customHeight="1">
      <c r="A496" s="6"/>
      <c r="F496" s="8"/>
      <c r="G496" s="38"/>
      <c r="J496" s="8"/>
      <c r="L496" s="8"/>
      <c r="N496" s="8"/>
      <c r="P496" s="8"/>
      <c r="R496" s="8"/>
      <c r="T496" s="10"/>
      <c r="X496" s="8"/>
    </row>
    <row r="497" ht="15.75" customHeight="1">
      <c r="A497" s="6"/>
      <c r="F497" s="8"/>
      <c r="G497" s="38"/>
      <c r="J497" s="8"/>
      <c r="L497" s="8"/>
      <c r="N497" s="8"/>
      <c r="P497" s="8"/>
      <c r="R497" s="8"/>
      <c r="T497" s="10"/>
      <c r="X497" s="8"/>
    </row>
    <row r="498" ht="15.75" customHeight="1">
      <c r="A498" s="6"/>
      <c r="F498" s="8"/>
      <c r="G498" s="38"/>
      <c r="J498" s="8"/>
      <c r="L498" s="8"/>
      <c r="N498" s="8"/>
      <c r="P498" s="8"/>
      <c r="R498" s="8"/>
      <c r="T498" s="10"/>
      <c r="X498" s="8"/>
    </row>
    <row r="499" ht="15.75" customHeight="1">
      <c r="A499" s="6"/>
      <c r="F499" s="8"/>
      <c r="G499" s="38"/>
      <c r="J499" s="8"/>
      <c r="L499" s="8"/>
      <c r="N499" s="8"/>
      <c r="P499" s="8"/>
      <c r="R499" s="8"/>
      <c r="T499" s="10"/>
      <c r="X499" s="8"/>
    </row>
    <row r="500" ht="15.75" customHeight="1">
      <c r="A500" s="6"/>
      <c r="F500" s="8"/>
      <c r="G500" s="38"/>
      <c r="J500" s="8"/>
      <c r="L500" s="8"/>
      <c r="N500" s="8"/>
      <c r="P500" s="8"/>
      <c r="R500" s="8"/>
      <c r="T500" s="10"/>
      <c r="X500" s="8"/>
    </row>
    <row r="501" ht="15.75" customHeight="1">
      <c r="A501" s="6"/>
      <c r="F501" s="8"/>
      <c r="G501" s="38"/>
      <c r="J501" s="8"/>
      <c r="L501" s="8"/>
      <c r="N501" s="8"/>
      <c r="P501" s="8"/>
      <c r="R501" s="8"/>
      <c r="T501" s="10"/>
      <c r="X501" s="8"/>
    </row>
    <row r="502" ht="15.75" customHeight="1">
      <c r="A502" s="6"/>
      <c r="F502" s="8"/>
      <c r="G502" s="38"/>
      <c r="J502" s="8"/>
      <c r="L502" s="8"/>
      <c r="N502" s="8"/>
      <c r="P502" s="8"/>
      <c r="R502" s="8"/>
      <c r="T502" s="10"/>
      <c r="X502" s="8"/>
    </row>
    <row r="503" ht="15.75" customHeight="1">
      <c r="A503" s="6"/>
      <c r="F503" s="8"/>
      <c r="G503" s="38"/>
      <c r="J503" s="8"/>
      <c r="L503" s="8"/>
      <c r="N503" s="8"/>
      <c r="P503" s="8"/>
      <c r="R503" s="8"/>
      <c r="T503" s="10"/>
      <c r="X503" s="8"/>
    </row>
    <row r="504" ht="15.75" customHeight="1">
      <c r="A504" s="6"/>
      <c r="F504" s="8"/>
      <c r="G504" s="38"/>
      <c r="J504" s="8"/>
      <c r="L504" s="8"/>
      <c r="N504" s="8"/>
      <c r="P504" s="8"/>
      <c r="R504" s="8"/>
      <c r="T504" s="10"/>
      <c r="X504" s="8"/>
    </row>
    <row r="505" ht="15.75" customHeight="1">
      <c r="A505" s="6"/>
      <c r="F505" s="8"/>
      <c r="G505" s="38"/>
      <c r="J505" s="8"/>
      <c r="L505" s="8"/>
      <c r="N505" s="8"/>
      <c r="P505" s="8"/>
      <c r="R505" s="8"/>
      <c r="T505" s="10"/>
      <c r="X505" s="8"/>
    </row>
    <row r="506" ht="15.75" customHeight="1">
      <c r="A506" s="6"/>
      <c r="F506" s="8"/>
      <c r="G506" s="38"/>
      <c r="J506" s="8"/>
      <c r="L506" s="8"/>
      <c r="N506" s="8"/>
      <c r="P506" s="8"/>
      <c r="R506" s="8"/>
      <c r="T506" s="10"/>
      <c r="X506" s="8"/>
    </row>
    <row r="507" ht="15.75" customHeight="1">
      <c r="A507" s="6"/>
      <c r="F507" s="8"/>
      <c r="G507" s="38"/>
      <c r="J507" s="8"/>
      <c r="L507" s="8"/>
      <c r="N507" s="8"/>
      <c r="P507" s="8"/>
      <c r="R507" s="8"/>
      <c r="T507" s="10"/>
      <c r="X507" s="8"/>
    </row>
    <row r="508" ht="15.75" customHeight="1">
      <c r="A508" s="6"/>
      <c r="F508" s="8"/>
      <c r="G508" s="38"/>
      <c r="J508" s="8"/>
      <c r="L508" s="8"/>
      <c r="N508" s="8"/>
      <c r="P508" s="8"/>
      <c r="R508" s="8"/>
      <c r="T508" s="10"/>
      <c r="X508" s="8"/>
    </row>
    <row r="509" ht="15.75" customHeight="1">
      <c r="A509" s="6"/>
      <c r="F509" s="8"/>
      <c r="G509" s="38"/>
      <c r="J509" s="8"/>
      <c r="L509" s="8"/>
      <c r="N509" s="8"/>
      <c r="P509" s="8"/>
      <c r="R509" s="8"/>
      <c r="T509" s="10"/>
      <c r="X509" s="8"/>
    </row>
    <row r="510" ht="15.75" customHeight="1">
      <c r="A510" s="6"/>
      <c r="F510" s="8"/>
      <c r="G510" s="38"/>
      <c r="J510" s="8"/>
      <c r="L510" s="8"/>
      <c r="N510" s="8"/>
      <c r="P510" s="8"/>
      <c r="R510" s="8"/>
      <c r="T510" s="10"/>
      <c r="X510" s="8"/>
    </row>
    <row r="511" ht="15.75" customHeight="1">
      <c r="A511" s="6"/>
      <c r="F511" s="8"/>
      <c r="G511" s="38"/>
      <c r="J511" s="8"/>
      <c r="L511" s="8"/>
      <c r="N511" s="8"/>
      <c r="P511" s="8"/>
      <c r="R511" s="8"/>
      <c r="T511" s="10"/>
      <c r="X511" s="8"/>
    </row>
    <row r="512" ht="15.75" customHeight="1">
      <c r="A512" s="6"/>
      <c r="F512" s="8"/>
      <c r="G512" s="38"/>
      <c r="J512" s="8"/>
      <c r="L512" s="8"/>
      <c r="N512" s="8"/>
      <c r="P512" s="8"/>
      <c r="R512" s="8"/>
      <c r="T512" s="10"/>
      <c r="X512" s="8"/>
    </row>
    <row r="513" ht="15.75" customHeight="1">
      <c r="A513" s="6"/>
      <c r="F513" s="8"/>
      <c r="G513" s="38"/>
      <c r="J513" s="8"/>
      <c r="L513" s="8"/>
      <c r="N513" s="8"/>
      <c r="P513" s="8"/>
      <c r="R513" s="8"/>
      <c r="T513" s="10"/>
      <c r="X513" s="8"/>
    </row>
    <row r="514" ht="15.75" customHeight="1">
      <c r="A514" s="6"/>
      <c r="F514" s="8"/>
      <c r="G514" s="38"/>
      <c r="J514" s="8"/>
      <c r="L514" s="8"/>
      <c r="N514" s="8"/>
      <c r="P514" s="8"/>
      <c r="R514" s="8"/>
      <c r="T514" s="10"/>
      <c r="X514" s="8"/>
    </row>
    <row r="515" ht="15.75" customHeight="1">
      <c r="A515" s="6"/>
      <c r="F515" s="8"/>
      <c r="G515" s="38"/>
      <c r="J515" s="8"/>
      <c r="L515" s="8"/>
      <c r="N515" s="8"/>
      <c r="P515" s="8"/>
      <c r="R515" s="8"/>
      <c r="T515" s="10"/>
      <c r="X515" s="8"/>
    </row>
    <row r="516" ht="15.75" customHeight="1">
      <c r="A516" s="6"/>
      <c r="F516" s="8"/>
      <c r="G516" s="38"/>
      <c r="J516" s="8"/>
      <c r="L516" s="8"/>
      <c r="N516" s="8"/>
      <c r="P516" s="8"/>
      <c r="R516" s="8"/>
      <c r="T516" s="10"/>
      <c r="X516" s="8"/>
    </row>
    <row r="517" ht="15.75" customHeight="1">
      <c r="A517" s="6"/>
      <c r="F517" s="8"/>
      <c r="G517" s="38"/>
      <c r="J517" s="8"/>
      <c r="L517" s="8"/>
      <c r="N517" s="8"/>
      <c r="P517" s="8"/>
      <c r="R517" s="8"/>
      <c r="T517" s="10"/>
      <c r="X517" s="8"/>
    </row>
    <row r="518" ht="15.75" customHeight="1">
      <c r="A518" s="6"/>
      <c r="F518" s="8"/>
      <c r="G518" s="38"/>
      <c r="J518" s="8"/>
      <c r="L518" s="8"/>
      <c r="N518" s="8"/>
      <c r="P518" s="8"/>
      <c r="R518" s="8"/>
      <c r="T518" s="10"/>
      <c r="X518" s="8"/>
    </row>
    <row r="519" ht="15.75" customHeight="1">
      <c r="A519" s="6"/>
      <c r="F519" s="8"/>
      <c r="G519" s="38"/>
      <c r="J519" s="8"/>
      <c r="L519" s="8"/>
      <c r="N519" s="8"/>
      <c r="P519" s="8"/>
      <c r="R519" s="8"/>
      <c r="T519" s="10"/>
      <c r="X519" s="8"/>
    </row>
    <row r="520" ht="15.75" customHeight="1">
      <c r="A520" s="6"/>
      <c r="F520" s="8"/>
      <c r="G520" s="38"/>
      <c r="J520" s="8"/>
      <c r="L520" s="8"/>
      <c r="N520" s="8"/>
      <c r="P520" s="8"/>
      <c r="R520" s="8"/>
      <c r="T520" s="10"/>
      <c r="X520" s="8"/>
    </row>
    <row r="521" ht="15.75" customHeight="1">
      <c r="A521" s="6"/>
      <c r="F521" s="8"/>
      <c r="G521" s="38"/>
      <c r="J521" s="8"/>
      <c r="L521" s="8"/>
      <c r="N521" s="8"/>
      <c r="P521" s="8"/>
      <c r="R521" s="8"/>
      <c r="T521" s="10"/>
      <c r="X521" s="8"/>
    </row>
    <row r="522" ht="15.75" customHeight="1">
      <c r="A522" s="6"/>
      <c r="F522" s="8"/>
      <c r="G522" s="38"/>
      <c r="J522" s="8"/>
      <c r="L522" s="8"/>
      <c r="N522" s="8"/>
      <c r="P522" s="8"/>
      <c r="R522" s="8"/>
      <c r="T522" s="10"/>
      <c r="X522" s="8"/>
    </row>
    <row r="523" ht="15.75" customHeight="1">
      <c r="A523" s="6"/>
      <c r="F523" s="8"/>
      <c r="G523" s="38"/>
      <c r="J523" s="8"/>
      <c r="L523" s="8"/>
      <c r="N523" s="8"/>
      <c r="P523" s="8"/>
      <c r="R523" s="8"/>
      <c r="T523" s="10"/>
      <c r="X523" s="8"/>
    </row>
    <row r="524" ht="15.75" customHeight="1">
      <c r="A524" s="6"/>
      <c r="F524" s="8"/>
      <c r="G524" s="38"/>
      <c r="J524" s="8"/>
      <c r="L524" s="8"/>
      <c r="N524" s="8"/>
      <c r="P524" s="8"/>
      <c r="R524" s="8"/>
      <c r="T524" s="10"/>
      <c r="X524" s="8"/>
    </row>
    <row r="525" ht="15.75" customHeight="1">
      <c r="A525" s="6"/>
      <c r="F525" s="8"/>
      <c r="G525" s="38"/>
      <c r="J525" s="8"/>
      <c r="L525" s="8"/>
      <c r="N525" s="8"/>
      <c r="P525" s="8"/>
      <c r="R525" s="8"/>
      <c r="T525" s="10"/>
      <c r="X525" s="8"/>
    </row>
    <row r="526" ht="15.75" customHeight="1">
      <c r="A526" s="6"/>
      <c r="F526" s="8"/>
      <c r="G526" s="38"/>
      <c r="J526" s="8"/>
      <c r="L526" s="8"/>
      <c r="N526" s="8"/>
      <c r="P526" s="8"/>
      <c r="R526" s="8"/>
      <c r="T526" s="10"/>
      <c r="X526" s="8"/>
    </row>
    <row r="527" ht="15.75" customHeight="1">
      <c r="A527" s="6"/>
      <c r="F527" s="8"/>
      <c r="G527" s="38"/>
      <c r="J527" s="8"/>
      <c r="L527" s="8"/>
      <c r="N527" s="8"/>
      <c r="P527" s="8"/>
      <c r="R527" s="8"/>
      <c r="T527" s="10"/>
      <c r="X527" s="8"/>
    </row>
    <row r="528" ht="15.75" customHeight="1">
      <c r="A528" s="6"/>
      <c r="F528" s="8"/>
      <c r="G528" s="38"/>
      <c r="J528" s="8"/>
      <c r="L528" s="8"/>
      <c r="N528" s="8"/>
      <c r="P528" s="8"/>
      <c r="R528" s="8"/>
      <c r="T528" s="10"/>
      <c r="X528" s="8"/>
    </row>
    <row r="529" ht="15.75" customHeight="1">
      <c r="A529" s="6"/>
      <c r="F529" s="8"/>
      <c r="G529" s="38"/>
      <c r="J529" s="8"/>
      <c r="L529" s="8"/>
      <c r="N529" s="8"/>
      <c r="P529" s="8"/>
      <c r="R529" s="8"/>
      <c r="T529" s="10"/>
      <c r="X529" s="8"/>
    </row>
    <row r="530" ht="15.75" customHeight="1">
      <c r="A530" s="6"/>
      <c r="F530" s="8"/>
      <c r="G530" s="38"/>
      <c r="J530" s="8"/>
      <c r="L530" s="8"/>
      <c r="N530" s="8"/>
      <c r="P530" s="8"/>
      <c r="R530" s="8"/>
      <c r="T530" s="10"/>
      <c r="X530" s="8"/>
    </row>
    <row r="531" ht="15.75" customHeight="1">
      <c r="A531" s="6"/>
      <c r="F531" s="8"/>
      <c r="G531" s="38"/>
      <c r="J531" s="8"/>
      <c r="L531" s="8"/>
      <c r="N531" s="8"/>
      <c r="P531" s="8"/>
      <c r="R531" s="8"/>
      <c r="T531" s="10"/>
      <c r="X531" s="8"/>
    </row>
    <row r="532" ht="15.75" customHeight="1">
      <c r="A532" s="6"/>
      <c r="F532" s="8"/>
      <c r="G532" s="38"/>
      <c r="J532" s="8"/>
      <c r="L532" s="8"/>
      <c r="N532" s="8"/>
      <c r="P532" s="8"/>
      <c r="R532" s="8"/>
      <c r="T532" s="10"/>
      <c r="X532" s="8"/>
    </row>
    <row r="533" ht="15.75" customHeight="1">
      <c r="A533" s="6"/>
      <c r="F533" s="8"/>
      <c r="G533" s="38"/>
      <c r="J533" s="8"/>
      <c r="L533" s="8"/>
      <c r="N533" s="8"/>
      <c r="P533" s="8"/>
      <c r="R533" s="8"/>
      <c r="T533" s="10"/>
      <c r="X533" s="8"/>
    </row>
    <row r="534" ht="15.75" customHeight="1">
      <c r="A534" s="6"/>
      <c r="F534" s="8"/>
      <c r="G534" s="38"/>
      <c r="J534" s="8"/>
      <c r="L534" s="8"/>
      <c r="N534" s="8"/>
      <c r="P534" s="8"/>
      <c r="R534" s="8"/>
      <c r="T534" s="10"/>
      <c r="X534" s="8"/>
    </row>
    <row r="535" ht="15.75" customHeight="1">
      <c r="A535" s="6"/>
      <c r="F535" s="8"/>
      <c r="G535" s="38"/>
      <c r="J535" s="8"/>
      <c r="L535" s="8"/>
      <c r="N535" s="8"/>
      <c r="P535" s="8"/>
      <c r="R535" s="8"/>
      <c r="T535" s="10"/>
      <c r="X535" s="8"/>
    </row>
    <row r="536" ht="15.75" customHeight="1">
      <c r="A536" s="6"/>
      <c r="F536" s="8"/>
      <c r="G536" s="38"/>
      <c r="J536" s="8"/>
      <c r="L536" s="8"/>
      <c r="N536" s="8"/>
      <c r="P536" s="8"/>
      <c r="R536" s="8"/>
      <c r="T536" s="10"/>
      <c r="X536" s="8"/>
    </row>
    <row r="537" ht="15.75" customHeight="1">
      <c r="A537" s="6"/>
      <c r="F537" s="8"/>
      <c r="G537" s="38"/>
      <c r="J537" s="8"/>
      <c r="L537" s="8"/>
      <c r="N537" s="8"/>
      <c r="P537" s="8"/>
      <c r="R537" s="8"/>
      <c r="T537" s="10"/>
      <c r="X537" s="8"/>
    </row>
    <row r="538" ht="15.75" customHeight="1">
      <c r="A538" s="6"/>
      <c r="F538" s="8"/>
      <c r="G538" s="38"/>
      <c r="J538" s="8"/>
      <c r="L538" s="8"/>
      <c r="N538" s="8"/>
      <c r="P538" s="8"/>
      <c r="R538" s="8"/>
      <c r="T538" s="10"/>
      <c r="X538" s="8"/>
    </row>
    <row r="539" ht="15.75" customHeight="1">
      <c r="A539" s="6"/>
      <c r="F539" s="8"/>
      <c r="G539" s="38"/>
      <c r="J539" s="8"/>
      <c r="L539" s="8"/>
      <c r="N539" s="8"/>
      <c r="P539" s="8"/>
      <c r="R539" s="8"/>
      <c r="T539" s="10"/>
      <c r="X539" s="8"/>
    </row>
    <row r="540" ht="15.75" customHeight="1">
      <c r="A540" s="6"/>
      <c r="F540" s="8"/>
      <c r="G540" s="38"/>
      <c r="J540" s="8"/>
      <c r="L540" s="8"/>
      <c r="N540" s="8"/>
      <c r="P540" s="8"/>
      <c r="R540" s="8"/>
      <c r="T540" s="10"/>
      <c r="X540" s="8"/>
    </row>
    <row r="541" ht="15.75" customHeight="1">
      <c r="A541" s="6"/>
      <c r="F541" s="8"/>
      <c r="G541" s="38"/>
      <c r="J541" s="8"/>
      <c r="L541" s="8"/>
      <c r="N541" s="8"/>
      <c r="P541" s="8"/>
      <c r="R541" s="8"/>
      <c r="T541" s="10"/>
      <c r="X541" s="8"/>
    </row>
    <row r="542" ht="15.75" customHeight="1">
      <c r="A542" s="6"/>
      <c r="F542" s="8"/>
      <c r="G542" s="38"/>
      <c r="J542" s="8"/>
      <c r="L542" s="8"/>
      <c r="N542" s="8"/>
      <c r="P542" s="8"/>
      <c r="R542" s="8"/>
      <c r="T542" s="10"/>
      <c r="X542" s="8"/>
    </row>
    <row r="543" ht="15.75" customHeight="1">
      <c r="A543" s="6"/>
      <c r="F543" s="8"/>
      <c r="G543" s="38"/>
      <c r="J543" s="8"/>
      <c r="L543" s="8"/>
      <c r="N543" s="8"/>
      <c r="P543" s="8"/>
      <c r="R543" s="8"/>
      <c r="T543" s="10"/>
      <c r="X543" s="8"/>
    </row>
    <row r="544" ht="15.75" customHeight="1">
      <c r="A544" s="6"/>
      <c r="F544" s="8"/>
      <c r="G544" s="38"/>
      <c r="J544" s="8"/>
      <c r="L544" s="8"/>
      <c r="N544" s="8"/>
      <c r="P544" s="8"/>
      <c r="R544" s="8"/>
      <c r="T544" s="10"/>
      <c r="X544" s="8"/>
    </row>
    <row r="545" ht="15.75" customHeight="1">
      <c r="A545" s="6"/>
      <c r="F545" s="8"/>
      <c r="G545" s="38"/>
      <c r="J545" s="8"/>
      <c r="L545" s="8"/>
      <c r="N545" s="8"/>
      <c r="P545" s="8"/>
      <c r="R545" s="8"/>
      <c r="T545" s="10"/>
      <c r="X545" s="8"/>
    </row>
    <row r="546" ht="15.75" customHeight="1">
      <c r="A546" s="6"/>
      <c r="F546" s="8"/>
      <c r="G546" s="38"/>
      <c r="J546" s="8"/>
      <c r="L546" s="8"/>
      <c r="N546" s="8"/>
      <c r="P546" s="8"/>
      <c r="R546" s="8"/>
      <c r="T546" s="10"/>
      <c r="X546" s="8"/>
    </row>
    <row r="547" ht="15.75" customHeight="1">
      <c r="A547" s="6"/>
      <c r="F547" s="8"/>
      <c r="G547" s="38"/>
      <c r="J547" s="8"/>
      <c r="L547" s="8"/>
      <c r="N547" s="8"/>
      <c r="P547" s="8"/>
      <c r="R547" s="8"/>
      <c r="T547" s="10"/>
      <c r="X547" s="8"/>
    </row>
    <row r="548" ht="15.75" customHeight="1">
      <c r="A548" s="6"/>
      <c r="F548" s="8"/>
      <c r="G548" s="38"/>
      <c r="J548" s="8"/>
      <c r="L548" s="8"/>
      <c r="N548" s="8"/>
      <c r="P548" s="8"/>
      <c r="R548" s="8"/>
      <c r="T548" s="10"/>
      <c r="X548" s="8"/>
    </row>
    <row r="549" ht="15.75" customHeight="1">
      <c r="A549" s="6"/>
      <c r="F549" s="8"/>
      <c r="G549" s="38"/>
      <c r="J549" s="8"/>
      <c r="L549" s="8"/>
      <c r="N549" s="8"/>
      <c r="P549" s="8"/>
      <c r="R549" s="8"/>
      <c r="T549" s="10"/>
      <c r="X549" s="8"/>
    </row>
    <row r="550" ht="15.75" customHeight="1">
      <c r="A550" s="6"/>
      <c r="F550" s="8"/>
      <c r="G550" s="38"/>
      <c r="J550" s="8"/>
      <c r="L550" s="8"/>
      <c r="N550" s="8"/>
      <c r="P550" s="8"/>
      <c r="R550" s="8"/>
      <c r="T550" s="10"/>
      <c r="X550" s="8"/>
    </row>
    <row r="551" ht="15.75" customHeight="1">
      <c r="A551" s="6"/>
      <c r="F551" s="8"/>
      <c r="G551" s="38"/>
      <c r="J551" s="8"/>
      <c r="L551" s="8"/>
      <c r="N551" s="8"/>
      <c r="P551" s="8"/>
      <c r="R551" s="8"/>
      <c r="T551" s="10"/>
      <c r="X551" s="8"/>
    </row>
    <row r="552" ht="15.75" customHeight="1">
      <c r="A552" s="6"/>
      <c r="F552" s="8"/>
      <c r="G552" s="38"/>
      <c r="J552" s="8"/>
      <c r="L552" s="8"/>
      <c r="N552" s="8"/>
      <c r="P552" s="8"/>
      <c r="R552" s="8"/>
      <c r="T552" s="10"/>
      <c r="X552" s="8"/>
    </row>
    <row r="553" ht="15.75" customHeight="1">
      <c r="A553" s="6"/>
      <c r="F553" s="8"/>
      <c r="G553" s="38"/>
      <c r="J553" s="8"/>
      <c r="L553" s="8"/>
      <c r="N553" s="8"/>
      <c r="P553" s="8"/>
      <c r="R553" s="8"/>
      <c r="T553" s="10"/>
      <c r="X553" s="8"/>
    </row>
    <row r="554" ht="15.75" customHeight="1">
      <c r="A554" s="6"/>
      <c r="F554" s="8"/>
      <c r="G554" s="38"/>
      <c r="J554" s="8"/>
      <c r="L554" s="8"/>
      <c r="N554" s="8"/>
      <c r="P554" s="8"/>
      <c r="R554" s="8"/>
      <c r="T554" s="10"/>
      <c r="X554" s="8"/>
    </row>
    <row r="555" ht="15.75" customHeight="1">
      <c r="A555" s="6"/>
      <c r="F555" s="8"/>
      <c r="G555" s="38"/>
      <c r="J555" s="8"/>
      <c r="L555" s="8"/>
      <c r="N555" s="8"/>
      <c r="P555" s="8"/>
      <c r="R555" s="8"/>
      <c r="T555" s="10"/>
      <c r="X555" s="8"/>
    </row>
    <row r="556" ht="15.75" customHeight="1">
      <c r="A556" s="6"/>
      <c r="F556" s="8"/>
      <c r="G556" s="38"/>
      <c r="J556" s="8"/>
      <c r="L556" s="8"/>
      <c r="N556" s="8"/>
      <c r="P556" s="8"/>
      <c r="R556" s="8"/>
      <c r="T556" s="10"/>
      <c r="X556" s="8"/>
    </row>
    <row r="557" ht="15.75" customHeight="1">
      <c r="A557" s="6"/>
      <c r="F557" s="8"/>
      <c r="G557" s="38"/>
      <c r="J557" s="8"/>
      <c r="L557" s="8"/>
      <c r="N557" s="8"/>
      <c r="P557" s="8"/>
      <c r="R557" s="8"/>
      <c r="T557" s="10"/>
      <c r="X557" s="8"/>
    </row>
    <row r="558" ht="15.75" customHeight="1">
      <c r="A558" s="6"/>
      <c r="F558" s="8"/>
      <c r="G558" s="38"/>
      <c r="J558" s="8"/>
      <c r="L558" s="8"/>
      <c r="N558" s="8"/>
      <c r="P558" s="8"/>
      <c r="R558" s="8"/>
      <c r="T558" s="10"/>
      <c r="X558" s="8"/>
    </row>
    <row r="559" ht="15.75" customHeight="1">
      <c r="A559" s="6"/>
      <c r="F559" s="8"/>
      <c r="G559" s="38"/>
      <c r="J559" s="8"/>
      <c r="L559" s="8"/>
      <c r="N559" s="8"/>
      <c r="P559" s="8"/>
      <c r="R559" s="8"/>
      <c r="T559" s="10"/>
      <c r="X559" s="8"/>
    </row>
    <row r="560" ht="15.75" customHeight="1">
      <c r="A560" s="6"/>
      <c r="F560" s="8"/>
      <c r="G560" s="38"/>
      <c r="J560" s="8"/>
      <c r="L560" s="8"/>
      <c r="N560" s="8"/>
      <c r="P560" s="8"/>
      <c r="R560" s="8"/>
      <c r="T560" s="10"/>
      <c r="X560" s="8"/>
    </row>
    <row r="561" ht="15.75" customHeight="1">
      <c r="A561" s="6"/>
      <c r="F561" s="8"/>
      <c r="G561" s="38"/>
      <c r="J561" s="8"/>
      <c r="L561" s="8"/>
      <c r="N561" s="8"/>
      <c r="P561" s="8"/>
      <c r="R561" s="8"/>
      <c r="T561" s="10"/>
      <c r="X561" s="8"/>
    </row>
    <row r="562" ht="15.75" customHeight="1">
      <c r="A562" s="6"/>
      <c r="F562" s="8"/>
      <c r="G562" s="38"/>
      <c r="J562" s="8"/>
      <c r="L562" s="8"/>
      <c r="N562" s="8"/>
      <c r="P562" s="8"/>
      <c r="R562" s="8"/>
      <c r="T562" s="10"/>
      <c r="X562" s="8"/>
    </row>
    <row r="563" ht="15.75" customHeight="1">
      <c r="A563" s="6"/>
      <c r="F563" s="8"/>
      <c r="G563" s="38"/>
      <c r="J563" s="8"/>
      <c r="L563" s="8"/>
      <c r="N563" s="8"/>
      <c r="P563" s="8"/>
      <c r="R563" s="8"/>
      <c r="T563" s="10"/>
      <c r="X563" s="8"/>
    </row>
    <row r="564" ht="15.75" customHeight="1">
      <c r="A564" s="6"/>
      <c r="F564" s="8"/>
      <c r="G564" s="38"/>
      <c r="J564" s="8"/>
      <c r="L564" s="8"/>
      <c r="N564" s="8"/>
      <c r="P564" s="8"/>
      <c r="R564" s="8"/>
      <c r="T564" s="10"/>
      <c r="X564" s="8"/>
    </row>
    <row r="565" ht="15.75" customHeight="1">
      <c r="A565" s="6"/>
      <c r="F565" s="8"/>
      <c r="G565" s="38"/>
      <c r="J565" s="8"/>
      <c r="L565" s="8"/>
      <c r="N565" s="8"/>
      <c r="P565" s="8"/>
      <c r="R565" s="8"/>
      <c r="T565" s="10"/>
      <c r="X565" s="8"/>
    </row>
    <row r="566" ht="15.75" customHeight="1">
      <c r="A566" s="6"/>
      <c r="F566" s="8"/>
      <c r="G566" s="38"/>
      <c r="J566" s="8"/>
      <c r="L566" s="8"/>
      <c r="N566" s="8"/>
      <c r="P566" s="8"/>
      <c r="R566" s="8"/>
      <c r="T566" s="10"/>
      <c r="X566" s="8"/>
    </row>
    <row r="567" ht="15.75" customHeight="1">
      <c r="A567" s="6"/>
      <c r="F567" s="8"/>
      <c r="G567" s="38"/>
      <c r="J567" s="8"/>
      <c r="L567" s="8"/>
      <c r="N567" s="8"/>
      <c r="P567" s="8"/>
      <c r="R567" s="8"/>
      <c r="T567" s="10"/>
      <c r="X567" s="8"/>
    </row>
    <row r="568" ht="15.75" customHeight="1">
      <c r="A568" s="6"/>
      <c r="F568" s="8"/>
      <c r="G568" s="38"/>
      <c r="J568" s="8"/>
      <c r="L568" s="8"/>
      <c r="N568" s="8"/>
      <c r="P568" s="8"/>
      <c r="R568" s="8"/>
      <c r="T568" s="10"/>
      <c r="X568" s="8"/>
    </row>
    <row r="569" ht="15.75" customHeight="1">
      <c r="A569" s="6"/>
      <c r="F569" s="8"/>
      <c r="G569" s="38"/>
      <c r="J569" s="8"/>
      <c r="L569" s="8"/>
      <c r="N569" s="8"/>
      <c r="P569" s="8"/>
      <c r="R569" s="8"/>
      <c r="T569" s="10"/>
      <c r="X569" s="8"/>
    </row>
    <row r="570" ht="15.75" customHeight="1">
      <c r="A570" s="6"/>
      <c r="F570" s="8"/>
      <c r="G570" s="38"/>
      <c r="J570" s="8"/>
      <c r="L570" s="8"/>
      <c r="N570" s="8"/>
      <c r="P570" s="8"/>
      <c r="R570" s="8"/>
      <c r="T570" s="10"/>
      <c r="X570" s="8"/>
    </row>
    <row r="571" ht="15.75" customHeight="1">
      <c r="A571" s="6"/>
      <c r="F571" s="8"/>
      <c r="G571" s="38"/>
      <c r="J571" s="8"/>
      <c r="L571" s="8"/>
      <c r="N571" s="8"/>
      <c r="P571" s="8"/>
      <c r="R571" s="8"/>
      <c r="T571" s="10"/>
      <c r="X571" s="8"/>
    </row>
    <row r="572" ht="15.75" customHeight="1">
      <c r="A572" s="6"/>
      <c r="F572" s="8"/>
      <c r="G572" s="38"/>
      <c r="J572" s="8"/>
      <c r="L572" s="8"/>
      <c r="N572" s="8"/>
      <c r="P572" s="8"/>
      <c r="R572" s="8"/>
      <c r="T572" s="10"/>
      <c r="X572" s="8"/>
    </row>
    <row r="573" ht="15.75" customHeight="1">
      <c r="A573" s="6"/>
      <c r="F573" s="8"/>
      <c r="G573" s="38"/>
      <c r="J573" s="8"/>
      <c r="L573" s="8"/>
      <c r="N573" s="8"/>
      <c r="P573" s="8"/>
      <c r="R573" s="8"/>
      <c r="T573" s="10"/>
      <c r="X573" s="8"/>
    </row>
    <row r="574" ht="15.75" customHeight="1">
      <c r="A574" s="6"/>
      <c r="F574" s="8"/>
      <c r="G574" s="38"/>
      <c r="J574" s="8"/>
      <c r="L574" s="8"/>
      <c r="N574" s="8"/>
      <c r="P574" s="8"/>
      <c r="R574" s="8"/>
      <c r="T574" s="10"/>
      <c r="X574" s="8"/>
    </row>
    <row r="575" ht="15.75" customHeight="1">
      <c r="A575" s="6"/>
      <c r="F575" s="8"/>
      <c r="G575" s="38"/>
      <c r="J575" s="8"/>
      <c r="L575" s="8"/>
      <c r="N575" s="8"/>
      <c r="P575" s="8"/>
      <c r="R575" s="8"/>
      <c r="T575" s="10"/>
      <c r="X575" s="8"/>
    </row>
    <row r="576" ht="15.75" customHeight="1">
      <c r="A576" s="6"/>
      <c r="F576" s="8"/>
      <c r="G576" s="38"/>
      <c r="J576" s="8"/>
      <c r="L576" s="8"/>
      <c r="N576" s="8"/>
      <c r="P576" s="8"/>
      <c r="R576" s="8"/>
      <c r="T576" s="10"/>
      <c r="X576" s="8"/>
    </row>
    <row r="577" ht="15.75" customHeight="1">
      <c r="A577" s="6"/>
      <c r="F577" s="8"/>
      <c r="G577" s="38"/>
      <c r="J577" s="8"/>
      <c r="L577" s="8"/>
      <c r="N577" s="8"/>
      <c r="P577" s="8"/>
      <c r="R577" s="8"/>
      <c r="T577" s="10"/>
      <c r="X577" s="8"/>
    </row>
    <row r="578" ht="15.75" customHeight="1">
      <c r="A578" s="6"/>
      <c r="F578" s="8"/>
      <c r="G578" s="38"/>
      <c r="J578" s="8"/>
      <c r="L578" s="8"/>
      <c r="N578" s="8"/>
      <c r="P578" s="8"/>
      <c r="R578" s="8"/>
      <c r="T578" s="10"/>
      <c r="X578" s="8"/>
    </row>
    <row r="579" ht="15.75" customHeight="1">
      <c r="A579" s="6"/>
      <c r="F579" s="8"/>
      <c r="G579" s="38"/>
      <c r="J579" s="8"/>
      <c r="L579" s="8"/>
      <c r="N579" s="8"/>
      <c r="P579" s="8"/>
      <c r="R579" s="8"/>
      <c r="T579" s="10"/>
      <c r="X579" s="8"/>
    </row>
    <row r="580" ht="15.75" customHeight="1">
      <c r="A580" s="6"/>
      <c r="F580" s="8"/>
      <c r="G580" s="38"/>
      <c r="J580" s="8"/>
      <c r="L580" s="8"/>
      <c r="N580" s="8"/>
      <c r="P580" s="8"/>
      <c r="R580" s="8"/>
      <c r="T580" s="10"/>
      <c r="X580" s="8"/>
    </row>
    <row r="581" ht="15.75" customHeight="1">
      <c r="A581" s="6"/>
      <c r="F581" s="8"/>
      <c r="G581" s="38"/>
      <c r="J581" s="8"/>
      <c r="L581" s="8"/>
      <c r="N581" s="8"/>
      <c r="P581" s="8"/>
      <c r="R581" s="8"/>
      <c r="T581" s="10"/>
      <c r="X581" s="8"/>
    </row>
    <row r="582" ht="15.75" customHeight="1">
      <c r="A582" s="6"/>
      <c r="F582" s="8"/>
      <c r="G582" s="38"/>
      <c r="J582" s="8"/>
      <c r="L582" s="8"/>
      <c r="N582" s="8"/>
      <c r="P582" s="8"/>
      <c r="R582" s="8"/>
      <c r="T582" s="10"/>
      <c r="X582" s="8"/>
    </row>
    <row r="583" ht="15.75" customHeight="1">
      <c r="A583" s="6"/>
      <c r="F583" s="8"/>
      <c r="G583" s="38"/>
      <c r="J583" s="8"/>
      <c r="L583" s="8"/>
      <c r="N583" s="8"/>
      <c r="P583" s="8"/>
      <c r="R583" s="8"/>
      <c r="T583" s="10"/>
      <c r="X583" s="8"/>
    </row>
    <row r="584" ht="15.75" customHeight="1">
      <c r="A584" s="6"/>
      <c r="F584" s="8"/>
      <c r="G584" s="38"/>
      <c r="J584" s="8"/>
      <c r="L584" s="8"/>
      <c r="N584" s="8"/>
      <c r="P584" s="8"/>
      <c r="R584" s="8"/>
      <c r="T584" s="10"/>
      <c r="X584" s="8"/>
    </row>
    <row r="585" ht="15.75" customHeight="1">
      <c r="A585" s="6"/>
      <c r="F585" s="8"/>
      <c r="G585" s="38"/>
      <c r="J585" s="8"/>
      <c r="L585" s="8"/>
      <c r="N585" s="8"/>
      <c r="P585" s="8"/>
      <c r="R585" s="8"/>
      <c r="T585" s="10"/>
      <c r="X585" s="8"/>
    </row>
    <row r="586" ht="15.75" customHeight="1">
      <c r="A586" s="6"/>
      <c r="F586" s="8"/>
      <c r="G586" s="38"/>
      <c r="J586" s="8"/>
      <c r="L586" s="8"/>
      <c r="N586" s="8"/>
      <c r="P586" s="8"/>
      <c r="R586" s="8"/>
      <c r="T586" s="10"/>
      <c r="X586" s="8"/>
    </row>
    <row r="587" ht="15.75" customHeight="1">
      <c r="A587" s="6"/>
      <c r="F587" s="8"/>
      <c r="G587" s="38"/>
      <c r="J587" s="8"/>
      <c r="L587" s="8"/>
      <c r="N587" s="8"/>
      <c r="P587" s="8"/>
      <c r="R587" s="8"/>
      <c r="T587" s="10"/>
      <c r="X587" s="8"/>
    </row>
    <row r="588" ht="15.75" customHeight="1">
      <c r="A588" s="6"/>
      <c r="F588" s="8"/>
      <c r="G588" s="38"/>
      <c r="J588" s="8"/>
      <c r="L588" s="8"/>
      <c r="N588" s="8"/>
      <c r="P588" s="8"/>
      <c r="R588" s="8"/>
      <c r="T588" s="10"/>
      <c r="X588" s="8"/>
    </row>
    <row r="589" ht="15.75" customHeight="1">
      <c r="A589" s="6"/>
      <c r="F589" s="8"/>
      <c r="G589" s="38"/>
      <c r="J589" s="8"/>
      <c r="L589" s="8"/>
      <c r="N589" s="8"/>
      <c r="P589" s="8"/>
      <c r="R589" s="8"/>
      <c r="T589" s="10"/>
      <c r="X589" s="8"/>
    </row>
    <row r="590" ht="15.75" customHeight="1">
      <c r="A590" s="6"/>
      <c r="F590" s="8"/>
      <c r="G590" s="38"/>
      <c r="J590" s="8"/>
      <c r="L590" s="8"/>
      <c r="N590" s="8"/>
      <c r="P590" s="8"/>
      <c r="R590" s="8"/>
      <c r="T590" s="10"/>
      <c r="X590" s="8"/>
    </row>
    <row r="591" ht="15.75" customHeight="1">
      <c r="A591" s="6"/>
      <c r="F591" s="8"/>
      <c r="G591" s="38"/>
      <c r="J591" s="8"/>
      <c r="L591" s="8"/>
      <c r="N591" s="8"/>
      <c r="P591" s="8"/>
      <c r="R591" s="8"/>
      <c r="T591" s="10"/>
      <c r="X591" s="8"/>
    </row>
    <row r="592" ht="15.75" customHeight="1">
      <c r="A592" s="6"/>
      <c r="F592" s="8"/>
      <c r="G592" s="38"/>
      <c r="J592" s="8"/>
      <c r="L592" s="8"/>
      <c r="N592" s="8"/>
      <c r="P592" s="8"/>
      <c r="R592" s="8"/>
      <c r="T592" s="10"/>
      <c r="X592" s="8"/>
    </row>
    <row r="593" ht="15.75" customHeight="1">
      <c r="A593" s="6"/>
      <c r="F593" s="8"/>
      <c r="G593" s="38"/>
      <c r="J593" s="8"/>
      <c r="L593" s="8"/>
      <c r="N593" s="8"/>
      <c r="P593" s="8"/>
      <c r="R593" s="8"/>
      <c r="T593" s="10"/>
      <c r="X593" s="8"/>
    </row>
    <row r="594" ht="15.75" customHeight="1">
      <c r="A594" s="6"/>
      <c r="F594" s="8"/>
      <c r="G594" s="38"/>
      <c r="J594" s="8"/>
      <c r="L594" s="8"/>
      <c r="N594" s="8"/>
      <c r="P594" s="8"/>
      <c r="R594" s="8"/>
      <c r="T594" s="10"/>
      <c r="X594" s="8"/>
    </row>
    <row r="595" ht="15.75" customHeight="1">
      <c r="A595" s="6"/>
      <c r="F595" s="8"/>
      <c r="G595" s="38"/>
      <c r="J595" s="8"/>
      <c r="L595" s="8"/>
      <c r="N595" s="8"/>
      <c r="P595" s="8"/>
      <c r="R595" s="8"/>
      <c r="T595" s="10"/>
      <c r="X595" s="8"/>
    </row>
    <row r="596" ht="15.75" customHeight="1">
      <c r="A596" s="6"/>
      <c r="F596" s="8"/>
      <c r="G596" s="38"/>
      <c r="J596" s="8"/>
      <c r="L596" s="8"/>
      <c r="N596" s="8"/>
      <c r="P596" s="8"/>
      <c r="R596" s="8"/>
      <c r="T596" s="10"/>
      <c r="X596" s="8"/>
    </row>
    <row r="597" ht="15.75" customHeight="1">
      <c r="A597" s="6"/>
      <c r="F597" s="8"/>
      <c r="G597" s="38"/>
      <c r="J597" s="8"/>
      <c r="L597" s="8"/>
      <c r="N597" s="8"/>
      <c r="P597" s="8"/>
      <c r="R597" s="8"/>
      <c r="T597" s="10"/>
      <c r="X597" s="8"/>
    </row>
    <row r="598" ht="15.75" customHeight="1">
      <c r="A598" s="6"/>
      <c r="F598" s="8"/>
      <c r="G598" s="38"/>
      <c r="J598" s="8"/>
      <c r="L598" s="8"/>
      <c r="N598" s="8"/>
      <c r="P598" s="8"/>
      <c r="R598" s="8"/>
      <c r="T598" s="10"/>
      <c r="X598" s="8"/>
    </row>
    <row r="599" ht="15.75" customHeight="1">
      <c r="A599" s="6"/>
      <c r="F599" s="8"/>
      <c r="G599" s="38"/>
      <c r="J599" s="8"/>
      <c r="L599" s="8"/>
      <c r="N599" s="8"/>
      <c r="P599" s="8"/>
      <c r="R599" s="8"/>
      <c r="T599" s="10"/>
      <c r="X599" s="8"/>
    </row>
    <row r="600" ht="15.75" customHeight="1">
      <c r="A600" s="6"/>
      <c r="F600" s="8"/>
      <c r="G600" s="38"/>
      <c r="J600" s="8"/>
      <c r="L600" s="8"/>
      <c r="N600" s="8"/>
      <c r="P600" s="8"/>
      <c r="R600" s="8"/>
      <c r="T600" s="10"/>
      <c r="X600" s="8"/>
    </row>
    <row r="601" ht="15.75" customHeight="1">
      <c r="A601" s="6"/>
      <c r="F601" s="8"/>
      <c r="G601" s="38"/>
      <c r="J601" s="8"/>
      <c r="L601" s="8"/>
      <c r="N601" s="8"/>
      <c r="P601" s="8"/>
      <c r="R601" s="8"/>
      <c r="T601" s="10"/>
      <c r="X601" s="8"/>
    </row>
    <row r="602" ht="15.75" customHeight="1">
      <c r="A602" s="6"/>
      <c r="F602" s="8"/>
      <c r="G602" s="38"/>
      <c r="J602" s="8"/>
      <c r="L602" s="8"/>
      <c r="N602" s="8"/>
      <c r="P602" s="8"/>
      <c r="R602" s="8"/>
      <c r="T602" s="10"/>
      <c r="X602" s="8"/>
    </row>
    <row r="603" ht="15.75" customHeight="1">
      <c r="A603" s="6"/>
      <c r="F603" s="8"/>
      <c r="G603" s="38"/>
      <c r="J603" s="8"/>
      <c r="L603" s="8"/>
      <c r="N603" s="8"/>
      <c r="P603" s="8"/>
      <c r="R603" s="8"/>
      <c r="T603" s="10"/>
      <c r="X603" s="8"/>
    </row>
    <row r="604" ht="15.75" customHeight="1">
      <c r="A604" s="6"/>
      <c r="F604" s="8"/>
      <c r="G604" s="38"/>
      <c r="J604" s="8"/>
      <c r="L604" s="8"/>
      <c r="N604" s="8"/>
      <c r="P604" s="8"/>
      <c r="R604" s="8"/>
      <c r="T604" s="10"/>
      <c r="X604" s="8"/>
    </row>
    <row r="605" ht="15.75" customHeight="1">
      <c r="A605" s="6"/>
      <c r="F605" s="8"/>
      <c r="G605" s="38"/>
      <c r="J605" s="8"/>
      <c r="L605" s="8"/>
      <c r="N605" s="8"/>
      <c r="P605" s="8"/>
      <c r="R605" s="8"/>
      <c r="T605" s="10"/>
      <c r="X605" s="8"/>
    </row>
    <row r="606" ht="15.75" customHeight="1">
      <c r="A606" s="6"/>
      <c r="F606" s="8"/>
      <c r="G606" s="38"/>
      <c r="J606" s="8"/>
      <c r="L606" s="8"/>
      <c r="N606" s="8"/>
      <c r="P606" s="8"/>
      <c r="R606" s="8"/>
      <c r="T606" s="10"/>
      <c r="X606" s="8"/>
    </row>
    <row r="607" ht="15.75" customHeight="1">
      <c r="A607" s="6"/>
      <c r="F607" s="8"/>
      <c r="G607" s="38"/>
      <c r="J607" s="8"/>
      <c r="L607" s="8"/>
      <c r="N607" s="8"/>
      <c r="P607" s="8"/>
      <c r="R607" s="8"/>
      <c r="T607" s="10"/>
      <c r="X607" s="8"/>
    </row>
    <row r="608" ht="15.75" customHeight="1">
      <c r="A608" s="6"/>
      <c r="F608" s="8"/>
      <c r="G608" s="38"/>
      <c r="J608" s="8"/>
      <c r="L608" s="8"/>
      <c r="N608" s="8"/>
      <c r="P608" s="8"/>
      <c r="R608" s="8"/>
      <c r="T608" s="10"/>
      <c r="X608" s="8"/>
    </row>
    <row r="609" ht="15.75" customHeight="1">
      <c r="A609" s="6"/>
      <c r="F609" s="8"/>
      <c r="G609" s="38"/>
      <c r="J609" s="8"/>
      <c r="L609" s="8"/>
      <c r="N609" s="8"/>
      <c r="P609" s="8"/>
      <c r="R609" s="8"/>
      <c r="T609" s="10"/>
      <c r="X609" s="8"/>
    </row>
    <row r="610" ht="15.75" customHeight="1">
      <c r="A610" s="6"/>
      <c r="F610" s="8"/>
      <c r="G610" s="38"/>
      <c r="J610" s="8"/>
      <c r="L610" s="8"/>
      <c r="N610" s="8"/>
      <c r="P610" s="8"/>
      <c r="R610" s="8"/>
      <c r="T610" s="10"/>
      <c r="X610" s="8"/>
    </row>
    <row r="611" ht="15.75" customHeight="1">
      <c r="A611" s="6"/>
      <c r="F611" s="8"/>
      <c r="G611" s="38"/>
      <c r="J611" s="8"/>
      <c r="L611" s="8"/>
      <c r="N611" s="8"/>
      <c r="P611" s="8"/>
      <c r="R611" s="8"/>
      <c r="T611" s="10"/>
      <c r="X611" s="8"/>
    </row>
    <row r="612" ht="15.75" customHeight="1">
      <c r="A612" s="6"/>
      <c r="F612" s="8"/>
      <c r="G612" s="38"/>
      <c r="J612" s="8"/>
      <c r="L612" s="8"/>
      <c r="N612" s="8"/>
      <c r="P612" s="8"/>
      <c r="R612" s="8"/>
      <c r="T612" s="10"/>
      <c r="X612" s="8"/>
    </row>
    <row r="613" ht="15.75" customHeight="1">
      <c r="A613" s="6"/>
      <c r="F613" s="8"/>
      <c r="G613" s="38"/>
      <c r="J613" s="8"/>
      <c r="L613" s="8"/>
      <c r="N613" s="8"/>
      <c r="P613" s="8"/>
      <c r="R613" s="8"/>
      <c r="T613" s="10"/>
      <c r="X613" s="8"/>
    </row>
    <row r="614" ht="15.75" customHeight="1">
      <c r="A614" s="6"/>
      <c r="F614" s="8"/>
      <c r="G614" s="38"/>
      <c r="J614" s="8"/>
      <c r="L614" s="8"/>
      <c r="N614" s="8"/>
      <c r="P614" s="8"/>
      <c r="R614" s="8"/>
      <c r="T614" s="10"/>
      <c r="X614" s="8"/>
    </row>
    <row r="615" ht="15.75" customHeight="1">
      <c r="A615" s="6"/>
      <c r="F615" s="8"/>
      <c r="G615" s="38"/>
      <c r="J615" s="8"/>
      <c r="L615" s="8"/>
      <c r="N615" s="8"/>
      <c r="P615" s="8"/>
      <c r="R615" s="8"/>
      <c r="T615" s="10"/>
      <c r="X615" s="8"/>
    </row>
    <row r="616" ht="15.75" customHeight="1">
      <c r="A616" s="6"/>
      <c r="F616" s="8"/>
      <c r="G616" s="38"/>
      <c r="J616" s="8"/>
      <c r="L616" s="8"/>
      <c r="N616" s="8"/>
      <c r="P616" s="8"/>
      <c r="R616" s="8"/>
      <c r="T616" s="10"/>
      <c r="X616" s="8"/>
    </row>
    <row r="617" ht="15.75" customHeight="1">
      <c r="A617" s="6"/>
      <c r="F617" s="8"/>
      <c r="G617" s="38"/>
      <c r="J617" s="8"/>
      <c r="L617" s="8"/>
      <c r="N617" s="8"/>
      <c r="P617" s="8"/>
      <c r="R617" s="8"/>
      <c r="T617" s="10"/>
      <c r="X617" s="8"/>
    </row>
    <row r="618" ht="15.75" customHeight="1">
      <c r="A618" s="6"/>
      <c r="F618" s="8"/>
      <c r="G618" s="38"/>
      <c r="J618" s="8"/>
      <c r="L618" s="8"/>
      <c r="N618" s="8"/>
      <c r="P618" s="8"/>
      <c r="R618" s="8"/>
      <c r="T618" s="10"/>
      <c r="X618" s="8"/>
    </row>
    <row r="619" ht="15.75" customHeight="1">
      <c r="A619" s="6"/>
      <c r="F619" s="8"/>
      <c r="G619" s="38"/>
      <c r="J619" s="8"/>
      <c r="L619" s="8"/>
      <c r="N619" s="8"/>
      <c r="P619" s="8"/>
      <c r="R619" s="8"/>
      <c r="T619" s="10"/>
      <c r="X619" s="8"/>
    </row>
    <row r="620" ht="15.75" customHeight="1">
      <c r="A620" s="6"/>
      <c r="F620" s="8"/>
      <c r="G620" s="38"/>
      <c r="J620" s="8"/>
      <c r="L620" s="8"/>
      <c r="N620" s="8"/>
      <c r="P620" s="8"/>
      <c r="R620" s="8"/>
      <c r="T620" s="10"/>
      <c r="X620" s="8"/>
    </row>
    <row r="621" ht="15.75" customHeight="1">
      <c r="A621" s="6"/>
      <c r="F621" s="8"/>
      <c r="G621" s="38"/>
      <c r="J621" s="8"/>
      <c r="L621" s="8"/>
      <c r="N621" s="8"/>
      <c r="P621" s="8"/>
      <c r="R621" s="8"/>
      <c r="T621" s="10"/>
      <c r="X621" s="8"/>
    </row>
    <row r="622" ht="15.75" customHeight="1">
      <c r="A622" s="6"/>
      <c r="F622" s="8"/>
      <c r="G622" s="38"/>
      <c r="J622" s="8"/>
      <c r="L622" s="8"/>
      <c r="N622" s="8"/>
      <c r="P622" s="8"/>
      <c r="R622" s="8"/>
      <c r="T622" s="10"/>
      <c r="X622" s="8"/>
    </row>
    <row r="623" ht="15.75" customHeight="1">
      <c r="A623" s="6"/>
      <c r="F623" s="8"/>
      <c r="G623" s="38"/>
      <c r="J623" s="8"/>
      <c r="L623" s="8"/>
      <c r="N623" s="8"/>
      <c r="P623" s="8"/>
      <c r="R623" s="8"/>
      <c r="T623" s="10"/>
      <c r="X623" s="8"/>
    </row>
    <row r="624" ht="15.75" customHeight="1">
      <c r="A624" s="6"/>
      <c r="F624" s="8"/>
      <c r="G624" s="38"/>
      <c r="J624" s="8"/>
      <c r="L624" s="8"/>
      <c r="N624" s="8"/>
      <c r="P624" s="8"/>
      <c r="R624" s="8"/>
      <c r="T624" s="10"/>
      <c r="X624" s="8"/>
    </row>
    <row r="625" ht="15.75" customHeight="1">
      <c r="A625" s="6"/>
      <c r="F625" s="8"/>
      <c r="G625" s="38"/>
      <c r="J625" s="8"/>
      <c r="L625" s="8"/>
      <c r="N625" s="8"/>
      <c r="P625" s="8"/>
      <c r="R625" s="8"/>
      <c r="T625" s="10"/>
      <c r="X625" s="8"/>
    </row>
    <row r="626" ht="15.75" customHeight="1">
      <c r="A626" s="6"/>
      <c r="F626" s="8"/>
      <c r="G626" s="38"/>
      <c r="J626" s="8"/>
      <c r="L626" s="8"/>
      <c r="N626" s="8"/>
      <c r="P626" s="8"/>
      <c r="R626" s="8"/>
      <c r="T626" s="10"/>
      <c r="X626" s="8"/>
    </row>
    <row r="627" ht="15.75" customHeight="1">
      <c r="A627" s="6"/>
      <c r="F627" s="8"/>
      <c r="G627" s="38"/>
      <c r="J627" s="8"/>
      <c r="L627" s="8"/>
      <c r="N627" s="8"/>
      <c r="P627" s="8"/>
      <c r="R627" s="8"/>
      <c r="T627" s="10"/>
      <c r="X627" s="8"/>
    </row>
    <row r="628" ht="15.75" customHeight="1">
      <c r="A628" s="6"/>
      <c r="F628" s="8"/>
      <c r="G628" s="38"/>
      <c r="J628" s="8"/>
      <c r="L628" s="8"/>
      <c r="N628" s="8"/>
      <c r="P628" s="8"/>
      <c r="R628" s="8"/>
      <c r="T628" s="10"/>
      <c r="X628" s="8"/>
    </row>
    <row r="629" ht="15.75" customHeight="1">
      <c r="A629" s="6"/>
      <c r="F629" s="8"/>
      <c r="G629" s="38"/>
      <c r="J629" s="8"/>
      <c r="L629" s="8"/>
      <c r="N629" s="8"/>
      <c r="P629" s="8"/>
      <c r="R629" s="8"/>
      <c r="T629" s="10"/>
      <c r="X629" s="8"/>
    </row>
    <row r="630" ht="15.75" customHeight="1">
      <c r="A630" s="6"/>
      <c r="F630" s="8"/>
      <c r="G630" s="38"/>
      <c r="J630" s="8"/>
      <c r="L630" s="8"/>
      <c r="N630" s="8"/>
      <c r="P630" s="8"/>
      <c r="R630" s="8"/>
      <c r="T630" s="10"/>
      <c r="X630" s="8"/>
    </row>
    <row r="631" ht="15.75" customHeight="1">
      <c r="A631" s="6"/>
      <c r="F631" s="8"/>
      <c r="G631" s="38"/>
      <c r="J631" s="8"/>
      <c r="L631" s="8"/>
      <c r="N631" s="8"/>
      <c r="P631" s="8"/>
      <c r="R631" s="8"/>
      <c r="T631" s="10"/>
      <c r="X631" s="8"/>
    </row>
    <row r="632" ht="15.75" customHeight="1">
      <c r="A632" s="6"/>
      <c r="F632" s="8"/>
      <c r="G632" s="38"/>
      <c r="J632" s="8"/>
      <c r="L632" s="8"/>
      <c r="N632" s="8"/>
      <c r="P632" s="8"/>
      <c r="R632" s="8"/>
      <c r="T632" s="10"/>
      <c r="X632" s="8"/>
    </row>
    <row r="633" ht="15.75" customHeight="1">
      <c r="A633" s="6"/>
      <c r="F633" s="8"/>
      <c r="G633" s="38"/>
      <c r="J633" s="8"/>
      <c r="L633" s="8"/>
      <c r="N633" s="8"/>
      <c r="P633" s="8"/>
      <c r="R633" s="8"/>
      <c r="T633" s="10"/>
      <c r="X633" s="8"/>
    </row>
    <row r="634" ht="15.75" customHeight="1">
      <c r="A634" s="6"/>
      <c r="F634" s="8"/>
      <c r="G634" s="38"/>
      <c r="J634" s="8"/>
      <c r="L634" s="8"/>
      <c r="N634" s="8"/>
      <c r="P634" s="8"/>
      <c r="R634" s="8"/>
      <c r="T634" s="10"/>
      <c r="X634" s="8"/>
    </row>
    <row r="635" ht="15.75" customHeight="1">
      <c r="A635" s="6"/>
      <c r="F635" s="8"/>
      <c r="G635" s="38"/>
      <c r="J635" s="8"/>
      <c r="L635" s="8"/>
      <c r="N635" s="8"/>
      <c r="P635" s="8"/>
      <c r="R635" s="8"/>
      <c r="T635" s="10"/>
      <c r="X635" s="8"/>
    </row>
    <row r="636" ht="15.75" customHeight="1">
      <c r="A636" s="6"/>
      <c r="F636" s="8"/>
      <c r="G636" s="38"/>
      <c r="J636" s="8"/>
      <c r="L636" s="8"/>
      <c r="N636" s="8"/>
      <c r="P636" s="8"/>
      <c r="R636" s="8"/>
      <c r="T636" s="10"/>
      <c r="X636" s="8"/>
    </row>
    <row r="637" ht="15.75" customHeight="1">
      <c r="A637" s="6"/>
      <c r="F637" s="8"/>
      <c r="G637" s="38"/>
      <c r="J637" s="8"/>
      <c r="L637" s="8"/>
      <c r="N637" s="8"/>
      <c r="P637" s="8"/>
      <c r="R637" s="8"/>
      <c r="T637" s="10"/>
      <c r="X637" s="8"/>
    </row>
    <row r="638" ht="15.75" customHeight="1">
      <c r="A638" s="6"/>
      <c r="F638" s="8"/>
      <c r="G638" s="38"/>
      <c r="J638" s="8"/>
      <c r="L638" s="8"/>
      <c r="N638" s="8"/>
      <c r="P638" s="8"/>
      <c r="R638" s="8"/>
      <c r="T638" s="10"/>
      <c r="X638" s="8"/>
    </row>
    <row r="639" ht="15.75" customHeight="1">
      <c r="A639" s="6"/>
      <c r="F639" s="8"/>
      <c r="G639" s="38"/>
      <c r="J639" s="8"/>
      <c r="L639" s="8"/>
      <c r="N639" s="8"/>
      <c r="P639" s="8"/>
      <c r="R639" s="8"/>
      <c r="T639" s="10"/>
      <c r="X639" s="8"/>
    </row>
    <row r="640" ht="15.75" customHeight="1">
      <c r="A640" s="6"/>
      <c r="F640" s="8"/>
      <c r="G640" s="38"/>
      <c r="J640" s="8"/>
      <c r="L640" s="8"/>
      <c r="N640" s="8"/>
      <c r="P640" s="8"/>
      <c r="R640" s="8"/>
      <c r="T640" s="10"/>
      <c r="X640" s="8"/>
    </row>
    <row r="641" ht="15.75" customHeight="1">
      <c r="A641" s="6"/>
      <c r="F641" s="8"/>
      <c r="G641" s="38"/>
      <c r="J641" s="8"/>
      <c r="L641" s="8"/>
      <c r="N641" s="8"/>
      <c r="P641" s="8"/>
      <c r="R641" s="8"/>
      <c r="T641" s="10"/>
      <c r="X641" s="8"/>
    </row>
    <row r="642" ht="15.75" customHeight="1">
      <c r="A642" s="6"/>
      <c r="F642" s="8"/>
      <c r="G642" s="38"/>
      <c r="J642" s="8"/>
      <c r="L642" s="8"/>
      <c r="N642" s="8"/>
      <c r="P642" s="8"/>
      <c r="R642" s="8"/>
      <c r="T642" s="10"/>
      <c r="X642" s="8"/>
    </row>
    <row r="643" ht="15.75" customHeight="1">
      <c r="A643" s="6"/>
      <c r="F643" s="8"/>
      <c r="G643" s="38"/>
      <c r="J643" s="8"/>
      <c r="L643" s="8"/>
      <c r="N643" s="8"/>
      <c r="P643" s="8"/>
      <c r="R643" s="8"/>
      <c r="T643" s="10"/>
      <c r="X643" s="8"/>
    </row>
    <row r="644" ht="15.75" customHeight="1">
      <c r="A644" s="6"/>
      <c r="F644" s="8"/>
      <c r="G644" s="38"/>
      <c r="J644" s="8"/>
      <c r="L644" s="8"/>
      <c r="N644" s="8"/>
      <c r="P644" s="8"/>
      <c r="R644" s="8"/>
      <c r="T644" s="10"/>
      <c r="X644" s="8"/>
    </row>
    <row r="645" ht="15.75" customHeight="1">
      <c r="A645" s="6"/>
      <c r="F645" s="8"/>
      <c r="G645" s="38"/>
      <c r="J645" s="8"/>
      <c r="L645" s="8"/>
      <c r="N645" s="8"/>
      <c r="P645" s="8"/>
      <c r="R645" s="8"/>
      <c r="T645" s="10"/>
      <c r="X645" s="8"/>
    </row>
    <row r="646" ht="15.75" customHeight="1">
      <c r="A646" s="6"/>
      <c r="F646" s="8"/>
      <c r="G646" s="38"/>
      <c r="J646" s="8"/>
      <c r="L646" s="8"/>
      <c r="N646" s="8"/>
      <c r="P646" s="8"/>
      <c r="R646" s="8"/>
      <c r="T646" s="10"/>
      <c r="X646" s="8"/>
    </row>
    <row r="647" ht="15.75" customHeight="1">
      <c r="A647" s="6"/>
      <c r="F647" s="8"/>
      <c r="G647" s="38"/>
      <c r="J647" s="8"/>
      <c r="L647" s="8"/>
      <c r="N647" s="8"/>
      <c r="P647" s="8"/>
      <c r="R647" s="8"/>
      <c r="T647" s="10"/>
      <c r="X647" s="8"/>
    </row>
    <row r="648" ht="15.75" customHeight="1">
      <c r="A648" s="6"/>
      <c r="F648" s="8"/>
      <c r="G648" s="38"/>
      <c r="J648" s="8"/>
      <c r="L648" s="8"/>
      <c r="N648" s="8"/>
      <c r="P648" s="8"/>
      <c r="R648" s="8"/>
      <c r="T648" s="10"/>
      <c r="X648" s="8"/>
    </row>
    <row r="649" ht="15.75" customHeight="1">
      <c r="A649" s="6"/>
      <c r="F649" s="8"/>
      <c r="G649" s="38"/>
      <c r="J649" s="8"/>
      <c r="L649" s="8"/>
      <c r="N649" s="8"/>
      <c r="P649" s="8"/>
      <c r="R649" s="8"/>
      <c r="T649" s="10"/>
      <c r="X649" s="8"/>
    </row>
    <row r="650" ht="15.75" customHeight="1">
      <c r="A650" s="6"/>
      <c r="F650" s="8"/>
      <c r="G650" s="38"/>
      <c r="J650" s="8"/>
      <c r="L650" s="8"/>
      <c r="N650" s="8"/>
      <c r="P650" s="8"/>
      <c r="R650" s="8"/>
      <c r="T650" s="10"/>
      <c r="X650" s="8"/>
    </row>
    <row r="651" ht="15.75" customHeight="1">
      <c r="A651" s="6"/>
      <c r="F651" s="8"/>
      <c r="G651" s="38"/>
      <c r="J651" s="8"/>
      <c r="L651" s="8"/>
      <c r="N651" s="8"/>
      <c r="P651" s="8"/>
      <c r="R651" s="8"/>
      <c r="T651" s="10"/>
      <c r="X651" s="8"/>
    </row>
    <row r="652" ht="15.75" customHeight="1">
      <c r="A652" s="6"/>
      <c r="F652" s="8"/>
      <c r="G652" s="38"/>
      <c r="J652" s="8"/>
      <c r="L652" s="8"/>
      <c r="N652" s="8"/>
      <c r="P652" s="8"/>
      <c r="R652" s="8"/>
      <c r="T652" s="10"/>
      <c r="X652" s="8"/>
    </row>
    <row r="653" ht="15.75" customHeight="1">
      <c r="A653" s="6"/>
      <c r="F653" s="8"/>
      <c r="G653" s="38"/>
      <c r="J653" s="8"/>
      <c r="L653" s="8"/>
      <c r="N653" s="8"/>
      <c r="P653" s="8"/>
      <c r="R653" s="8"/>
      <c r="T653" s="10"/>
      <c r="X653" s="8"/>
    </row>
    <row r="654" ht="15.75" customHeight="1">
      <c r="A654" s="6"/>
      <c r="F654" s="8"/>
      <c r="G654" s="38"/>
      <c r="J654" s="8"/>
      <c r="L654" s="8"/>
      <c r="N654" s="8"/>
      <c r="P654" s="8"/>
      <c r="R654" s="8"/>
      <c r="T654" s="10"/>
      <c r="X654" s="8"/>
    </row>
    <row r="655" ht="15.75" customHeight="1">
      <c r="A655" s="6"/>
      <c r="F655" s="8"/>
      <c r="G655" s="38"/>
      <c r="J655" s="8"/>
      <c r="L655" s="8"/>
      <c r="N655" s="8"/>
      <c r="P655" s="8"/>
      <c r="R655" s="8"/>
      <c r="T655" s="10"/>
      <c r="X655" s="8"/>
    </row>
    <row r="656" ht="15.75" customHeight="1">
      <c r="A656" s="6"/>
      <c r="F656" s="8"/>
      <c r="G656" s="38"/>
      <c r="J656" s="8"/>
      <c r="L656" s="8"/>
      <c r="N656" s="8"/>
      <c r="P656" s="8"/>
      <c r="R656" s="8"/>
      <c r="T656" s="10"/>
      <c r="X656" s="8"/>
    </row>
    <row r="657" ht="15.75" customHeight="1">
      <c r="A657" s="6"/>
      <c r="F657" s="8"/>
      <c r="G657" s="38"/>
      <c r="J657" s="8"/>
      <c r="L657" s="8"/>
      <c r="N657" s="8"/>
      <c r="P657" s="8"/>
      <c r="R657" s="8"/>
      <c r="T657" s="10"/>
      <c r="X657" s="8"/>
    </row>
    <row r="658" ht="15.75" customHeight="1">
      <c r="A658" s="6"/>
      <c r="F658" s="8"/>
      <c r="G658" s="38"/>
      <c r="J658" s="8"/>
      <c r="L658" s="8"/>
      <c r="N658" s="8"/>
      <c r="P658" s="8"/>
      <c r="R658" s="8"/>
      <c r="T658" s="10"/>
      <c r="X658" s="8"/>
    </row>
    <row r="659" ht="15.75" customHeight="1">
      <c r="A659" s="6"/>
      <c r="F659" s="8"/>
      <c r="G659" s="38"/>
      <c r="J659" s="8"/>
      <c r="L659" s="8"/>
      <c r="N659" s="8"/>
      <c r="P659" s="8"/>
      <c r="R659" s="8"/>
      <c r="T659" s="10"/>
      <c r="X659" s="8"/>
    </row>
    <row r="660" ht="15.75" customHeight="1">
      <c r="A660" s="6"/>
      <c r="F660" s="8"/>
      <c r="G660" s="38"/>
      <c r="J660" s="8"/>
      <c r="L660" s="8"/>
      <c r="N660" s="8"/>
      <c r="P660" s="8"/>
      <c r="R660" s="8"/>
      <c r="T660" s="10"/>
      <c r="X660" s="8"/>
    </row>
    <row r="661" ht="15.75" customHeight="1">
      <c r="A661" s="6"/>
      <c r="F661" s="8"/>
      <c r="G661" s="38"/>
      <c r="J661" s="8"/>
      <c r="L661" s="8"/>
      <c r="N661" s="8"/>
      <c r="P661" s="8"/>
      <c r="R661" s="8"/>
      <c r="T661" s="10"/>
      <c r="X661" s="8"/>
    </row>
    <row r="662" ht="15.75" customHeight="1">
      <c r="A662" s="6"/>
      <c r="F662" s="8"/>
      <c r="G662" s="38"/>
      <c r="J662" s="8"/>
      <c r="L662" s="8"/>
      <c r="N662" s="8"/>
      <c r="P662" s="8"/>
      <c r="R662" s="8"/>
      <c r="T662" s="10"/>
      <c r="X662" s="8"/>
    </row>
    <row r="663" ht="15.75" customHeight="1">
      <c r="A663" s="6"/>
      <c r="F663" s="8"/>
      <c r="G663" s="38"/>
      <c r="J663" s="8"/>
      <c r="L663" s="8"/>
      <c r="N663" s="8"/>
      <c r="P663" s="8"/>
      <c r="R663" s="8"/>
      <c r="T663" s="10"/>
      <c r="X663" s="8"/>
    </row>
    <row r="664" ht="15.75" customHeight="1">
      <c r="A664" s="6"/>
      <c r="F664" s="8"/>
      <c r="G664" s="38"/>
      <c r="J664" s="8"/>
      <c r="L664" s="8"/>
      <c r="N664" s="8"/>
      <c r="P664" s="8"/>
      <c r="R664" s="8"/>
      <c r="T664" s="10"/>
      <c r="X664" s="8"/>
    </row>
    <row r="665" ht="15.75" customHeight="1">
      <c r="A665" s="6"/>
      <c r="F665" s="8"/>
      <c r="G665" s="38"/>
      <c r="J665" s="8"/>
      <c r="L665" s="8"/>
      <c r="N665" s="8"/>
      <c r="P665" s="8"/>
      <c r="R665" s="8"/>
      <c r="T665" s="10"/>
      <c r="X665" s="8"/>
    </row>
    <row r="666" ht="15.75" customHeight="1">
      <c r="A666" s="6"/>
      <c r="F666" s="8"/>
      <c r="G666" s="38"/>
      <c r="J666" s="8"/>
      <c r="L666" s="8"/>
      <c r="N666" s="8"/>
      <c r="P666" s="8"/>
      <c r="R666" s="8"/>
      <c r="T666" s="10"/>
      <c r="X666" s="8"/>
    </row>
    <row r="667" ht="15.75" customHeight="1">
      <c r="A667" s="6"/>
      <c r="F667" s="8"/>
      <c r="G667" s="38"/>
      <c r="J667" s="8"/>
      <c r="L667" s="8"/>
      <c r="N667" s="8"/>
      <c r="P667" s="8"/>
      <c r="R667" s="8"/>
      <c r="T667" s="10"/>
      <c r="X667" s="8"/>
    </row>
    <row r="668" ht="15.75" customHeight="1">
      <c r="A668" s="6"/>
      <c r="F668" s="8"/>
      <c r="G668" s="38"/>
      <c r="J668" s="8"/>
      <c r="L668" s="8"/>
      <c r="N668" s="8"/>
      <c r="P668" s="8"/>
      <c r="R668" s="8"/>
      <c r="T668" s="10"/>
      <c r="X668" s="8"/>
    </row>
    <row r="669" ht="15.75" customHeight="1">
      <c r="A669" s="6"/>
      <c r="F669" s="8"/>
      <c r="G669" s="38"/>
      <c r="J669" s="8"/>
      <c r="L669" s="8"/>
      <c r="N669" s="8"/>
      <c r="P669" s="8"/>
      <c r="R669" s="8"/>
      <c r="T669" s="10"/>
      <c r="X669" s="8"/>
    </row>
    <row r="670" ht="15.75" customHeight="1">
      <c r="A670" s="6"/>
      <c r="F670" s="8"/>
      <c r="G670" s="38"/>
      <c r="J670" s="8"/>
      <c r="L670" s="8"/>
      <c r="N670" s="8"/>
      <c r="P670" s="8"/>
      <c r="R670" s="8"/>
      <c r="T670" s="10"/>
      <c r="X670" s="8"/>
    </row>
    <row r="671" ht="15.75" customHeight="1">
      <c r="A671" s="6"/>
      <c r="F671" s="8"/>
      <c r="G671" s="38"/>
      <c r="J671" s="8"/>
      <c r="L671" s="8"/>
      <c r="N671" s="8"/>
      <c r="P671" s="8"/>
      <c r="R671" s="8"/>
      <c r="T671" s="10"/>
      <c r="X671" s="8"/>
    </row>
    <row r="672" ht="15.75" customHeight="1">
      <c r="A672" s="6"/>
      <c r="F672" s="8"/>
      <c r="G672" s="38"/>
      <c r="J672" s="8"/>
      <c r="L672" s="8"/>
      <c r="N672" s="8"/>
      <c r="P672" s="8"/>
      <c r="R672" s="8"/>
      <c r="T672" s="10"/>
      <c r="X672" s="8"/>
    </row>
    <row r="673" ht="15.75" customHeight="1">
      <c r="A673" s="6"/>
      <c r="F673" s="8"/>
      <c r="G673" s="38"/>
      <c r="J673" s="8"/>
      <c r="L673" s="8"/>
      <c r="N673" s="8"/>
      <c r="P673" s="8"/>
      <c r="R673" s="8"/>
      <c r="T673" s="10"/>
      <c r="X673" s="8"/>
    </row>
    <row r="674" ht="15.75" customHeight="1">
      <c r="A674" s="6"/>
      <c r="F674" s="8"/>
      <c r="G674" s="38"/>
      <c r="J674" s="8"/>
      <c r="L674" s="8"/>
      <c r="N674" s="8"/>
      <c r="P674" s="8"/>
      <c r="R674" s="8"/>
      <c r="T674" s="10"/>
      <c r="X674" s="8"/>
    </row>
    <row r="675" ht="15.75" customHeight="1">
      <c r="A675" s="6"/>
      <c r="F675" s="8"/>
      <c r="G675" s="38"/>
      <c r="J675" s="8"/>
      <c r="L675" s="8"/>
      <c r="N675" s="8"/>
      <c r="P675" s="8"/>
      <c r="R675" s="8"/>
      <c r="T675" s="10"/>
      <c r="X675" s="8"/>
    </row>
    <row r="676" ht="15.75" customHeight="1">
      <c r="A676" s="6"/>
      <c r="F676" s="8"/>
      <c r="G676" s="38"/>
      <c r="J676" s="8"/>
      <c r="L676" s="8"/>
      <c r="N676" s="8"/>
      <c r="P676" s="8"/>
      <c r="R676" s="8"/>
      <c r="T676" s="10"/>
      <c r="X676" s="8"/>
    </row>
    <row r="677" ht="15.75" customHeight="1">
      <c r="A677" s="6"/>
      <c r="F677" s="8"/>
      <c r="G677" s="38"/>
      <c r="J677" s="8"/>
      <c r="L677" s="8"/>
      <c r="N677" s="8"/>
      <c r="P677" s="8"/>
      <c r="R677" s="8"/>
      <c r="T677" s="10"/>
      <c r="X677" s="8"/>
    </row>
    <row r="678" ht="15.75" customHeight="1">
      <c r="A678" s="6"/>
      <c r="F678" s="8"/>
      <c r="G678" s="38"/>
      <c r="J678" s="8"/>
      <c r="L678" s="8"/>
      <c r="N678" s="8"/>
      <c r="P678" s="8"/>
      <c r="R678" s="8"/>
      <c r="T678" s="10"/>
      <c r="X678" s="8"/>
    </row>
    <row r="679" ht="15.75" customHeight="1">
      <c r="A679" s="6"/>
      <c r="F679" s="8"/>
      <c r="G679" s="38"/>
      <c r="J679" s="8"/>
      <c r="L679" s="8"/>
      <c r="N679" s="8"/>
      <c r="P679" s="8"/>
      <c r="R679" s="8"/>
      <c r="T679" s="10"/>
      <c r="X679" s="8"/>
    </row>
    <row r="680" ht="15.75" customHeight="1">
      <c r="A680" s="6"/>
      <c r="F680" s="8"/>
      <c r="G680" s="38"/>
      <c r="J680" s="8"/>
      <c r="L680" s="8"/>
      <c r="N680" s="8"/>
      <c r="P680" s="8"/>
      <c r="R680" s="8"/>
      <c r="T680" s="10"/>
      <c r="X680" s="8"/>
    </row>
    <row r="681" ht="15.75" customHeight="1">
      <c r="A681" s="6"/>
      <c r="F681" s="8"/>
      <c r="G681" s="38"/>
      <c r="J681" s="8"/>
      <c r="L681" s="8"/>
      <c r="N681" s="8"/>
      <c r="P681" s="8"/>
      <c r="R681" s="8"/>
      <c r="T681" s="10"/>
      <c r="X681" s="8"/>
    </row>
    <row r="682" ht="15.75" customHeight="1">
      <c r="A682" s="6"/>
      <c r="F682" s="8"/>
      <c r="G682" s="38"/>
      <c r="J682" s="8"/>
      <c r="L682" s="8"/>
      <c r="N682" s="8"/>
      <c r="P682" s="8"/>
      <c r="R682" s="8"/>
      <c r="T682" s="10"/>
      <c r="X682" s="8"/>
    </row>
    <row r="683" ht="15.75" customHeight="1">
      <c r="A683" s="6"/>
      <c r="F683" s="8"/>
      <c r="G683" s="38"/>
      <c r="J683" s="8"/>
      <c r="L683" s="8"/>
      <c r="N683" s="8"/>
      <c r="P683" s="8"/>
      <c r="R683" s="8"/>
      <c r="T683" s="10"/>
      <c r="X683" s="8"/>
    </row>
    <row r="684" ht="15.75" customHeight="1">
      <c r="A684" s="6"/>
      <c r="F684" s="8"/>
      <c r="G684" s="38"/>
      <c r="J684" s="8"/>
      <c r="L684" s="8"/>
      <c r="N684" s="8"/>
      <c r="P684" s="8"/>
      <c r="R684" s="8"/>
      <c r="T684" s="10"/>
      <c r="X684" s="8"/>
    </row>
    <row r="685" ht="15.75" customHeight="1">
      <c r="A685" s="6"/>
      <c r="F685" s="8"/>
      <c r="G685" s="38"/>
      <c r="J685" s="8"/>
      <c r="L685" s="8"/>
      <c r="N685" s="8"/>
      <c r="P685" s="8"/>
      <c r="R685" s="8"/>
      <c r="T685" s="10"/>
      <c r="X685" s="8"/>
    </row>
    <row r="686" ht="15.75" customHeight="1">
      <c r="A686" s="6"/>
      <c r="F686" s="8"/>
      <c r="G686" s="38"/>
      <c r="J686" s="8"/>
      <c r="L686" s="8"/>
      <c r="N686" s="8"/>
      <c r="P686" s="8"/>
      <c r="R686" s="8"/>
      <c r="T686" s="10"/>
      <c r="X686" s="8"/>
    </row>
    <row r="687" ht="15.75" customHeight="1">
      <c r="A687" s="6"/>
      <c r="F687" s="8"/>
      <c r="G687" s="38"/>
      <c r="J687" s="8"/>
      <c r="L687" s="8"/>
      <c r="N687" s="8"/>
      <c r="P687" s="8"/>
      <c r="R687" s="8"/>
      <c r="T687" s="10"/>
      <c r="X687" s="8"/>
    </row>
    <row r="688" ht="15.75" customHeight="1">
      <c r="A688" s="6"/>
      <c r="F688" s="8"/>
      <c r="G688" s="38"/>
      <c r="J688" s="8"/>
      <c r="L688" s="8"/>
      <c r="N688" s="8"/>
      <c r="P688" s="8"/>
      <c r="R688" s="8"/>
      <c r="T688" s="10"/>
      <c r="X688" s="8"/>
    </row>
    <row r="689" ht="15.75" customHeight="1">
      <c r="A689" s="6"/>
      <c r="F689" s="8"/>
      <c r="G689" s="38"/>
      <c r="J689" s="8"/>
      <c r="L689" s="8"/>
      <c r="N689" s="8"/>
      <c r="P689" s="8"/>
      <c r="R689" s="8"/>
      <c r="T689" s="10"/>
      <c r="X689" s="8"/>
    </row>
    <row r="690" ht="15.75" customHeight="1">
      <c r="A690" s="6"/>
      <c r="F690" s="8"/>
      <c r="G690" s="38"/>
      <c r="J690" s="8"/>
      <c r="L690" s="8"/>
      <c r="N690" s="8"/>
      <c r="P690" s="8"/>
      <c r="R690" s="8"/>
      <c r="T690" s="10"/>
      <c r="X690" s="8"/>
    </row>
    <row r="691" ht="15.75" customHeight="1">
      <c r="A691" s="6"/>
      <c r="F691" s="8"/>
      <c r="G691" s="38"/>
      <c r="J691" s="8"/>
      <c r="L691" s="8"/>
      <c r="N691" s="8"/>
      <c r="P691" s="8"/>
      <c r="R691" s="8"/>
      <c r="T691" s="10"/>
      <c r="X691" s="8"/>
    </row>
    <row r="692" ht="15.75" customHeight="1">
      <c r="A692" s="6"/>
      <c r="F692" s="8"/>
      <c r="G692" s="38"/>
      <c r="J692" s="8"/>
      <c r="L692" s="8"/>
      <c r="N692" s="8"/>
      <c r="P692" s="8"/>
      <c r="R692" s="8"/>
      <c r="T692" s="10"/>
      <c r="X692" s="8"/>
    </row>
    <row r="693" ht="15.75" customHeight="1">
      <c r="A693" s="6"/>
      <c r="F693" s="8"/>
      <c r="G693" s="38"/>
      <c r="J693" s="8"/>
      <c r="L693" s="8"/>
      <c r="N693" s="8"/>
      <c r="P693" s="8"/>
      <c r="R693" s="8"/>
      <c r="T693" s="10"/>
      <c r="X693" s="8"/>
    </row>
    <row r="694" ht="15.75" customHeight="1">
      <c r="A694" s="6"/>
      <c r="F694" s="8"/>
      <c r="G694" s="38"/>
      <c r="J694" s="8"/>
      <c r="L694" s="8"/>
      <c r="N694" s="8"/>
      <c r="P694" s="8"/>
      <c r="R694" s="8"/>
      <c r="T694" s="10"/>
      <c r="X694" s="8"/>
    </row>
    <row r="695" ht="15.75" customHeight="1">
      <c r="A695" s="6"/>
      <c r="F695" s="8"/>
      <c r="G695" s="38"/>
      <c r="J695" s="8"/>
      <c r="L695" s="8"/>
      <c r="N695" s="8"/>
      <c r="P695" s="8"/>
      <c r="R695" s="8"/>
      <c r="T695" s="10"/>
      <c r="X695" s="8"/>
    </row>
    <row r="696" ht="15.75" customHeight="1">
      <c r="A696" s="6"/>
      <c r="F696" s="8"/>
      <c r="G696" s="38"/>
      <c r="J696" s="8"/>
      <c r="L696" s="8"/>
      <c r="N696" s="8"/>
      <c r="P696" s="8"/>
      <c r="R696" s="8"/>
      <c r="T696" s="10"/>
      <c r="X696" s="8"/>
    </row>
    <row r="697" ht="15.75" customHeight="1">
      <c r="A697" s="6"/>
      <c r="F697" s="8"/>
      <c r="G697" s="38"/>
      <c r="J697" s="8"/>
      <c r="L697" s="8"/>
      <c r="N697" s="8"/>
      <c r="P697" s="8"/>
      <c r="R697" s="8"/>
      <c r="T697" s="10"/>
      <c r="X697" s="8"/>
    </row>
    <row r="698" ht="15.75" customHeight="1">
      <c r="A698" s="6"/>
      <c r="F698" s="8"/>
      <c r="G698" s="38"/>
      <c r="J698" s="8"/>
      <c r="L698" s="8"/>
      <c r="N698" s="8"/>
      <c r="P698" s="8"/>
      <c r="R698" s="8"/>
      <c r="T698" s="10"/>
      <c r="X698" s="8"/>
    </row>
    <row r="699" ht="15.75" customHeight="1">
      <c r="A699" s="6"/>
      <c r="F699" s="8"/>
      <c r="G699" s="38"/>
      <c r="J699" s="8"/>
      <c r="L699" s="8"/>
      <c r="N699" s="8"/>
      <c r="P699" s="8"/>
      <c r="R699" s="8"/>
      <c r="T699" s="10"/>
      <c r="X699" s="8"/>
    </row>
    <row r="700" ht="15.75" customHeight="1">
      <c r="A700" s="6"/>
      <c r="F700" s="8"/>
      <c r="G700" s="38"/>
      <c r="J700" s="8"/>
      <c r="L700" s="8"/>
      <c r="N700" s="8"/>
      <c r="P700" s="8"/>
      <c r="R700" s="8"/>
      <c r="T700" s="10"/>
      <c r="X700" s="8"/>
    </row>
    <row r="701" ht="15.75" customHeight="1">
      <c r="A701" s="6"/>
      <c r="F701" s="8"/>
      <c r="G701" s="38"/>
      <c r="J701" s="8"/>
      <c r="L701" s="8"/>
      <c r="N701" s="8"/>
      <c r="P701" s="8"/>
      <c r="R701" s="8"/>
      <c r="T701" s="10"/>
      <c r="X701" s="8"/>
    </row>
    <row r="702" ht="15.75" customHeight="1">
      <c r="A702" s="6"/>
      <c r="F702" s="8"/>
      <c r="G702" s="38"/>
      <c r="J702" s="8"/>
      <c r="L702" s="8"/>
      <c r="N702" s="8"/>
      <c r="P702" s="8"/>
      <c r="R702" s="8"/>
      <c r="T702" s="10"/>
      <c r="X702" s="8"/>
    </row>
    <row r="703" ht="15.75" customHeight="1">
      <c r="A703" s="6"/>
      <c r="F703" s="8"/>
      <c r="G703" s="38"/>
      <c r="J703" s="8"/>
      <c r="L703" s="8"/>
      <c r="N703" s="8"/>
      <c r="P703" s="8"/>
      <c r="R703" s="8"/>
      <c r="T703" s="10"/>
      <c r="X703" s="8"/>
    </row>
    <row r="704" ht="15.75" customHeight="1">
      <c r="A704" s="6"/>
      <c r="F704" s="8"/>
      <c r="G704" s="38"/>
      <c r="J704" s="8"/>
      <c r="L704" s="8"/>
      <c r="N704" s="8"/>
      <c r="P704" s="8"/>
      <c r="R704" s="8"/>
      <c r="T704" s="10"/>
      <c r="X704" s="8"/>
    </row>
    <row r="705" ht="15.75" customHeight="1">
      <c r="A705" s="6"/>
      <c r="F705" s="8"/>
      <c r="G705" s="38"/>
      <c r="J705" s="8"/>
      <c r="L705" s="8"/>
      <c r="N705" s="8"/>
      <c r="P705" s="8"/>
      <c r="R705" s="8"/>
      <c r="T705" s="10"/>
      <c r="X705" s="8"/>
    </row>
    <row r="706" ht="15.75" customHeight="1">
      <c r="A706" s="6"/>
      <c r="F706" s="8"/>
      <c r="G706" s="38"/>
      <c r="J706" s="8"/>
      <c r="L706" s="8"/>
      <c r="N706" s="8"/>
      <c r="P706" s="8"/>
      <c r="R706" s="8"/>
      <c r="T706" s="10"/>
      <c r="X706" s="8"/>
    </row>
    <row r="707" ht="15.75" customHeight="1">
      <c r="A707" s="6"/>
      <c r="F707" s="8"/>
      <c r="G707" s="38"/>
      <c r="J707" s="8"/>
      <c r="L707" s="8"/>
      <c r="N707" s="8"/>
      <c r="P707" s="8"/>
      <c r="R707" s="8"/>
      <c r="T707" s="10"/>
      <c r="X707" s="8"/>
    </row>
    <row r="708" ht="15.75" customHeight="1">
      <c r="A708" s="6"/>
      <c r="F708" s="8"/>
      <c r="G708" s="38"/>
      <c r="J708" s="8"/>
      <c r="L708" s="8"/>
      <c r="N708" s="8"/>
      <c r="P708" s="8"/>
      <c r="R708" s="8"/>
      <c r="T708" s="10"/>
      <c r="X708" s="8"/>
    </row>
    <row r="709" ht="15.75" customHeight="1">
      <c r="A709" s="6"/>
      <c r="F709" s="8"/>
      <c r="G709" s="38"/>
      <c r="J709" s="8"/>
      <c r="L709" s="8"/>
      <c r="N709" s="8"/>
      <c r="P709" s="8"/>
      <c r="R709" s="8"/>
      <c r="T709" s="10"/>
      <c r="X709" s="8"/>
    </row>
    <row r="710" ht="15.75" customHeight="1">
      <c r="A710" s="6"/>
      <c r="F710" s="8"/>
      <c r="G710" s="38"/>
      <c r="J710" s="8"/>
      <c r="L710" s="8"/>
      <c r="N710" s="8"/>
      <c r="P710" s="8"/>
      <c r="R710" s="8"/>
      <c r="T710" s="10"/>
      <c r="X710" s="8"/>
    </row>
    <row r="711" ht="15.75" customHeight="1">
      <c r="A711" s="6"/>
      <c r="F711" s="8"/>
      <c r="G711" s="38"/>
      <c r="J711" s="8"/>
      <c r="L711" s="8"/>
      <c r="N711" s="8"/>
      <c r="P711" s="8"/>
      <c r="R711" s="8"/>
      <c r="T711" s="10"/>
      <c r="X711" s="8"/>
    </row>
    <row r="712" ht="15.75" customHeight="1">
      <c r="A712" s="6"/>
      <c r="F712" s="8"/>
      <c r="G712" s="38"/>
      <c r="J712" s="8"/>
      <c r="L712" s="8"/>
      <c r="N712" s="8"/>
      <c r="P712" s="8"/>
      <c r="R712" s="8"/>
      <c r="T712" s="10"/>
      <c r="X712" s="8"/>
    </row>
    <row r="713" ht="15.75" customHeight="1">
      <c r="A713" s="6"/>
      <c r="F713" s="8"/>
      <c r="G713" s="38"/>
      <c r="J713" s="8"/>
      <c r="L713" s="8"/>
      <c r="N713" s="8"/>
      <c r="P713" s="8"/>
      <c r="R713" s="8"/>
      <c r="T713" s="10"/>
      <c r="X713" s="8"/>
    </row>
    <row r="714" ht="15.75" customHeight="1">
      <c r="A714" s="6"/>
      <c r="F714" s="8"/>
      <c r="G714" s="38"/>
      <c r="J714" s="8"/>
      <c r="L714" s="8"/>
      <c r="N714" s="8"/>
      <c r="P714" s="8"/>
      <c r="R714" s="8"/>
      <c r="T714" s="10"/>
      <c r="X714" s="8"/>
    </row>
    <row r="715" ht="15.75" customHeight="1">
      <c r="A715" s="6"/>
      <c r="F715" s="8"/>
      <c r="G715" s="38"/>
      <c r="J715" s="8"/>
      <c r="L715" s="8"/>
      <c r="N715" s="8"/>
      <c r="P715" s="8"/>
      <c r="R715" s="8"/>
      <c r="T715" s="10"/>
      <c r="X715" s="8"/>
    </row>
    <row r="716" ht="15.75" customHeight="1">
      <c r="A716" s="6"/>
      <c r="F716" s="8"/>
      <c r="G716" s="38"/>
      <c r="J716" s="8"/>
      <c r="L716" s="8"/>
      <c r="N716" s="8"/>
      <c r="P716" s="8"/>
      <c r="R716" s="8"/>
      <c r="T716" s="10"/>
      <c r="X716" s="8"/>
    </row>
    <row r="717" ht="15.75" customHeight="1">
      <c r="A717" s="6"/>
      <c r="F717" s="8"/>
      <c r="G717" s="38"/>
      <c r="J717" s="8"/>
      <c r="L717" s="8"/>
      <c r="N717" s="8"/>
      <c r="P717" s="8"/>
      <c r="R717" s="8"/>
      <c r="T717" s="10"/>
      <c r="X717" s="8"/>
    </row>
    <row r="718" ht="15.75" customHeight="1">
      <c r="A718" s="6"/>
      <c r="F718" s="8"/>
      <c r="G718" s="38"/>
      <c r="J718" s="8"/>
      <c r="L718" s="8"/>
      <c r="N718" s="8"/>
      <c r="P718" s="8"/>
      <c r="R718" s="8"/>
      <c r="T718" s="10"/>
      <c r="X718" s="8"/>
    </row>
    <row r="719" ht="15.75" customHeight="1">
      <c r="A719" s="6"/>
      <c r="F719" s="8"/>
      <c r="G719" s="38"/>
      <c r="J719" s="8"/>
      <c r="L719" s="8"/>
      <c r="N719" s="8"/>
      <c r="P719" s="8"/>
      <c r="R719" s="8"/>
      <c r="T719" s="10"/>
      <c r="X719" s="8"/>
    </row>
    <row r="720" ht="15.75" customHeight="1">
      <c r="A720" s="6"/>
      <c r="F720" s="8"/>
      <c r="G720" s="38"/>
      <c r="J720" s="8"/>
      <c r="L720" s="8"/>
      <c r="N720" s="8"/>
      <c r="P720" s="8"/>
      <c r="R720" s="8"/>
      <c r="T720" s="10"/>
      <c r="X720" s="8"/>
    </row>
    <row r="721" ht="15.75" customHeight="1">
      <c r="A721" s="6"/>
      <c r="F721" s="8"/>
      <c r="G721" s="38"/>
      <c r="J721" s="8"/>
      <c r="L721" s="8"/>
      <c r="N721" s="8"/>
      <c r="P721" s="8"/>
      <c r="R721" s="8"/>
      <c r="T721" s="10"/>
      <c r="X721" s="8"/>
    </row>
    <row r="722" ht="15.75" customHeight="1">
      <c r="A722" s="6"/>
      <c r="F722" s="8"/>
      <c r="G722" s="38"/>
      <c r="J722" s="8"/>
      <c r="L722" s="8"/>
      <c r="N722" s="8"/>
      <c r="P722" s="8"/>
      <c r="R722" s="8"/>
      <c r="T722" s="10"/>
      <c r="X722" s="8"/>
    </row>
    <row r="723" ht="15.75" customHeight="1">
      <c r="A723" s="6"/>
      <c r="F723" s="8"/>
      <c r="G723" s="38"/>
      <c r="J723" s="8"/>
      <c r="L723" s="8"/>
      <c r="N723" s="8"/>
      <c r="P723" s="8"/>
      <c r="R723" s="8"/>
      <c r="T723" s="10"/>
      <c r="X723" s="8"/>
    </row>
    <row r="724" ht="15.75" customHeight="1">
      <c r="A724" s="6"/>
      <c r="F724" s="8"/>
      <c r="G724" s="38"/>
      <c r="J724" s="8"/>
      <c r="L724" s="8"/>
      <c r="N724" s="8"/>
      <c r="P724" s="8"/>
      <c r="R724" s="8"/>
      <c r="T724" s="10"/>
      <c r="X724" s="8"/>
    </row>
    <row r="725" ht="15.75" customHeight="1">
      <c r="A725" s="6"/>
      <c r="F725" s="8"/>
      <c r="G725" s="38"/>
      <c r="J725" s="8"/>
      <c r="L725" s="8"/>
      <c r="N725" s="8"/>
      <c r="P725" s="8"/>
      <c r="R725" s="8"/>
      <c r="T725" s="10"/>
      <c r="X725" s="8"/>
    </row>
    <row r="726" ht="15.75" customHeight="1">
      <c r="A726" s="6"/>
      <c r="F726" s="8"/>
      <c r="G726" s="38"/>
      <c r="J726" s="8"/>
      <c r="L726" s="8"/>
      <c r="N726" s="8"/>
      <c r="P726" s="8"/>
      <c r="R726" s="8"/>
      <c r="T726" s="10"/>
      <c r="X726" s="8"/>
    </row>
    <row r="727" ht="15.75" customHeight="1">
      <c r="A727" s="6"/>
      <c r="F727" s="8"/>
      <c r="G727" s="38"/>
      <c r="J727" s="8"/>
      <c r="L727" s="8"/>
      <c r="N727" s="8"/>
      <c r="P727" s="8"/>
      <c r="R727" s="8"/>
      <c r="T727" s="10"/>
      <c r="X727" s="8"/>
    </row>
    <row r="728" ht="15.75" customHeight="1">
      <c r="A728" s="6"/>
      <c r="F728" s="8"/>
      <c r="G728" s="38"/>
      <c r="J728" s="8"/>
      <c r="L728" s="8"/>
      <c r="N728" s="8"/>
      <c r="P728" s="8"/>
      <c r="R728" s="8"/>
      <c r="T728" s="10"/>
      <c r="X728" s="8"/>
    </row>
    <row r="729" ht="15.75" customHeight="1">
      <c r="A729" s="6"/>
      <c r="F729" s="8"/>
      <c r="G729" s="38"/>
      <c r="J729" s="8"/>
      <c r="L729" s="8"/>
      <c r="N729" s="8"/>
      <c r="P729" s="8"/>
      <c r="R729" s="8"/>
      <c r="T729" s="10"/>
      <c r="X729" s="8"/>
    </row>
    <row r="730" ht="15.75" customHeight="1">
      <c r="A730" s="6"/>
      <c r="F730" s="8"/>
      <c r="G730" s="38"/>
      <c r="J730" s="8"/>
      <c r="L730" s="8"/>
      <c r="N730" s="8"/>
      <c r="P730" s="8"/>
      <c r="R730" s="8"/>
      <c r="T730" s="10"/>
      <c r="X730" s="8"/>
    </row>
    <row r="731" ht="15.75" customHeight="1">
      <c r="A731" s="6"/>
      <c r="F731" s="8"/>
      <c r="G731" s="38"/>
      <c r="J731" s="8"/>
      <c r="L731" s="8"/>
      <c r="N731" s="8"/>
      <c r="P731" s="8"/>
      <c r="R731" s="8"/>
      <c r="T731" s="10"/>
      <c r="X731" s="8"/>
    </row>
    <row r="732" ht="15.75" customHeight="1">
      <c r="A732" s="6"/>
      <c r="F732" s="8"/>
      <c r="G732" s="38"/>
      <c r="J732" s="8"/>
      <c r="L732" s="8"/>
      <c r="N732" s="8"/>
      <c r="P732" s="8"/>
      <c r="R732" s="8"/>
      <c r="T732" s="10"/>
      <c r="X732" s="8"/>
    </row>
    <row r="733" ht="15.75" customHeight="1">
      <c r="A733" s="6"/>
      <c r="F733" s="8"/>
      <c r="G733" s="38"/>
      <c r="J733" s="8"/>
      <c r="L733" s="8"/>
      <c r="N733" s="8"/>
      <c r="P733" s="8"/>
      <c r="R733" s="8"/>
      <c r="T733" s="10"/>
      <c r="X733" s="8"/>
    </row>
    <row r="734" ht="15.75" customHeight="1">
      <c r="A734" s="6"/>
      <c r="F734" s="8"/>
      <c r="G734" s="38"/>
      <c r="J734" s="8"/>
      <c r="L734" s="8"/>
      <c r="N734" s="8"/>
      <c r="P734" s="8"/>
      <c r="R734" s="8"/>
      <c r="T734" s="10"/>
      <c r="X734" s="8"/>
    </row>
    <row r="735" ht="15.75" customHeight="1">
      <c r="A735" s="6"/>
      <c r="F735" s="8"/>
      <c r="G735" s="38"/>
      <c r="J735" s="8"/>
      <c r="L735" s="8"/>
      <c r="N735" s="8"/>
      <c r="P735" s="8"/>
      <c r="R735" s="8"/>
      <c r="T735" s="10"/>
      <c r="X735" s="8"/>
    </row>
    <row r="736" ht="15.75" customHeight="1">
      <c r="A736" s="6"/>
      <c r="F736" s="8"/>
      <c r="G736" s="38"/>
      <c r="J736" s="8"/>
      <c r="L736" s="8"/>
      <c r="N736" s="8"/>
      <c r="P736" s="8"/>
      <c r="R736" s="8"/>
      <c r="T736" s="10"/>
      <c r="X736" s="8"/>
    </row>
    <row r="737" ht="15.75" customHeight="1">
      <c r="A737" s="6"/>
      <c r="F737" s="8"/>
      <c r="G737" s="38"/>
      <c r="J737" s="8"/>
      <c r="L737" s="8"/>
      <c r="N737" s="8"/>
      <c r="P737" s="8"/>
      <c r="R737" s="8"/>
      <c r="T737" s="10"/>
      <c r="X737" s="8"/>
    </row>
    <row r="738" ht="15.75" customHeight="1">
      <c r="A738" s="6"/>
      <c r="F738" s="8"/>
      <c r="G738" s="38"/>
      <c r="J738" s="8"/>
      <c r="L738" s="8"/>
      <c r="N738" s="8"/>
      <c r="P738" s="8"/>
      <c r="R738" s="8"/>
      <c r="T738" s="10"/>
      <c r="X738" s="8"/>
    </row>
    <row r="739" ht="15.75" customHeight="1">
      <c r="A739" s="6"/>
      <c r="F739" s="8"/>
      <c r="G739" s="38"/>
      <c r="J739" s="8"/>
      <c r="L739" s="8"/>
      <c r="N739" s="8"/>
      <c r="P739" s="8"/>
      <c r="R739" s="8"/>
      <c r="T739" s="10"/>
      <c r="X739" s="8"/>
    </row>
    <row r="740" ht="15.75" customHeight="1">
      <c r="A740" s="6"/>
      <c r="F740" s="8"/>
      <c r="G740" s="38"/>
      <c r="J740" s="8"/>
      <c r="L740" s="8"/>
      <c r="N740" s="8"/>
      <c r="P740" s="8"/>
      <c r="R740" s="8"/>
      <c r="T740" s="10"/>
      <c r="X740" s="8"/>
    </row>
    <row r="741" ht="15.75" customHeight="1">
      <c r="A741" s="6"/>
      <c r="F741" s="8"/>
      <c r="G741" s="38"/>
      <c r="J741" s="8"/>
      <c r="L741" s="8"/>
      <c r="N741" s="8"/>
      <c r="P741" s="8"/>
      <c r="R741" s="8"/>
      <c r="T741" s="10"/>
      <c r="X741" s="8"/>
    </row>
    <row r="742" ht="15.75" customHeight="1">
      <c r="A742" s="6"/>
      <c r="F742" s="8"/>
      <c r="G742" s="38"/>
      <c r="J742" s="8"/>
      <c r="L742" s="8"/>
      <c r="N742" s="8"/>
      <c r="P742" s="8"/>
      <c r="R742" s="8"/>
      <c r="T742" s="10"/>
      <c r="X742" s="8"/>
    </row>
    <row r="743" ht="15.75" customHeight="1">
      <c r="A743" s="6"/>
      <c r="F743" s="8"/>
      <c r="G743" s="38"/>
      <c r="J743" s="8"/>
      <c r="L743" s="8"/>
      <c r="N743" s="8"/>
      <c r="P743" s="8"/>
      <c r="R743" s="8"/>
      <c r="T743" s="10"/>
      <c r="X743" s="8"/>
    </row>
    <row r="744" ht="15.75" customHeight="1">
      <c r="A744" s="6"/>
      <c r="F744" s="8"/>
      <c r="G744" s="38"/>
      <c r="J744" s="8"/>
      <c r="L744" s="8"/>
      <c r="N744" s="8"/>
      <c r="P744" s="8"/>
      <c r="R744" s="8"/>
      <c r="T744" s="10"/>
      <c r="X744" s="8"/>
    </row>
    <row r="745" ht="15.75" customHeight="1">
      <c r="A745" s="6"/>
      <c r="F745" s="8"/>
      <c r="G745" s="38"/>
      <c r="J745" s="8"/>
      <c r="L745" s="8"/>
      <c r="N745" s="8"/>
      <c r="P745" s="8"/>
      <c r="R745" s="8"/>
      <c r="T745" s="10"/>
      <c r="X745" s="8"/>
    </row>
    <row r="746" ht="15.75" customHeight="1">
      <c r="A746" s="6"/>
      <c r="F746" s="8"/>
      <c r="G746" s="38"/>
      <c r="J746" s="8"/>
      <c r="L746" s="8"/>
      <c r="N746" s="8"/>
      <c r="P746" s="8"/>
      <c r="R746" s="8"/>
      <c r="T746" s="10"/>
      <c r="X746" s="8"/>
    </row>
    <row r="747" ht="15.75" customHeight="1">
      <c r="A747" s="6"/>
      <c r="F747" s="8"/>
      <c r="G747" s="38"/>
      <c r="J747" s="8"/>
      <c r="L747" s="8"/>
      <c r="N747" s="8"/>
      <c r="P747" s="8"/>
      <c r="R747" s="8"/>
      <c r="T747" s="10"/>
      <c r="X747" s="8"/>
    </row>
    <row r="748" ht="15.75" customHeight="1">
      <c r="A748" s="6"/>
      <c r="F748" s="8"/>
      <c r="G748" s="38"/>
      <c r="J748" s="8"/>
      <c r="L748" s="8"/>
      <c r="N748" s="8"/>
      <c r="P748" s="8"/>
      <c r="R748" s="8"/>
      <c r="T748" s="10"/>
      <c r="X748" s="8"/>
    </row>
    <row r="749" ht="15.75" customHeight="1">
      <c r="A749" s="6"/>
      <c r="F749" s="8"/>
      <c r="G749" s="38"/>
      <c r="J749" s="8"/>
      <c r="L749" s="8"/>
      <c r="N749" s="8"/>
      <c r="P749" s="8"/>
      <c r="R749" s="8"/>
      <c r="T749" s="10"/>
      <c r="X749" s="8"/>
    </row>
    <row r="750" ht="15.75" customHeight="1">
      <c r="A750" s="6"/>
      <c r="F750" s="8"/>
      <c r="G750" s="38"/>
      <c r="J750" s="8"/>
      <c r="L750" s="8"/>
      <c r="N750" s="8"/>
      <c r="P750" s="8"/>
      <c r="R750" s="8"/>
      <c r="T750" s="10"/>
      <c r="X750" s="8"/>
    </row>
    <row r="751" ht="15.75" customHeight="1">
      <c r="A751" s="6"/>
      <c r="F751" s="8"/>
      <c r="G751" s="38"/>
      <c r="J751" s="8"/>
      <c r="L751" s="8"/>
      <c r="N751" s="8"/>
      <c r="P751" s="8"/>
      <c r="R751" s="8"/>
      <c r="T751" s="10"/>
      <c r="X751" s="8"/>
    </row>
    <row r="752" ht="15.75" customHeight="1">
      <c r="A752" s="6"/>
      <c r="F752" s="8"/>
      <c r="G752" s="38"/>
      <c r="J752" s="8"/>
      <c r="L752" s="8"/>
      <c r="N752" s="8"/>
      <c r="P752" s="8"/>
      <c r="R752" s="8"/>
      <c r="T752" s="10"/>
      <c r="X752" s="8"/>
    </row>
    <row r="753" ht="15.75" customHeight="1">
      <c r="A753" s="6"/>
      <c r="F753" s="8"/>
      <c r="G753" s="38"/>
      <c r="J753" s="8"/>
      <c r="L753" s="8"/>
      <c r="N753" s="8"/>
      <c r="P753" s="8"/>
      <c r="R753" s="8"/>
      <c r="T753" s="10"/>
      <c r="X753" s="8"/>
    </row>
    <row r="754" ht="15.75" customHeight="1">
      <c r="A754" s="6"/>
      <c r="F754" s="8"/>
      <c r="G754" s="38"/>
      <c r="J754" s="8"/>
      <c r="L754" s="8"/>
      <c r="N754" s="8"/>
      <c r="P754" s="8"/>
      <c r="R754" s="8"/>
      <c r="T754" s="10"/>
      <c r="X754" s="8"/>
    </row>
    <row r="755" ht="15.75" customHeight="1">
      <c r="A755" s="6"/>
      <c r="F755" s="8"/>
      <c r="G755" s="38"/>
      <c r="J755" s="8"/>
      <c r="L755" s="8"/>
      <c r="N755" s="8"/>
      <c r="P755" s="8"/>
      <c r="R755" s="8"/>
      <c r="T755" s="10"/>
      <c r="X755" s="8"/>
    </row>
    <row r="756" ht="15.75" customHeight="1">
      <c r="A756" s="6"/>
      <c r="F756" s="8"/>
      <c r="G756" s="38"/>
      <c r="J756" s="8"/>
      <c r="L756" s="8"/>
      <c r="N756" s="8"/>
      <c r="P756" s="8"/>
      <c r="R756" s="8"/>
      <c r="T756" s="10"/>
      <c r="X756" s="8"/>
    </row>
    <row r="757" ht="15.75" customHeight="1">
      <c r="A757" s="6"/>
      <c r="F757" s="8"/>
      <c r="G757" s="38"/>
      <c r="J757" s="8"/>
      <c r="L757" s="8"/>
      <c r="N757" s="8"/>
      <c r="P757" s="8"/>
      <c r="R757" s="8"/>
      <c r="T757" s="10"/>
      <c r="X757" s="8"/>
    </row>
    <row r="758" ht="15.75" customHeight="1">
      <c r="A758" s="6"/>
      <c r="F758" s="8"/>
      <c r="G758" s="38"/>
      <c r="J758" s="8"/>
      <c r="L758" s="8"/>
      <c r="N758" s="8"/>
      <c r="P758" s="8"/>
      <c r="R758" s="8"/>
      <c r="T758" s="10"/>
      <c r="X758" s="8"/>
    </row>
    <row r="759" ht="15.75" customHeight="1">
      <c r="A759" s="6"/>
      <c r="F759" s="8"/>
      <c r="G759" s="38"/>
      <c r="J759" s="8"/>
      <c r="L759" s="8"/>
      <c r="N759" s="8"/>
      <c r="P759" s="8"/>
      <c r="R759" s="8"/>
      <c r="T759" s="10"/>
      <c r="X759" s="8"/>
    </row>
    <row r="760" ht="15.75" customHeight="1">
      <c r="A760" s="6"/>
      <c r="F760" s="8"/>
      <c r="G760" s="38"/>
      <c r="J760" s="8"/>
      <c r="L760" s="8"/>
      <c r="N760" s="8"/>
      <c r="P760" s="8"/>
      <c r="R760" s="8"/>
      <c r="T760" s="10"/>
      <c r="X760" s="8"/>
    </row>
    <row r="761" ht="15.75" customHeight="1">
      <c r="A761" s="6"/>
      <c r="F761" s="8"/>
      <c r="G761" s="38"/>
      <c r="J761" s="8"/>
      <c r="L761" s="8"/>
      <c r="N761" s="8"/>
      <c r="P761" s="8"/>
      <c r="R761" s="8"/>
      <c r="T761" s="10"/>
      <c r="X761" s="8"/>
    </row>
    <row r="762" ht="15.75" customHeight="1">
      <c r="A762" s="6"/>
      <c r="F762" s="8"/>
      <c r="G762" s="38"/>
      <c r="J762" s="8"/>
      <c r="L762" s="8"/>
      <c r="N762" s="8"/>
      <c r="P762" s="8"/>
      <c r="R762" s="8"/>
      <c r="T762" s="10"/>
      <c r="X762" s="8"/>
    </row>
    <row r="763" ht="15.75" customHeight="1">
      <c r="A763" s="6"/>
      <c r="F763" s="8"/>
      <c r="G763" s="38"/>
      <c r="J763" s="8"/>
      <c r="L763" s="8"/>
      <c r="N763" s="8"/>
      <c r="P763" s="8"/>
      <c r="R763" s="8"/>
      <c r="T763" s="10"/>
      <c r="X763" s="8"/>
    </row>
    <row r="764" ht="15.75" customHeight="1">
      <c r="A764" s="6"/>
      <c r="F764" s="8"/>
      <c r="G764" s="38"/>
      <c r="J764" s="8"/>
      <c r="L764" s="8"/>
      <c r="N764" s="8"/>
      <c r="P764" s="8"/>
      <c r="R764" s="8"/>
      <c r="T764" s="10"/>
      <c r="X764" s="8"/>
    </row>
    <row r="765" ht="15.75" customHeight="1">
      <c r="A765" s="6"/>
      <c r="F765" s="8"/>
      <c r="G765" s="38"/>
      <c r="J765" s="8"/>
      <c r="L765" s="8"/>
      <c r="N765" s="8"/>
      <c r="P765" s="8"/>
      <c r="R765" s="8"/>
      <c r="T765" s="10"/>
      <c r="X765" s="8"/>
    </row>
    <row r="766" ht="15.75" customHeight="1">
      <c r="A766" s="6"/>
      <c r="F766" s="8"/>
      <c r="G766" s="38"/>
      <c r="J766" s="8"/>
      <c r="L766" s="8"/>
      <c r="N766" s="8"/>
      <c r="P766" s="8"/>
      <c r="R766" s="8"/>
      <c r="T766" s="10"/>
      <c r="X766" s="8"/>
    </row>
    <row r="767" ht="15.75" customHeight="1">
      <c r="A767" s="6"/>
      <c r="F767" s="8"/>
      <c r="G767" s="38"/>
      <c r="J767" s="8"/>
      <c r="L767" s="8"/>
      <c r="N767" s="8"/>
      <c r="P767" s="8"/>
      <c r="R767" s="8"/>
      <c r="T767" s="10"/>
      <c r="X767" s="8"/>
    </row>
    <row r="768" ht="15.75" customHeight="1">
      <c r="A768" s="6"/>
      <c r="F768" s="8"/>
      <c r="G768" s="38"/>
      <c r="J768" s="8"/>
      <c r="L768" s="8"/>
      <c r="N768" s="8"/>
      <c r="P768" s="8"/>
      <c r="R768" s="8"/>
      <c r="T768" s="10"/>
      <c r="X768" s="8"/>
    </row>
    <row r="769" ht="15.75" customHeight="1">
      <c r="A769" s="6"/>
      <c r="F769" s="8"/>
      <c r="G769" s="38"/>
      <c r="J769" s="8"/>
      <c r="L769" s="8"/>
      <c r="N769" s="8"/>
      <c r="P769" s="8"/>
      <c r="R769" s="8"/>
      <c r="T769" s="10"/>
      <c r="X769" s="8"/>
    </row>
    <row r="770" ht="15.75" customHeight="1">
      <c r="A770" s="6"/>
      <c r="F770" s="8"/>
      <c r="G770" s="38"/>
      <c r="J770" s="8"/>
      <c r="L770" s="8"/>
      <c r="N770" s="8"/>
      <c r="P770" s="8"/>
      <c r="R770" s="8"/>
      <c r="T770" s="10"/>
      <c r="X770" s="8"/>
    </row>
    <row r="771" ht="15.75" customHeight="1">
      <c r="A771" s="6"/>
      <c r="F771" s="8"/>
      <c r="G771" s="38"/>
      <c r="J771" s="8"/>
      <c r="L771" s="8"/>
      <c r="N771" s="8"/>
      <c r="P771" s="8"/>
      <c r="R771" s="8"/>
      <c r="T771" s="10"/>
      <c r="X771" s="8"/>
    </row>
    <row r="772" ht="15.75" customHeight="1">
      <c r="A772" s="6"/>
      <c r="F772" s="8"/>
      <c r="G772" s="38"/>
      <c r="J772" s="8"/>
      <c r="L772" s="8"/>
      <c r="N772" s="8"/>
      <c r="P772" s="8"/>
      <c r="R772" s="8"/>
      <c r="T772" s="10"/>
      <c r="X772" s="8"/>
    </row>
    <row r="773" ht="15.75" customHeight="1">
      <c r="A773" s="6"/>
      <c r="F773" s="8"/>
      <c r="G773" s="38"/>
      <c r="J773" s="8"/>
      <c r="L773" s="8"/>
      <c r="N773" s="8"/>
      <c r="P773" s="8"/>
      <c r="R773" s="8"/>
      <c r="T773" s="10"/>
      <c r="X773" s="8"/>
    </row>
    <row r="774" ht="15.75" customHeight="1">
      <c r="A774" s="6"/>
      <c r="F774" s="8"/>
      <c r="G774" s="38"/>
      <c r="J774" s="8"/>
      <c r="L774" s="8"/>
      <c r="N774" s="8"/>
      <c r="P774" s="8"/>
      <c r="R774" s="8"/>
      <c r="T774" s="10"/>
      <c r="X774" s="8"/>
    </row>
    <row r="775" ht="15.75" customHeight="1">
      <c r="A775" s="6"/>
      <c r="F775" s="8"/>
      <c r="G775" s="38"/>
      <c r="J775" s="8"/>
      <c r="L775" s="8"/>
      <c r="N775" s="8"/>
      <c r="P775" s="8"/>
      <c r="R775" s="8"/>
      <c r="T775" s="10"/>
      <c r="X775" s="8"/>
    </row>
    <row r="776" ht="15.75" customHeight="1">
      <c r="A776" s="6"/>
      <c r="F776" s="8"/>
      <c r="G776" s="38"/>
      <c r="J776" s="8"/>
      <c r="L776" s="8"/>
      <c r="N776" s="8"/>
      <c r="P776" s="8"/>
      <c r="R776" s="8"/>
      <c r="T776" s="10"/>
      <c r="X776" s="8"/>
    </row>
    <row r="777" ht="15.75" customHeight="1">
      <c r="A777" s="6"/>
      <c r="F777" s="8"/>
      <c r="G777" s="38"/>
      <c r="J777" s="8"/>
      <c r="L777" s="8"/>
      <c r="N777" s="8"/>
      <c r="P777" s="8"/>
      <c r="R777" s="8"/>
      <c r="T777" s="10"/>
      <c r="X777" s="8"/>
    </row>
    <row r="778" ht="15.75" customHeight="1">
      <c r="A778" s="6"/>
      <c r="F778" s="8"/>
      <c r="G778" s="38"/>
      <c r="J778" s="8"/>
      <c r="L778" s="8"/>
      <c r="N778" s="8"/>
      <c r="P778" s="8"/>
      <c r="R778" s="8"/>
      <c r="T778" s="10"/>
      <c r="X778" s="8"/>
    </row>
    <row r="779" ht="15.75" customHeight="1">
      <c r="A779" s="6"/>
      <c r="F779" s="8"/>
      <c r="G779" s="38"/>
      <c r="J779" s="8"/>
      <c r="L779" s="8"/>
      <c r="N779" s="8"/>
      <c r="P779" s="8"/>
      <c r="R779" s="8"/>
      <c r="T779" s="10"/>
      <c r="X779" s="8"/>
    </row>
    <row r="780" ht="15.75" customHeight="1">
      <c r="A780" s="6"/>
      <c r="F780" s="8"/>
      <c r="G780" s="38"/>
      <c r="J780" s="8"/>
      <c r="L780" s="8"/>
      <c r="N780" s="8"/>
      <c r="P780" s="8"/>
      <c r="R780" s="8"/>
      <c r="T780" s="10"/>
      <c r="X780" s="8"/>
    </row>
    <row r="781" ht="15.75" customHeight="1">
      <c r="A781" s="6"/>
      <c r="F781" s="8"/>
      <c r="G781" s="38"/>
      <c r="J781" s="8"/>
      <c r="L781" s="8"/>
      <c r="N781" s="8"/>
      <c r="P781" s="8"/>
      <c r="R781" s="8"/>
      <c r="T781" s="10"/>
      <c r="X781" s="8"/>
    </row>
    <row r="782" ht="15.75" customHeight="1">
      <c r="A782" s="6"/>
      <c r="F782" s="8"/>
      <c r="G782" s="38"/>
      <c r="J782" s="8"/>
      <c r="L782" s="8"/>
      <c r="N782" s="8"/>
      <c r="P782" s="8"/>
      <c r="R782" s="8"/>
      <c r="T782" s="10"/>
      <c r="X782" s="8"/>
    </row>
    <row r="783" ht="15.75" customHeight="1">
      <c r="A783" s="6"/>
      <c r="F783" s="8"/>
      <c r="G783" s="38"/>
      <c r="J783" s="8"/>
      <c r="L783" s="8"/>
      <c r="N783" s="8"/>
      <c r="P783" s="8"/>
      <c r="R783" s="8"/>
      <c r="T783" s="10"/>
      <c r="X783" s="8"/>
    </row>
    <row r="784" ht="15.75" customHeight="1">
      <c r="A784" s="6"/>
      <c r="F784" s="8"/>
      <c r="G784" s="38"/>
      <c r="J784" s="8"/>
      <c r="L784" s="8"/>
      <c r="N784" s="8"/>
      <c r="P784" s="8"/>
      <c r="R784" s="8"/>
      <c r="T784" s="10"/>
      <c r="X784" s="8"/>
    </row>
    <row r="785" ht="15.75" customHeight="1">
      <c r="A785" s="6"/>
      <c r="F785" s="8"/>
      <c r="G785" s="38"/>
      <c r="J785" s="8"/>
      <c r="L785" s="8"/>
      <c r="N785" s="8"/>
      <c r="P785" s="8"/>
      <c r="R785" s="8"/>
      <c r="T785" s="10"/>
      <c r="X785" s="8"/>
    </row>
    <row r="786" ht="15.75" customHeight="1">
      <c r="A786" s="6"/>
      <c r="F786" s="8"/>
      <c r="G786" s="38"/>
      <c r="J786" s="8"/>
      <c r="L786" s="8"/>
      <c r="N786" s="8"/>
      <c r="P786" s="8"/>
      <c r="R786" s="8"/>
      <c r="T786" s="10"/>
      <c r="X786" s="8"/>
    </row>
    <row r="787" ht="15.75" customHeight="1">
      <c r="A787" s="6"/>
      <c r="F787" s="8"/>
      <c r="G787" s="38"/>
      <c r="J787" s="8"/>
      <c r="L787" s="8"/>
      <c r="N787" s="8"/>
      <c r="P787" s="8"/>
      <c r="R787" s="8"/>
      <c r="T787" s="10"/>
      <c r="X787" s="8"/>
    </row>
    <row r="788" ht="15.75" customHeight="1">
      <c r="A788" s="6"/>
      <c r="F788" s="8"/>
      <c r="G788" s="38"/>
      <c r="J788" s="8"/>
      <c r="L788" s="8"/>
      <c r="N788" s="8"/>
      <c r="P788" s="8"/>
      <c r="R788" s="8"/>
      <c r="T788" s="10"/>
      <c r="X788" s="8"/>
    </row>
    <row r="789" ht="15.75" customHeight="1">
      <c r="A789" s="6"/>
      <c r="F789" s="8"/>
      <c r="G789" s="38"/>
      <c r="J789" s="8"/>
      <c r="L789" s="8"/>
      <c r="N789" s="8"/>
      <c r="P789" s="8"/>
      <c r="R789" s="8"/>
      <c r="T789" s="10"/>
      <c r="X789" s="8"/>
    </row>
    <row r="790" ht="15.75" customHeight="1">
      <c r="A790" s="6"/>
      <c r="F790" s="8"/>
      <c r="G790" s="38"/>
      <c r="J790" s="8"/>
      <c r="L790" s="8"/>
      <c r="N790" s="8"/>
      <c r="P790" s="8"/>
      <c r="R790" s="8"/>
      <c r="T790" s="10"/>
      <c r="X790" s="8"/>
    </row>
    <row r="791" ht="15.75" customHeight="1">
      <c r="A791" s="6"/>
      <c r="F791" s="8"/>
      <c r="G791" s="38"/>
      <c r="J791" s="8"/>
      <c r="L791" s="8"/>
      <c r="N791" s="8"/>
      <c r="P791" s="8"/>
      <c r="R791" s="8"/>
      <c r="T791" s="10"/>
      <c r="X791" s="8"/>
    </row>
    <row r="792" ht="15.75" customHeight="1">
      <c r="A792" s="6"/>
      <c r="F792" s="8"/>
      <c r="G792" s="38"/>
      <c r="J792" s="8"/>
      <c r="L792" s="8"/>
      <c r="N792" s="8"/>
      <c r="P792" s="8"/>
      <c r="R792" s="8"/>
      <c r="T792" s="10"/>
      <c r="X792" s="8"/>
    </row>
    <row r="793" ht="15.75" customHeight="1">
      <c r="A793" s="6"/>
      <c r="F793" s="8"/>
      <c r="G793" s="38"/>
      <c r="J793" s="8"/>
      <c r="L793" s="8"/>
      <c r="N793" s="8"/>
      <c r="P793" s="8"/>
      <c r="R793" s="8"/>
      <c r="T793" s="10"/>
      <c r="X793" s="8"/>
    </row>
    <row r="794" ht="15.75" customHeight="1">
      <c r="A794" s="6"/>
      <c r="F794" s="8"/>
      <c r="G794" s="38"/>
      <c r="J794" s="8"/>
      <c r="L794" s="8"/>
      <c r="N794" s="8"/>
      <c r="P794" s="8"/>
      <c r="R794" s="8"/>
      <c r="T794" s="10"/>
      <c r="X794" s="8"/>
    </row>
    <row r="795" ht="15.75" customHeight="1">
      <c r="A795" s="6"/>
      <c r="F795" s="8"/>
      <c r="G795" s="38"/>
      <c r="J795" s="8"/>
      <c r="L795" s="8"/>
      <c r="N795" s="8"/>
      <c r="P795" s="8"/>
      <c r="R795" s="8"/>
      <c r="T795" s="10"/>
      <c r="X795" s="8"/>
    </row>
    <row r="796" ht="15.75" customHeight="1">
      <c r="A796" s="6"/>
      <c r="F796" s="8"/>
      <c r="G796" s="38"/>
      <c r="J796" s="8"/>
      <c r="L796" s="8"/>
      <c r="N796" s="8"/>
      <c r="P796" s="8"/>
      <c r="R796" s="8"/>
      <c r="T796" s="10"/>
      <c r="X796" s="8"/>
    </row>
    <row r="797" ht="15.75" customHeight="1">
      <c r="A797" s="6"/>
      <c r="F797" s="8"/>
      <c r="G797" s="38"/>
      <c r="J797" s="8"/>
      <c r="L797" s="8"/>
      <c r="N797" s="8"/>
      <c r="P797" s="8"/>
      <c r="R797" s="8"/>
      <c r="T797" s="10"/>
      <c r="X797" s="8"/>
    </row>
    <row r="798" ht="15.75" customHeight="1">
      <c r="A798" s="6"/>
      <c r="F798" s="8"/>
      <c r="G798" s="38"/>
      <c r="J798" s="8"/>
      <c r="L798" s="8"/>
      <c r="N798" s="8"/>
      <c r="P798" s="8"/>
      <c r="R798" s="8"/>
      <c r="T798" s="10"/>
      <c r="X798" s="8"/>
    </row>
    <row r="799" ht="15.75" customHeight="1">
      <c r="A799" s="6"/>
      <c r="F799" s="8"/>
      <c r="G799" s="38"/>
      <c r="J799" s="8"/>
      <c r="L799" s="8"/>
      <c r="N799" s="8"/>
      <c r="P799" s="8"/>
      <c r="R799" s="8"/>
      <c r="T799" s="10"/>
      <c r="X799" s="8"/>
    </row>
    <row r="800" ht="15.75" customHeight="1">
      <c r="A800" s="6"/>
      <c r="F800" s="8"/>
      <c r="G800" s="38"/>
      <c r="J800" s="8"/>
      <c r="L800" s="8"/>
      <c r="N800" s="8"/>
      <c r="P800" s="8"/>
      <c r="R800" s="8"/>
      <c r="T800" s="10"/>
      <c r="X800" s="8"/>
    </row>
    <row r="801" ht="15.75" customHeight="1">
      <c r="A801" s="6"/>
      <c r="F801" s="8"/>
      <c r="G801" s="38"/>
      <c r="J801" s="8"/>
      <c r="L801" s="8"/>
      <c r="N801" s="8"/>
      <c r="P801" s="8"/>
      <c r="R801" s="8"/>
      <c r="T801" s="10"/>
      <c r="X801" s="8"/>
    </row>
    <row r="802" ht="15.75" customHeight="1">
      <c r="A802" s="6"/>
      <c r="F802" s="8"/>
      <c r="G802" s="38"/>
      <c r="J802" s="8"/>
      <c r="L802" s="8"/>
      <c r="N802" s="8"/>
      <c r="P802" s="8"/>
      <c r="R802" s="8"/>
      <c r="T802" s="10"/>
      <c r="X802" s="8"/>
    </row>
    <row r="803" ht="15.75" customHeight="1">
      <c r="A803" s="6"/>
      <c r="F803" s="8"/>
      <c r="G803" s="38"/>
      <c r="J803" s="8"/>
      <c r="L803" s="8"/>
      <c r="N803" s="8"/>
      <c r="P803" s="8"/>
      <c r="R803" s="8"/>
      <c r="T803" s="10"/>
      <c r="X803" s="8"/>
    </row>
    <row r="804" ht="15.75" customHeight="1">
      <c r="A804" s="6"/>
      <c r="F804" s="8"/>
      <c r="G804" s="38"/>
      <c r="J804" s="8"/>
      <c r="L804" s="8"/>
      <c r="N804" s="8"/>
      <c r="P804" s="8"/>
      <c r="R804" s="8"/>
      <c r="T804" s="10"/>
      <c r="X804" s="8"/>
    </row>
    <row r="805" ht="15.75" customHeight="1">
      <c r="A805" s="6"/>
      <c r="F805" s="8"/>
      <c r="G805" s="38"/>
      <c r="J805" s="8"/>
      <c r="L805" s="8"/>
      <c r="N805" s="8"/>
      <c r="P805" s="8"/>
      <c r="R805" s="8"/>
      <c r="T805" s="10"/>
      <c r="X805" s="8"/>
    </row>
    <row r="806" ht="15.75" customHeight="1">
      <c r="A806" s="6"/>
      <c r="F806" s="8"/>
      <c r="G806" s="38"/>
      <c r="J806" s="8"/>
      <c r="L806" s="8"/>
      <c r="N806" s="8"/>
      <c r="P806" s="8"/>
      <c r="R806" s="8"/>
      <c r="T806" s="10"/>
      <c r="X806" s="8"/>
    </row>
    <row r="807" ht="15.75" customHeight="1">
      <c r="A807" s="6"/>
      <c r="F807" s="8"/>
      <c r="G807" s="38"/>
      <c r="J807" s="8"/>
      <c r="L807" s="8"/>
      <c r="N807" s="8"/>
      <c r="P807" s="8"/>
      <c r="R807" s="8"/>
      <c r="T807" s="10"/>
      <c r="X807" s="8"/>
    </row>
    <row r="808" ht="15.75" customHeight="1">
      <c r="A808" s="6"/>
      <c r="F808" s="8"/>
      <c r="G808" s="38"/>
      <c r="J808" s="8"/>
      <c r="L808" s="8"/>
      <c r="N808" s="8"/>
      <c r="P808" s="8"/>
      <c r="R808" s="8"/>
      <c r="T808" s="10"/>
      <c r="X808" s="8"/>
    </row>
    <row r="809" ht="15.75" customHeight="1">
      <c r="A809" s="6"/>
      <c r="F809" s="8"/>
      <c r="G809" s="38"/>
      <c r="J809" s="8"/>
      <c r="L809" s="8"/>
      <c r="N809" s="8"/>
      <c r="P809" s="8"/>
      <c r="R809" s="8"/>
      <c r="T809" s="10"/>
      <c r="X809" s="8"/>
    </row>
    <row r="810" ht="15.75" customHeight="1">
      <c r="A810" s="6"/>
      <c r="F810" s="8"/>
      <c r="G810" s="38"/>
      <c r="J810" s="8"/>
      <c r="L810" s="8"/>
      <c r="N810" s="8"/>
      <c r="P810" s="8"/>
      <c r="R810" s="8"/>
      <c r="T810" s="10"/>
      <c r="X810" s="8"/>
    </row>
    <row r="811" ht="15.75" customHeight="1">
      <c r="A811" s="6"/>
      <c r="F811" s="8"/>
      <c r="G811" s="38"/>
      <c r="J811" s="8"/>
      <c r="L811" s="8"/>
      <c r="N811" s="8"/>
      <c r="P811" s="8"/>
      <c r="R811" s="8"/>
      <c r="T811" s="10"/>
      <c r="X811" s="8"/>
    </row>
    <row r="812" ht="15.75" customHeight="1">
      <c r="A812" s="6"/>
      <c r="F812" s="8"/>
      <c r="G812" s="38"/>
      <c r="J812" s="8"/>
      <c r="L812" s="8"/>
      <c r="N812" s="8"/>
      <c r="P812" s="8"/>
      <c r="R812" s="8"/>
      <c r="T812" s="10"/>
      <c r="X812" s="8"/>
    </row>
    <row r="813" ht="15.75" customHeight="1">
      <c r="A813" s="6"/>
      <c r="F813" s="8"/>
      <c r="G813" s="38"/>
      <c r="J813" s="8"/>
      <c r="L813" s="8"/>
      <c r="N813" s="8"/>
      <c r="P813" s="8"/>
      <c r="R813" s="8"/>
      <c r="T813" s="10"/>
      <c r="X813" s="8"/>
    </row>
    <row r="814" ht="15.75" customHeight="1">
      <c r="A814" s="6"/>
      <c r="F814" s="8"/>
      <c r="G814" s="38"/>
      <c r="J814" s="8"/>
      <c r="L814" s="8"/>
      <c r="N814" s="8"/>
      <c r="P814" s="8"/>
      <c r="R814" s="8"/>
      <c r="T814" s="10"/>
      <c r="X814" s="8"/>
    </row>
    <row r="815" ht="15.75" customHeight="1">
      <c r="A815" s="6"/>
      <c r="F815" s="8"/>
      <c r="G815" s="38"/>
      <c r="J815" s="8"/>
      <c r="L815" s="8"/>
      <c r="N815" s="8"/>
      <c r="P815" s="8"/>
      <c r="R815" s="8"/>
      <c r="T815" s="10"/>
      <c r="X815" s="8"/>
    </row>
    <row r="816" ht="15.75" customHeight="1">
      <c r="A816" s="6"/>
      <c r="F816" s="8"/>
      <c r="G816" s="38"/>
      <c r="J816" s="8"/>
      <c r="L816" s="8"/>
      <c r="N816" s="8"/>
      <c r="P816" s="8"/>
      <c r="R816" s="8"/>
      <c r="T816" s="10"/>
      <c r="X816" s="8"/>
    </row>
    <row r="817" ht="15.75" customHeight="1">
      <c r="A817" s="6"/>
      <c r="F817" s="8"/>
      <c r="G817" s="38"/>
      <c r="J817" s="8"/>
      <c r="L817" s="8"/>
      <c r="N817" s="8"/>
      <c r="P817" s="8"/>
      <c r="R817" s="8"/>
      <c r="T817" s="10"/>
      <c r="X817" s="8"/>
    </row>
    <row r="818" ht="15.75" customHeight="1">
      <c r="A818" s="6"/>
      <c r="F818" s="8"/>
      <c r="G818" s="38"/>
      <c r="J818" s="8"/>
      <c r="L818" s="8"/>
      <c r="N818" s="8"/>
      <c r="P818" s="8"/>
      <c r="R818" s="8"/>
      <c r="T818" s="10"/>
      <c r="X818" s="8"/>
    </row>
    <row r="819" ht="15.75" customHeight="1">
      <c r="A819" s="6"/>
      <c r="F819" s="8"/>
      <c r="G819" s="38"/>
      <c r="J819" s="8"/>
      <c r="L819" s="8"/>
      <c r="N819" s="8"/>
      <c r="P819" s="8"/>
      <c r="R819" s="8"/>
      <c r="T819" s="10"/>
      <c r="X819" s="8"/>
    </row>
    <row r="820" ht="15.75" customHeight="1">
      <c r="A820" s="6"/>
      <c r="F820" s="8"/>
      <c r="G820" s="38"/>
      <c r="J820" s="8"/>
      <c r="L820" s="8"/>
      <c r="N820" s="8"/>
      <c r="P820" s="8"/>
      <c r="R820" s="8"/>
      <c r="T820" s="10"/>
      <c r="X820" s="8"/>
    </row>
    <row r="821" ht="15.75" customHeight="1">
      <c r="A821" s="6"/>
      <c r="F821" s="8"/>
      <c r="G821" s="38"/>
      <c r="J821" s="8"/>
      <c r="L821" s="8"/>
      <c r="N821" s="8"/>
      <c r="P821" s="8"/>
      <c r="R821" s="8"/>
      <c r="T821" s="10"/>
      <c r="X821" s="8"/>
    </row>
    <row r="822" ht="15.75" customHeight="1">
      <c r="A822" s="6"/>
      <c r="F822" s="8"/>
      <c r="G822" s="38"/>
      <c r="J822" s="8"/>
      <c r="L822" s="8"/>
      <c r="N822" s="8"/>
      <c r="P822" s="8"/>
      <c r="R822" s="8"/>
      <c r="T822" s="10"/>
      <c r="X822" s="8"/>
    </row>
    <row r="823" ht="15.75" customHeight="1">
      <c r="A823" s="6"/>
      <c r="F823" s="8"/>
      <c r="G823" s="38"/>
      <c r="J823" s="8"/>
      <c r="L823" s="8"/>
      <c r="N823" s="8"/>
      <c r="P823" s="8"/>
      <c r="R823" s="8"/>
      <c r="T823" s="10"/>
      <c r="X823" s="8"/>
    </row>
    <row r="824" ht="15.75" customHeight="1">
      <c r="A824" s="6"/>
      <c r="F824" s="8"/>
      <c r="G824" s="38"/>
      <c r="J824" s="8"/>
      <c r="L824" s="8"/>
      <c r="N824" s="8"/>
      <c r="P824" s="8"/>
      <c r="R824" s="8"/>
      <c r="T824" s="10"/>
      <c r="X824" s="8"/>
    </row>
    <row r="825" ht="15.75" customHeight="1">
      <c r="A825" s="6"/>
      <c r="F825" s="8"/>
      <c r="G825" s="38"/>
      <c r="J825" s="8"/>
      <c r="L825" s="8"/>
      <c r="N825" s="8"/>
      <c r="P825" s="8"/>
      <c r="R825" s="8"/>
      <c r="T825" s="10"/>
      <c r="X825" s="8"/>
    </row>
    <row r="826" ht="15.75" customHeight="1">
      <c r="A826" s="6"/>
      <c r="F826" s="8"/>
      <c r="G826" s="38"/>
      <c r="J826" s="8"/>
      <c r="L826" s="8"/>
      <c r="N826" s="8"/>
      <c r="P826" s="8"/>
      <c r="R826" s="8"/>
      <c r="T826" s="10"/>
      <c r="X826" s="8"/>
    </row>
    <row r="827" ht="15.75" customHeight="1">
      <c r="A827" s="6"/>
      <c r="F827" s="8"/>
      <c r="G827" s="38"/>
      <c r="J827" s="8"/>
      <c r="L827" s="8"/>
      <c r="N827" s="8"/>
      <c r="P827" s="8"/>
      <c r="R827" s="8"/>
      <c r="T827" s="10"/>
      <c r="X827" s="8"/>
    </row>
    <row r="828" ht="15.75" customHeight="1">
      <c r="A828" s="6"/>
      <c r="F828" s="8"/>
      <c r="G828" s="38"/>
      <c r="J828" s="8"/>
      <c r="L828" s="8"/>
      <c r="N828" s="8"/>
      <c r="P828" s="8"/>
      <c r="R828" s="8"/>
      <c r="T828" s="10"/>
      <c r="X828" s="8"/>
    </row>
    <row r="829" ht="15.75" customHeight="1">
      <c r="A829" s="6"/>
      <c r="F829" s="8"/>
      <c r="G829" s="38"/>
      <c r="J829" s="8"/>
      <c r="L829" s="8"/>
      <c r="N829" s="8"/>
      <c r="P829" s="8"/>
      <c r="R829" s="8"/>
      <c r="T829" s="10"/>
      <c r="X829" s="8"/>
    </row>
    <row r="830" ht="15.75" customHeight="1">
      <c r="A830" s="6"/>
      <c r="F830" s="8"/>
      <c r="G830" s="38"/>
      <c r="J830" s="8"/>
      <c r="L830" s="8"/>
      <c r="N830" s="8"/>
      <c r="P830" s="8"/>
      <c r="R830" s="8"/>
      <c r="T830" s="10"/>
      <c r="X830" s="8"/>
    </row>
    <row r="831" ht="15.75" customHeight="1">
      <c r="A831" s="6"/>
      <c r="F831" s="8"/>
      <c r="G831" s="38"/>
      <c r="J831" s="8"/>
      <c r="L831" s="8"/>
      <c r="N831" s="8"/>
      <c r="P831" s="8"/>
      <c r="R831" s="8"/>
      <c r="T831" s="10"/>
      <c r="X831" s="8"/>
    </row>
    <row r="832" ht="15.75" customHeight="1">
      <c r="A832" s="6"/>
      <c r="F832" s="8"/>
      <c r="G832" s="38"/>
      <c r="J832" s="8"/>
      <c r="L832" s="8"/>
      <c r="N832" s="8"/>
      <c r="P832" s="8"/>
      <c r="R832" s="8"/>
      <c r="T832" s="10"/>
      <c r="X832" s="8"/>
    </row>
    <row r="833" ht="15.75" customHeight="1">
      <c r="A833" s="6"/>
      <c r="F833" s="8"/>
      <c r="G833" s="38"/>
      <c r="J833" s="8"/>
      <c r="L833" s="8"/>
      <c r="N833" s="8"/>
      <c r="P833" s="8"/>
      <c r="R833" s="8"/>
      <c r="T833" s="10"/>
      <c r="X833" s="8"/>
    </row>
    <row r="834" ht="15.75" customHeight="1">
      <c r="A834" s="6"/>
      <c r="F834" s="8"/>
      <c r="G834" s="38"/>
      <c r="J834" s="8"/>
      <c r="L834" s="8"/>
      <c r="N834" s="8"/>
      <c r="P834" s="8"/>
      <c r="R834" s="8"/>
      <c r="T834" s="10"/>
      <c r="X834" s="8"/>
    </row>
    <row r="835" ht="15.75" customHeight="1">
      <c r="A835" s="6"/>
      <c r="F835" s="8"/>
      <c r="G835" s="38"/>
      <c r="J835" s="8"/>
      <c r="L835" s="8"/>
      <c r="N835" s="8"/>
      <c r="P835" s="8"/>
      <c r="R835" s="8"/>
      <c r="T835" s="10"/>
      <c r="X835" s="8"/>
    </row>
    <row r="836" ht="15.75" customHeight="1">
      <c r="A836" s="6"/>
      <c r="F836" s="8"/>
      <c r="G836" s="38"/>
      <c r="J836" s="8"/>
      <c r="L836" s="8"/>
      <c r="N836" s="8"/>
      <c r="P836" s="8"/>
      <c r="R836" s="8"/>
      <c r="T836" s="10"/>
      <c r="X836" s="8"/>
    </row>
    <row r="837" ht="15.75" customHeight="1">
      <c r="A837" s="6"/>
      <c r="F837" s="8"/>
      <c r="G837" s="38"/>
      <c r="J837" s="8"/>
      <c r="L837" s="8"/>
      <c r="N837" s="8"/>
      <c r="P837" s="8"/>
      <c r="R837" s="8"/>
      <c r="T837" s="10"/>
      <c r="X837" s="8"/>
    </row>
    <row r="838" ht="15.75" customHeight="1">
      <c r="A838" s="6"/>
      <c r="F838" s="8"/>
      <c r="G838" s="38"/>
      <c r="J838" s="8"/>
      <c r="L838" s="8"/>
      <c r="N838" s="8"/>
      <c r="P838" s="8"/>
      <c r="R838" s="8"/>
      <c r="T838" s="10"/>
      <c r="X838" s="8"/>
    </row>
    <row r="839" ht="15.75" customHeight="1">
      <c r="A839" s="6"/>
      <c r="F839" s="8"/>
      <c r="G839" s="38"/>
      <c r="J839" s="8"/>
      <c r="L839" s="8"/>
      <c r="N839" s="8"/>
      <c r="P839" s="8"/>
      <c r="R839" s="8"/>
      <c r="T839" s="10"/>
      <c r="X839" s="8"/>
    </row>
    <row r="840" ht="15.75" customHeight="1">
      <c r="A840" s="6"/>
      <c r="F840" s="8"/>
      <c r="G840" s="38"/>
      <c r="J840" s="8"/>
      <c r="L840" s="8"/>
      <c r="N840" s="8"/>
      <c r="P840" s="8"/>
      <c r="R840" s="8"/>
      <c r="T840" s="10"/>
      <c r="X840" s="8"/>
    </row>
    <row r="841" ht="15.75" customHeight="1">
      <c r="A841" s="6"/>
      <c r="F841" s="8"/>
      <c r="G841" s="38"/>
      <c r="J841" s="8"/>
      <c r="L841" s="8"/>
      <c r="N841" s="8"/>
      <c r="P841" s="8"/>
      <c r="R841" s="8"/>
      <c r="T841" s="10"/>
      <c r="X841" s="8"/>
    </row>
    <row r="842" ht="15.75" customHeight="1">
      <c r="A842" s="6"/>
      <c r="F842" s="8"/>
      <c r="G842" s="38"/>
      <c r="J842" s="8"/>
      <c r="L842" s="8"/>
      <c r="N842" s="8"/>
      <c r="P842" s="8"/>
      <c r="R842" s="8"/>
      <c r="T842" s="10"/>
      <c r="X842" s="8"/>
    </row>
    <row r="843" ht="15.75" customHeight="1">
      <c r="A843" s="6"/>
      <c r="F843" s="8"/>
      <c r="G843" s="38"/>
      <c r="J843" s="8"/>
      <c r="L843" s="8"/>
      <c r="N843" s="8"/>
      <c r="P843" s="8"/>
      <c r="R843" s="8"/>
      <c r="T843" s="10"/>
      <c r="X843" s="8"/>
    </row>
    <row r="844" ht="15.75" customHeight="1">
      <c r="A844" s="6"/>
      <c r="F844" s="8"/>
      <c r="G844" s="38"/>
      <c r="J844" s="8"/>
      <c r="L844" s="8"/>
      <c r="N844" s="8"/>
      <c r="P844" s="8"/>
      <c r="R844" s="8"/>
      <c r="T844" s="10"/>
      <c r="X844" s="8"/>
    </row>
    <row r="845" ht="15.75" customHeight="1">
      <c r="A845" s="6"/>
      <c r="F845" s="8"/>
      <c r="G845" s="38"/>
      <c r="J845" s="8"/>
      <c r="L845" s="8"/>
      <c r="N845" s="8"/>
      <c r="P845" s="8"/>
      <c r="R845" s="8"/>
      <c r="T845" s="10"/>
      <c r="X845" s="8"/>
    </row>
    <row r="846" ht="15.75" customHeight="1">
      <c r="A846" s="6"/>
      <c r="F846" s="8"/>
      <c r="G846" s="38"/>
      <c r="J846" s="8"/>
      <c r="L846" s="8"/>
      <c r="N846" s="8"/>
      <c r="P846" s="8"/>
      <c r="R846" s="8"/>
      <c r="T846" s="10"/>
      <c r="X846" s="8"/>
    </row>
    <row r="847" ht="15.75" customHeight="1">
      <c r="A847" s="6"/>
      <c r="F847" s="8"/>
      <c r="G847" s="38"/>
      <c r="J847" s="8"/>
      <c r="L847" s="8"/>
      <c r="N847" s="8"/>
      <c r="P847" s="8"/>
      <c r="R847" s="8"/>
      <c r="T847" s="10"/>
      <c r="X847" s="8"/>
    </row>
    <row r="848" ht="15.75" customHeight="1">
      <c r="A848" s="6"/>
      <c r="F848" s="8"/>
      <c r="G848" s="38"/>
      <c r="J848" s="8"/>
      <c r="L848" s="8"/>
      <c r="N848" s="8"/>
      <c r="P848" s="8"/>
      <c r="R848" s="8"/>
      <c r="T848" s="10"/>
      <c r="X848" s="8"/>
    </row>
    <row r="849" ht="15.75" customHeight="1">
      <c r="A849" s="6"/>
      <c r="F849" s="8"/>
      <c r="G849" s="38"/>
      <c r="J849" s="8"/>
      <c r="L849" s="8"/>
      <c r="N849" s="8"/>
      <c r="P849" s="8"/>
      <c r="R849" s="8"/>
      <c r="T849" s="10"/>
      <c r="X849" s="8"/>
    </row>
    <row r="850" ht="15.75" customHeight="1">
      <c r="A850" s="6"/>
      <c r="F850" s="8"/>
      <c r="G850" s="38"/>
      <c r="J850" s="8"/>
      <c r="L850" s="8"/>
      <c r="N850" s="8"/>
      <c r="P850" s="8"/>
      <c r="R850" s="8"/>
      <c r="T850" s="10"/>
      <c r="X850" s="8"/>
    </row>
    <row r="851" ht="15.75" customHeight="1">
      <c r="A851" s="6"/>
      <c r="F851" s="8"/>
      <c r="G851" s="38"/>
      <c r="J851" s="8"/>
      <c r="L851" s="8"/>
      <c r="N851" s="8"/>
      <c r="P851" s="8"/>
      <c r="R851" s="8"/>
      <c r="T851" s="10"/>
      <c r="X851" s="8"/>
    </row>
    <row r="852" ht="15.75" customHeight="1">
      <c r="A852" s="6"/>
      <c r="F852" s="8"/>
      <c r="G852" s="38"/>
      <c r="J852" s="8"/>
      <c r="L852" s="8"/>
      <c r="N852" s="8"/>
      <c r="P852" s="8"/>
      <c r="R852" s="8"/>
      <c r="T852" s="10"/>
      <c r="X852" s="8"/>
    </row>
    <row r="853" ht="15.75" customHeight="1">
      <c r="A853" s="6"/>
      <c r="F853" s="8"/>
      <c r="G853" s="38"/>
      <c r="J853" s="8"/>
      <c r="L853" s="8"/>
      <c r="N853" s="8"/>
      <c r="P853" s="8"/>
      <c r="R853" s="8"/>
      <c r="T853" s="10"/>
      <c r="X853" s="8"/>
    </row>
    <row r="854" ht="15.75" customHeight="1">
      <c r="A854" s="6"/>
      <c r="F854" s="8"/>
      <c r="G854" s="38"/>
      <c r="J854" s="8"/>
      <c r="L854" s="8"/>
      <c r="N854" s="8"/>
      <c r="P854" s="8"/>
      <c r="R854" s="8"/>
      <c r="T854" s="10"/>
      <c r="X854" s="8"/>
    </row>
    <row r="855" ht="15.75" customHeight="1">
      <c r="A855" s="6"/>
      <c r="F855" s="8"/>
      <c r="G855" s="38"/>
      <c r="J855" s="8"/>
      <c r="L855" s="8"/>
      <c r="N855" s="8"/>
      <c r="P855" s="8"/>
      <c r="R855" s="8"/>
      <c r="T855" s="10"/>
      <c r="X855" s="8"/>
    </row>
    <row r="856" ht="15.75" customHeight="1">
      <c r="A856" s="6"/>
      <c r="F856" s="8"/>
      <c r="G856" s="38"/>
      <c r="J856" s="8"/>
      <c r="L856" s="8"/>
      <c r="N856" s="8"/>
      <c r="P856" s="8"/>
      <c r="R856" s="8"/>
      <c r="T856" s="10"/>
      <c r="X856" s="8"/>
    </row>
    <row r="857" ht="15.75" customHeight="1">
      <c r="A857" s="6"/>
      <c r="F857" s="8"/>
      <c r="G857" s="38"/>
      <c r="J857" s="8"/>
      <c r="L857" s="8"/>
      <c r="N857" s="8"/>
      <c r="P857" s="8"/>
      <c r="R857" s="8"/>
      <c r="T857" s="10"/>
      <c r="X857" s="8"/>
    </row>
    <row r="858" ht="15.75" customHeight="1">
      <c r="A858" s="6"/>
      <c r="F858" s="8"/>
      <c r="G858" s="38"/>
      <c r="J858" s="8"/>
      <c r="L858" s="8"/>
      <c r="N858" s="8"/>
      <c r="P858" s="8"/>
      <c r="R858" s="8"/>
      <c r="T858" s="10"/>
      <c r="X858" s="8"/>
    </row>
    <row r="859" ht="15.75" customHeight="1">
      <c r="A859" s="6"/>
      <c r="F859" s="8"/>
      <c r="G859" s="38"/>
      <c r="J859" s="8"/>
      <c r="L859" s="8"/>
      <c r="N859" s="8"/>
      <c r="P859" s="8"/>
      <c r="R859" s="8"/>
      <c r="T859" s="10"/>
      <c r="X859" s="8"/>
    </row>
    <row r="860" ht="15.75" customHeight="1">
      <c r="A860" s="6"/>
      <c r="F860" s="8"/>
      <c r="G860" s="38"/>
      <c r="J860" s="8"/>
      <c r="L860" s="8"/>
      <c r="N860" s="8"/>
      <c r="P860" s="8"/>
      <c r="R860" s="8"/>
      <c r="T860" s="10"/>
      <c r="X860" s="8"/>
    </row>
    <row r="861" ht="15.75" customHeight="1">
      <c r="A861" s="6"/>
      <c r="F861" s="8"/>
      <c r="G861" s="38"/>
      <c r="J861" s="8"/>
      <c r="L861" s="8"/>
      <c r="N861" s="8"/>
      <c r="P861" s="8"/>
      <c r="R861" s="8"/>
      <c r="T861" s="10"/>
      <c r="X861" s="8"/>
    </row>
    <row r="862" ht="15.75" customHeight="1">
      <c r="A862" s="6"/>
      <c r="F862" s="8"/>
      <c r="G862" s="38"/>
      <c r="J862" s="8"/>
      <c r="L862" s="8"/>
      <c r="N862" s="8"/>
      <c r="P862" s="8"/>
      <c r="R862" s="8"/>
      <c r="T862" s="10"/>
      <c r="X862" s="8"/>
    </row>
    <row r="863" ht="15.75" customHeight="1">
      <c r="A863" s="6"/>
      <c r="F863" s="8"/>
      <c r="G863" s="38"/>
      <c r="J863" s="8"/>
      <c r="L863" s="8"/>
      <c r="N863" s="8"/>
      <c r="P863" s="8"/>
      <c r="R863" s="8"/>
      <c r="T863" s="10"/>
      <c r="X863" s="8"/>
    </row>
    <row r="864" ht="15.75" customHeight="1">
      <c r="A864" s="6"/>
      <c r="F864" s="8"/>
      <c r="G864" s="38"/>
      <c r="J864" s="8"/>
      <c r="L864" s="8"/>
      <c r="N864" s="8"/>
      <c r="P864" s="8"/>
      <c r="R864" s="8"/>
      <c r="T864" s="10"/>
      <c r="X864" s="8"/>
    </row>
    <row r="865" ht="15.75" customHeight="1">
      <c r="A865" s="6"/>
      <c r="F865" s="8"/>
      <c r="G865" s="38"/>
      <c r="J865" s="8"/>
      <c r="L865" s="8"/>
      <c r="N865" s="8"/>
      <c r="P865" s="8"/>
      <c r="R865" s="8"/>
      <c r="T865" s="10"/>
      <c r="X865" s="8"/>
    </row>
    <row r="866" ht="15.75" customHeight="1">
      <c r="A866" s="6"/>
      <c r="F866" s="8"/>
      <c r="G866" s="38"/>
      <c r="J866" s="8"/>
      <c r="L866" s="8"/>
      <c r="N866" s="8"/>
      <c r="P866" s="8"/>
      <c r="R866" s="8"/>
      <c r="T866" s="10"/>
      <c r="X866" s="8"/>
    </row>
    <row r="867" ht="15.75" customHeight="1">
      <c r="A867" s="6"/>
      <c r="F867" s="8"/>
      <c r="G867" s="38"/>
      <c r="J867" s="8"/>
      <c r="L867" s="8"/>
      <c r="N867" s="8"/>
      <c r="P867" s="8"/>
      <c r="R867" s="8"/>
      <c r="T867" s="10"/>
      <c r="X867" s="8"/>
    </row>
    <row r="868" ht="15.75" customHeight="1">
      <c r="A868" s="6"/>
      <c r="F868" s="8"/>
      <c r="G868" s="38"/>
      <c r="J868" s="8"/>
      <c r="L868" s="8"/>
      <c r="N868" s="8"/>
      <c r="P868" s="8"/>
      <c r="R868" s="8"/>
      <c r="T868" s="10"/>
      <c r="X868" s="8"/>
    </row>
    <row r="869" ht="15.75" customHeight="1">
      <c r="A869" s="6"/>
      <c r="F869" s="8"/>
      <c r="G869" s="38"/>
      <c r="J869" s="8"/>
      <c r="L869" s="8"/>
      <c r="N869" s="8"/>
      <c r="P869" s="8"/>
      <c r="R869" s="8"/>
      <c r="T869" s="10"/>
      <c r="X869" s="8"/>
    </row>
    <row r="870" ht="15.75" customHeight="1">
      <c r="A870" s="6"/>
      <c r="F870" s="8"/>
      <c r="G870" s="38"/>
      <c r="J870" s="8"/>
      <c r="L870" s="8"/>
      <c r="N870" s="8"/>
      <c r="P870" s="8"/>
      <c r="R870" s="8"/>
      <c r="T870" s="10"/>
      <c r="X870" s="8"/>
    </row>
    <row r="871" ht="15.75" customHeight="1">
      <c r="A871" s="6"/>
      <c r="F871" s="8"/>
      <c r="G871" s="38"/>
      <c r="J871" s="8"/>
      <c r="L871" s="8"/>
      <c r="N871" s="8"/>
      <c r="P871" s="8"/>
      <c r="R871" s="8"/>
      <c r="T871" s="10"/>
      <c r="X871" s="8"/>
    </row>
    <row r="872" ht="15.75" customHeight="1">
      <c r="A872" s="6"/>
      <c r="F872" s="8"/>
      <c r="G872" s="38"/>
      <c r="J872" s="8"/>
      <c r="L872" s="8"/>
      <c r="N872" s="8"/>
      <c r="P872" s="8"/>
      <c r="R872" s="8"/>
      <c r="T872" s="10"/>
      <c r="X872" s="8"/>
    </row>
    <row r="873" ht="15.75" customHeight="1">
      <c r="A873" s="6"/>
      <c r="F873" s="8"/>
      <c r="G873" s="38"/>
      <c r="J873" s="8"/>
      <c r="L873" s="8"/>
      <c r="N873" s="8"/>
      <c r="P873" s="8"/>
      <c r="R873" s="8"/>
      <c r="T873" s="10"/>
      <c r="X873" s="8"/>
    </row>
    <row r="874" ht="15.75" customHeight="1">
      <c r="A874" s="6"/>
      <c r="F874" s="8"/>
      <c r="G874" s="38"/>
      <c r="J874" s="8"/>
      <c r="L874" s="8"/>
      <c r="N874" s="8"/>
      <c r="P874" s="8"/>
      <c r="R874" s="8"/>
      <c r="T874" s="10"/>
      <c r="X874" s="8"/>
    </row>
    <row r="875" ht="15.75" customHeight="1">
      <c r="A875" s="6"/>
      <c r="F875" s="8"/>
      <c r="G875" s="38"/>
      <c r="J875" s="8"/>
      <c r="L875" s="8"/>
      <c r="N875" s="8"/>
      <c r="P875" s="8"/>
      <c r="R875" s="8"/>
      <c r="T875" s="10"/>
      <c r="X875" s="8"/>
    </row>
    <row r="876" ht="15.75" customHeight="1">
      <c r="A876" s="6"/>
      <c r="F876" s="8"/>
      <c r="G876" s="38"/>
      <c r="J876" s="8"/>
      <c r="L876" s="8"/>
      <c r="N876" s="8"/>
      <c r="P876" s="8"/>
      <c r="R876" s="8"/>
      <c r="T876" s="10"/>
      <c r="X876" s="8"/>
    </row>
    <row r="877" ht="15.75" customHeight="1">
      <c r="A877" s="6"/>
      <c r="F877" s="8"/>
      <c r="G877" s="38"/>
      <c r="J877" s="8"/>
      <c r="L877" s="8"/>
      <c r="N877" s="8"/>
      <c r="P877" s="8"/>
      <c r="R877" s="8"/>
      <c r="T877" s="10"/>
      <c r="X877" s="8"/>
    </row>
    <row r="878" ht="15.75" customHeight="1">
      <c r="A878" s="6"/>
      <c r="F878" s="8"/>
      <c r="G878" s="38"/>
      <c r="J878" s="8"/>
      <c r="L878" s="8"/>
      <c r="N878" s="8"/>
      <c r="P878" s="8"/>
      <c r="R878" s="8"/>
      <c r="T878" s="10"/>
      <c r="X878" s="8"/>
    </row>
    <row r="879" ht="15.75" customHeight="1">
      <c r="A879" s="6"/>
      <c r="F879" s="8"/>
      <c r="G879" s="38"/>
      <c r="J879" s="8"/>
      <c r="L879" s="8"/>
      <c r="N879" s="8"/>
      <c r="P879" s="8"/>
      <c r="R879" s="8"/>
      <c r="T879" s="10"/>
      <c r="X879" s="8"/>
    </row>
    <row r="880" ht="15.75" customHeight="1">
      <c r="A880" s="6"/>
      <c r="F880" s="8"/>
      <c r="G880" s="38"/>
      <c r="J880" s="8"/>
      <c r="L880" s="8"/>
      <c r="N880" s="8"/>
      <c r="P880" s="8"/>
      <c r="R880" s="8"/>
      <c r="T880" s="10"/>
      <c r="X880" s="8"/>
    </row>
    <row r="881" ht="15.75" customHeight="1">
      <c r="A881" s="6"/>
      <c r="F881" s="8"/>
      <c r="G881" s="38"/>
      <c r="J881" s="8"/>
      <c r="L881" s="8"/>
      <c r="N881" s="8"/>
      <c r="P881" s="8"/>
      <c r="R881" s="8"/>
      <c r="T881" s="10"/>
      <c r="X881" s="8"/>
    </row>
    <row r="882" ht="15.75" customHeight="1">
      <c r="A882" s="6"/>
      <c r="F882" s="8"/>
      <c r="G882" s="38"/>
      <c r="J882" s="8"/>
      <c r="L882" s="8"/>
      <c r="N882" s="8"/>
      <c r="P882" s="8"/>
      <c r="R882" s="8"/>
      <c r="T882" s="10"/>
      <c r="X882" s="8"/>
    </row>
    <row r="883" ht="15.75" customHeight="1">
      <c r="A883" s="6"/>
      <c r="F883" s="8"/>
      <c r="G883" s="38"/>
      <c r="J883" s="8"/>
      <c r="L883" s="8"/>
      <c r="N883" s="8"/>
      <c r="P883" s="8"/>
      <c r="R883" s="8"/>
      <c r="T883" s="10"/>
      <c r="X883" s="8"/>
    </row>
    <row r="884" ht="15.75" customHeight="1">
      <c r="A884" s="6"/>
      <c r="F884" s="8"/>
      <c r="G884" s="38"/>
      <c r="J884" s="8"/>
      <c r="L884" s="8"/>
      <c r="N884" s="8"/>
      <c r="P884" s="8"/>
      <c r="R884" s="8"/>
      <c r="T884" s="10"/>
      <c r="X884" s="8"/>
    </row>
    <row r="885" ht="15.75" customHeight="1">
      <c r="A885" s="6"/>
      <c r="F885" s="8"/>
      <c r="G885" s="38"/>
      <c r="J885" s="8"/>
      <c r="L885" s="8"/>
      <c r="N885" s="8"/>
      <c r="P885" s="8"/>
      <c r="R885" s="8"/>
      <c r="T885" s="10"/>
      <c r="X885" s="8"/>
    </row>
    <row r="886" ht="15.75" customHeight="1">
      <c r="A886" s="6"/>
      <c r="F886" s="8"/>
      <c r="G886" s="38"/>
      <c r="J886" s="8"/>
      <c r="L886" s="8"/>
      <c r="N886" s="8"/>
      <c r="P886" s="8"/>
      <c r="R886" s="8"/>
      <c r="T886" s="10"/>
      <c r="X886" s="8"/>
    </row>
    <row r="887" ht="15.75" customHeight="1">
      <c r="A887" s="6"/>
      <c r="F887" s="8"/>
      <c r="G887" s="38"/>
      <c r="J887" s="8"/>
      <c r="L887" s="8"/>
      <c r="N887" s="8"/>
      <c r="P887" s="8"/>
      <c r="R887" s="8"/>
      <c r="T887" s="10"/>
      <c r="X887" s="8"/>
    </row>
    <row r="888" ht="15.75" customHeight="1">
      <c r="A888" s="6"/>
      <c r="F888" s="8"/>
      <c r="G888" s="38"/>
      <c r="J888" s="8"/>
      <c r="L888" s="8"/>
      <c r="N888" s="8"/>
      <c r="P888" s="8"/>
      <c r="R888" s="8"/>
      <c r="T888" s="10"/>
      <c r="X888" s="8"/>
    </row>
    <row r="889" ht="15.75" customHeight="1">
      <c r="A889" s="6"/>
      <c r="F889" s="8"/>
      <c r="G889" s="38"/>
      <c r="J889" s="8"/>
      <c r="L889" s="8"/>
      <c r="N889" s="8"/>
      <c r="P889" s="8"/>
      <c r="R889" s="8"/>
      <c r="T889" s="10"/>
      <c r="X889" s="8"/>
    </row>
    <row r="890" ht="15.75" customHeight="1">
      <c r="A890" s="6"/>
      <c r="F890" s="8"/>
      <c r="G890" s="38"/>
      <c r="J890" s="8"/>
      <c r="L890" s="8"/>
      <c r="N890" s="8"/>
      <c r="P890" s="8"/>
      <c r="R890" s="8"/>
      <c r="T890" s="10"/>
      <c r="X890" s="8"/>
    </row>
    <row r="891" ht="15.75" customHeight="1">
      <c r="A891" s="6"/>
      <c r="F891" s="8"/>
      <c r="G891" s="38"/>
      <c r="J891" s="8"/>
      <c r="L891" s="8"/>
      <c r="N891" s="8"/>
      <c r="P891" s="8"/>
      <c r="R891" s="8"/>
      <c r="T891" s="10"/>
      <c r="X891" s="8"/>
    </row>
    <row r="892" ht="15.75" customHeight="1">
      <c r="A892" s="6"/>
      <c r="F892" s="8"/>
      <c r="G892" s="38"/>
      <c r="J892" s="8"/>
      <c r="L892" s="8"/>
      <c r="N892" s="8"/>
      <c r="P892" s="8"/>
      <c r="R892" s="8"/>
      <c r="T892" s="10"/>
      <c r="X892" s="8"/>
    </row>
    <row r="893" ht="15.75" customHeight="1">
      <c r="A893" s="6"/>
      <c r="F893" s="8"/>
      <c r="G893" s="38"/>
      <c r="J893" s="8"/>
      <c r="L893" s="8"/>
      <c r="N893" s="8"/>
      <c r="P893" s="8"/>
      <c r="R893" s="8"/>
      <c r="T893" s="10"/>
      <c r="X893" s="8"/>
    </row>
    <row r="894" ht="15.75" customHeight="1">
      <c r="A894" s="6"/>
      <c r="F894" s="8"/>
      <c r="G894" s="38"/>
      <c r="J894" s="8"/>
      <c r="L894" s="8"/>
      <c r="N894" s="8"/>
      <c r="P894" s="8"/>
      <c r="R894" s="8"/>
      <c r="T894" s="10"/>
      <c r="X894" s="8"/>
    </row>
    <row r="895" ht="15.75" customHeight="1">
      <c r="A895" s="6"/>
      <c r="F895" s="8"/>
      <c r="G895" s="38"/>
      <c r="J895" s="8"/>
      <c r="L895" s="8"/>
      <c r="N895" s="8"/>
      <c r="P895" s="8"/>
      <c r="R895" s="8"/>
      <c r="T895" s="10"/>
      <c r="X895" s="8"/>
    </row>
    <row r="896" ht="15.75" customHeight="1">
      <c r="A896" s="6"/>
      <c r="F896" s="8"/>
      <c r="G896" s="38"/>
      <c r="J896" s="8"/>
      <c r="L896" s="8"/>
      <c r="N896" s="8"/>
      <c r="P896" s="8"/>
      <c r="R896" s="8"/>
      <c r="T896" s="10"/>
      <c r="X896" s="8"/>
    </row>
    <row r="897" ht="15.75" customHeight="1">
      <c r="A897" s="6"/>
      <c r="F897" s="8"/>
      <c r="G897" s="38"/>
      <c r="J897" s="8"/>
      <c r="L897" s="8"/>
      <c r="N897" s="8"/>
      <c r="P897" s="8"/>
      <c r="R897" s="8"/>
      <c r="T897" s="10"/>
      <c r="X897" s="8"/>
    </row>
    <row r="898" ht="15.75" customHeight="1">
      <c r="A898" s="6"/>
      <c r="F898" s="8"/>
      <c r="G898" s="38"/>
      <c r="J898" s="8"/>
      <c r="L898" s="8"/>
      <c r="N898" s="8"/>
      <c r="P898" s="8"/>
      <c r="R898" s="8"/>
      <c r="T898" s="10"/>
      <c r="X898" s="8"/>
    </row>
    <row r="899" ht="15.75" customHeight="1">
      <c r="A899" s="6"/>
      <c r="F899" s="8"/>
      <c r="G899" s="38"/>
      <c r="J899" s="8"/>
      <c r="L899" s="8"/>
      <c r="N899" s="8"/>
      <c r="P899" s="8"/>
      <c r="R899" s="8"/>
      <c r="T899" s="10"/>
      <c r="X899" s="8"/>
    </row>
    <row r="900" ht="15.75" customHeight="1">
      <c r="A900" s="6"/>
      <c r="F900" s="8"/>
      <c r="G900" s="38"/>
      <c r="J900" s="8"/>
      <c r="L900" s="8"/>
      <c r="N900" s="8"/>
      <c r="P900" s="8"/>
      <c r="R900" s="8"/>
      <c r="T900" s="10"/>
      <c r="X900" s="8"/>
    </row>
    <row r="901" ht="15.75" customHeight="1">
      <c r="A901" s="6"/>
      <c r="F901" s="8"/>
      <c r="G901" s="38"/>
      <c r="J901" s="8"/>
      <c r="L901" s="8"/>
      <c r="N901" s="8"/>
      <c r="P901" s="8"/>
      <c r="R901" s="8"/>
      <c r="T901" s="10"/>
      <c r="X901" s="8"/>
    </row>
    <row r="902" ht="15.75" customHeight="1">
      <c r="A902" s="6"/>
      <c r="F902" s="8"/>
      <c r="G902" s="38"/>
      <c r="J902" s="8"/>
      <c r="L902" s="8"/>
      <c r="N902" s="8"/>
      <c r="P902" s="8"/>
      <c r="R902" s="8"/>
      <c r="T902" s="10"/>
      <c r="X902" s="8"/>
    </row>
    <row r="903" ht="15.75" customHeight="1">
      <c r="A903" s="6"/>
      <c r="F903" s="8"/>
      <c r="G903" s="38"/>
      <c r="J903" s="8"/>
      <c r="L903" s="8"/>
      <c r="N903" s="8"/>
      <c r="P903" s="8"/>
      <c r="R903" s="8"/>
      <c r="T903" s="10"/>
      <c r="X903" s="8"/>
    </row>
    <row r="904" ht="15.75" customHeight="1">
      <c r="A904" s="6"/>
      <c r="F904" s="8"/>
      <c r="G904" s="38"/>
      <c r="J904" s="8"/>
      <c r="L904" s="8"/>
      <c r="N904" s="8"/>
      <c r="P904" s="8"/>
      <c r="R904" s="8"/>
      <c r="T904" s="10"/>
      <c r="X904" s="8"/>
    </row>
    <row r="905" ht="15.75" customHeight="1">
      <c r="A905" s="6"/>
      <c r="F905" s="8"/>
      <c r="G905" s="38"/>
      <c r="J905" s="8"/>
      <c r="L905" s="8"/>
      <c r="N905" s="8"/>
      <c r="P905" s="8"/>
      <c r="R905" s="8"/>
      <c r="T905" s="10"/>
      <c r="X905" s="8"/>
    </row>
    <row r="906" ht="15.75" customHeight="1">
      <c r="A906" s="6"/>
      <c r="F906" s="8"/>
      <c r="G906" s="38"/>
      <c r="J906" s="8"/>
      <c r="L906" s="8"/>
      <c r="N906" s="8"/>
      <c r="P906" s="8"/>
      <c r="R906" s="8"/>
      <c r="T906" s="10"/>
      <c r="X906" s="8"/>
    </row>
    <row r="907" ht="15.75" customHeight="1">
      <c r="A907" s="6"/>
      <c r="F907" s="8"/>
      <c r="G907" s="38"/>
      <c r="J907" s="8"/>
      <c r="L907" s="8"/>
      <c r="N907" s="8"/>
      <c r="P907" s="8"/>
      <c r="R907" s="8"/>
      <c r="T907" s="10"/>
      <c r="X907" s="8"/>
    </row>
    <row r="908" ht="15.75" customHeight="1">
      <c r="A908" s="6"/>
      <c r="F908" s="8"/>
      <c r="G908" s="38"/>
      <c r="J908" s="8"/>
      <c r="L908" s="8"/>
      <c r="N908" s="8"/>
      <c r="P908" s="8"/>
      <c r="R908" s="8"/>
      <c r="T908" s="10"/>
      <c r="X908" s="8"/>
    </row>
    <row r="909" ht="15.75" customHeight="1">
      <c r="A909" s="6"/>
      <c r="F909" s="8"/>
      <c r="G909" s="38"/>
      <c r="J909" s="8"/>
      <c r="L909" s="8"/>
      <c r="N909" s="8"/>
      <c r="P909" s="8"/>
      <c r="R909" s="8"/>
      <c r="T909" s="10"/>
      <c r="X909" s="8"/>
    </row>
    <row r="910" ht="15.75" customHeight="1">
      <c r="A910" s="6"/>
      <c r="F910" s="8"/>
      <c r="G910" s="38"/>
      <c r="J910" s="8"/>
      <c r="L910" s="8"/>
      <c r="N910" s="8"/>
      <c r="P910" s="8"/>
      <c r="R910" s="8"/>
      <c r="T910" s="10"/>
      <c r="X910" s="8"/>
    </row>
    <row r="911" ht="15.75" customHeight="1">
      <c r="A911" s="6"/>
      <c r="F911" s="8"/>
      <c r="G911" s="38"/>
      <c r="J911" s="8"/>
      <c r="L911" s="8"/>
      <c r="N911" s="8"/>
      <c r="P911" s="8"/>
      <c r="R911" s="8"/>
      <c r="T911" s="10"/>
      <c r="X911" s="8"/>
    </row>
    <row r="912" ht="15.75" customHeight="1">
      <c r="A912" s="6"/>
      <c r="F912" s="8"/>
      <c r="G912" s="38"/>
      <c r="J912" s="8"/>
      <c r="L912" s="8"/>
      <c r="N912" s="8"/>
      <c r="P912" s="8"/>
      <c r="R912" s="8"/>
      <c r="T912" s="10"/>
      <c r="X912" s="8"/>
    </row>
    <row r="913" ht="15.75" customHeight="1">
      <c r="A913" s="6"/>
      <c r="F913" s="8"/>
      <c r="G913" s="38"/>
      <c r="J913" s="8"/>
      <c r="L913" s="8"/>
      <c r="N913" s="8"/>
      <c r="P913" s="8"/>
      <c r="R913" s="8"/>
      <c r="T913" s="10"/>
      <c r="X913" s="8"/>
    </row>
    <row r="914" ht="15.75" customHeight="1">
      <c r="A914" s="6"/>
      <c r="F914" s="8"/>
      <c r="G914" s="38"/>
      <c r="J914" s="8"/>
      <c r="L914" s="8"/>
      <c r="N914" s="8"/>
      <c r="P914" s="8"/>
      <c r="R914" s="8"/>
      <c r="T914" s="10"/>
      <c r="X914" s="8"/>
    </row>
    <row r="915" ht="15.75" customHeight="1">
      <c r="A915" s="6"/>
      <c r="F915" s="8"/>
      <c r="G915" s="38"/>
      <c r="J915" s="8"/>
      <c r="L915" s="8"/>
      <c r="N915" s="8"/>
      <c r="P915" s="8"/>
      <c r="R915" s="8"/>
      <c r="T915" s="10"/>
      <c r="X915" s="8"/>
    </row>
    <row r="916" ht="15.75" customHeight="1">
      <c r="A916" s="6"/>
      <c r="F916" s="8"/>
      <c r="G916" s="38"/>
      <c r="J916" s="8"/>
      <c r="L916" s="8"/>
      <c r="N916" s="8"/>
      <c r="P916" s="8"/>
      <c r="R916" s="8"/>
      <c r="T916" s="10"/>
      <c r="X916" s="8"/>
    </row>
    <row r="917" ht="15.75" customHeight="1">
      <c r="A917" s="6"/>
      <c r="F917" s="8"/>
      <c r="G917" s="38"/>
      <c r="J917" s="8"/>
      <c r="L917" s="8"/>
      <c r="N917" s="8"/>
      <c r="P917" s="8"/>
      <c r="R917" s="8"/>
      <c r="T917" s="10"/>
      <c r="X917" s="8"/>
    </row>
    <row r="918" ht="15.75" customHeight="1">
      <c r="A918" s="6"/>
      <c r="F918" s="8"/>
      <c r="G918" s="38"/>
      <c r="J918" s="8"/>
      <c r="L918" s="8"/>
      <c r="N918" s="8"/>
      <c r="P918" s="8"/>
      <c r="R918" s="8"/>
      <c r="T918" s="10"/>
      <c r="X918" s="8"/>
    </row>
    <row r="919" ht="15.75" customHeight="1">
      <c r="A919" s="6"/>
      <c r="F919" s="8"/>
      <c r="G919" s="38"/>
      <c r="J919" s="8"/>
      <c r="L919" s="8"/>
      <c r="N919" s="8"/>
      <c r="P919" s="8"/>
      <c r="R919" s="8"/>
      <c r="T919" s="10"/>
      <c r="X919" s="8"/>
    </row>
    <row r="920" ht="15.75" customHeight="1">
      <c r="A920" s="6"/>
      <c r="F920" s="8"/>
      <c r="G920" s="38"/>
      <c r="J920" s="8"/>
      <c r="L920" s="8"/>
      <c r="N920" s="8"/>
      <c r="P920" s="8"/>
      <c r="R920" s="8"/>
      <c r="T920" s="10"/>
      <c r="X920" s="8"/>
    </row>
    <row r="921" ht="15.75" customHeight="1">
      <c r="A921" s="6"/>
      <c r="F921" s="8"/>
      <c r="G921" s="38"/>
      <c r="J921" s="8"/>
      <c r="L921" s="8"/>
      <c r="N921" s="8"/>
      <c r="P921" s="8"/>
      <c r="R921" s="8"/>
      <c r="T921" s="10"/>
      <c r="X921" s="8"/>
    </row>
    <row r="922" ht="15.75" customHeight="1">
      <c r="A922" s="6"/>
      <c r="F922" s="8"/>
      <c r="G922" s="38"/>
      <c r="J922" s="8"/>
      <c r="L922" s="8"/>
      <c r="N922" s="8"/>
      <c r="P922" s="8"/>
      <c r="R922" s="8"/>
      <c r="T922" s="10"/>
      <c r="X922" s="8"/>
    </row>
    <row r="923" ht="15.75" customHeight="1">
      <c r="A923" s="6"/>
      <c r="F923" s="8"/>
      <c r="G923" s="38"/>
      <c r="J923" s="8"/>
      <c r="L923" s="8"/>
      <c r="N923" s="8"/>
      <c r="P923" s="8"/>
      <c r="R923" s="8"/>
      <c r="T923" s="10"/>
      <c r="X923" s="8"/>
    </row>
    <row r="924" ht="15.75" customHeight="1">
      <c r="A924" s="6"/>
      <c r="F924" s="8"/>
      <c r="G924" s="38"/>
      <c r="J924" s="8"/>
      <c r="L924" s="8"/>
      <c r="N924" s="8"/>
      <c r="P924" s="8"/>
      <c r="R924" s="8"/>
      <c r="T924" s="10"/>
      <c r="X924" s="8"/>
    </row>
    <row r="925" ht="15.75" customHeight="1">
      <c r="A925" s="6"/>
      <c r="F925" s="8"/>
      <c r="G925" s="38"/>
      <c r="J925" s="8"/>
      <c r="L925" s="8"/>
      <c r="N925" s="8"/>
      <c r="P925" s="8"/>
      <c r="R925" s="8"/>
      <c r="T925" s="10"/>
      <c r="X925" s="8"/>
    </row>
    <row r="926" ht="15.75" customHeight="1">
      <c r="A926" s="6"/>
      <c r="F926" s="8"/>
      <c r="G926" s="38"/>
      <c r="J926" s="8"/>
      <c r="L926" s="8"/>
      <c r="N926" s="8"/>
      <c r="P926" s="8"/>
      <c r="R926" s="8"/>
      <c r="T926" s="10"/>
      <c r="X926" s="8"/>
    </row>
    <row r="927" ht="15.75" customHeight="1">
      <c r="A927" s="6"/>
      <c r="F927" s="8"/>
      <c r="G927" s="38"/>
      <c r="J927" s="8"/>
      <c r="L927" s="8"/>
      <c r="N927" s="8"/>
      <c r="P927" s="8"/>
      <c r="R927" s="8"/>
      <c r="T927" s="10"/>
      <c r="X927" s="8"/>
    </row>
    <row r="928" ht="15.75" customHeight="1">
      <c r="A928" s="6"/>
      <c r="F928" s="8"/>
      <c r="G928" s="38"/>
      <c r="J928" s="8"/>
      <c r="L928" s="8"/>
      <c r="N928" s="8"/>
      <c r="P928" s="8"/>
      <c r="R928" s="8"/>
      <c r="T928" s="10"/>
      <c r="X928" s="8"/>
    </row>
    <row r="929" ht="15.75" customHeight="1">
      <c r="A929" s="6"/>
      <c r="F929" s="8"/>
      <c r="G929" s="38"/>
      <c r="J929" s="8"/>
      <c r="L929" s="8"/>
      <c r="N929" s="8"/>
      <c r="P929" s="8"/>
      <c r="R929" s="8"/>
      <c r="T929" s="10"/>
      <c r="X929" s="8"/>
    </row>
    <row r="930" ht="15.75" customHeight="1">
      <c r="A930" s="6"/>
      <c r="F930" s="8"/>
      <c r="G930" s="38"/>
      <c r="J930" s="8"/>
      <c r="L930" s="8"/>
      <c r="N930" s="8"/>
      <c r="P930" s="8"/>
      <c r="R930" s="8"/>
      <c r="T930" s="10"/>
      <c r="X930" s="8"/>
    </row>
    <row r="931" ht="15.75" customHeight="1">
      <c r="A931" s="6"/>
      <c r="F931" s="8"/>
      <c r="G931" s="38"/>
      <c r="J931" s="8"/>
      <c r="L931" s="8"/>
      <c r="N931" s="8"/>
      <c r="P931" s="8"/>
      <c r="R931" s="8"/>
      <c r="T931" s="10"/>
      <c r="X931" s="8"/>
    </row>
    <row r="932" ht="15.75" customHeight="1">
      <c r="A932" s="6"/>
      <c r="F932" s="8"/>
      <c r="G932" s="38"/>
      <c r="J932" s="8"/>
      <c r="L932" s="8"/>
      <c r="N932" s="8"/>
      <c r="P932" s="8"/>
      <c r="R932" s="8"/>
      <c r="T932" s="10"/>
      <c r="X932" s="8"/>
    </row>
    <row r="933" ht="15.75" customHeight="1">
      <c r="A933" s="6"/>
      <c r="F933" s="8"/>
      <c r="G933" s="38"/>
      <c r="J933" s="8"/>
      <c r="L933" s="8"/>
      <c r="N933" s="8"/>
      <c r="P933" s="8"/>
      <c r="R933" s="8"/>
      <c r="T933" s="10"/>
      <c r="X933" s="8"/>
    </row>
    <row r="934" ht="15.75" customHeight="1">
      <c r="A934" s="6"/>
      <c r="F934" s="8"/>
      <c r="G934" s="38"/>
      <c r="J934" s="8"/>
      <c r="L934" s="8"/>
      <c r="N934" s="8"/>
      <c r="P934" s="8"/>
      <c r="R934" s="8"/>
      <c r="T934" s="10"/>
      <c r="X934" s="8"/>
    </row>
    <row r="935" ht="15.75" customHeight="1">
      <c r="A935" s="6"/>
      <c r="F935" s="8"/>
      <c r="G935" s="38"/>
      <c r="J935" s="8"/>
      <c r="L935" s="8"/>
      <c r="N935" s="8"/>
      <c r="P935" s="8"/>
      <c r="R935" s="8"/>
      <c r="T935" s="10"/>
      <c r="X935" s="8"/>
    </row>
    <row r="936" ht="15.75" customHeight="1">
      <c r="A936" s="6"/>
      <c r="F936" s="8"/>
      <c r="G936" s="38"/>
      <c r="J936" s="8"/>
      <c r="L936" s="8"/>
      <c r="N936" s="8"/>
      <c r="P936" s="8"/>
      <c r="R936" s="8"/>
      <c r="T936" s="10"/>
      <c r="X936" s="8"/>
    </row>
    <row r="937" ht="15.75" customHeight="1">
      <c r="A937" s="6"/>
      <c r="F937" s="8"/>
      <c r="G937" s="38"/>
      <c r="J937" s="8"/>
      <c r="L937" s="8"/>
      <c r="N937" s="8"/>
      <c r="P937" s="8"/>
      <c r="R937" s="8"/>
      <c r="T937" s="10"/>
      <c r="X937" s="8"/>
    </row>
    <row r="938" ht="15.75" customHeight="1">
      <c r="A938" s="6"/>
      <c r="F938" s="8"/>
      <c r="G938" s="38"/>
      <c r="J938" s="8"/>
      <c r="L938" s="8"/>
      <c r="N938" s="8"/>
      <c r="P938" s="8"/>
      <c r="R938" s="8"/>
      <c r="T938" s="10"/>
      <c r="X938" s="8"/>
    </row>
    <row r="939" ht="15.75" customHeight="1">
      <c r="A939" s="6"/>
      <c r="F939" s="8"/>
      <c r="G939" s="38"/>
      <c r="J939" s="8"/>
      <c r="L939" s="8"/>
      <c r="N939" s="8"/>
      <c r="P939" s="8"/>
      <c r="R939" s="8"/>
      <c r="T939" s="10"/>
      <c r="X939" s="8"/>
    </row>
    <row r="940" ht="15.75" customHeight="1">
      <c r="A940" s="6"/>
      <c r="F940" s="8"/>
      <c r="G940" s="38"/>
      <c r="J940" s="8"/>
      <c r="L940" s="8"/>
      <c r="N940" s="8"/>
      <c r="P940" s="8"/>
      <c r="R940" s="8"/>
      <c r="T940" s="10"/>
      <c r="X940" s="8"/>
    </row>
    <row r="941" ht="15.75" customHeight="1">
      <c r="A941" s="6"/>
      <c r="F941" s="8"/>
      <c r="G941" s="38"/>
      <c r="J941" s="8"/>
      <c r="L941" s="8"/>
      <c r="N941" s="8"/>
      <c r="P941" s="8"/>
      <c r="R941" s="8"/>
      <c r="T941" s="10"/>
      <c r="X941" s="8"/>
    </row>
    <row r="942" ht="15.75" customHeight="1">
      <c r="A942" s="6"/>
      <c r="F942" s="8"/>
      <c r="G942" s="38"/>
      <c r="J942" s="8"/>
      <c r="L942" s="8"/>
      <c r="N942" s="8"/>
      <c r="P942" s="8"/>
      <c r="R942" s="8"/>
      <c r="T942" s="10"/>
      <c r="X942" s="8"/>
    </row>
    <row r="943" ht="15.75" customHeight="1">
      <c r="A943" s="6"/>
      <c r="F943" s="8"/>
      <c r="G943" s="38"/>
      <c r="J943" s="8"/>
      <c r="L943" s="8"/>
      <c r="N943" s="8"/>
      <c r="P943" s="8"/>
      <c r="R943" s="8"/>
      <c r="T943" s="10"/>
      <c r="X943" s="8"/>
    </row>
    <row r="944" ht="15.75" customHeight="1">
      <c r="A944" s="6"/>
      <c r="F944" s="8"/>
      <c r="G944" s="38"/>
      <c r="J944" s="8"/>
      <c r="L944" s="8"/>
      <c r="N944" s="8"/>
      <c r="P944" s="8"/>
      <c r="R944" s="8"/>
      <c r="T944" s="10"/>
      <c r="X944" s="8"/>
    </row>
    <row r="945" ht="15.75" customHeight="1">
      <c r="A945" s="6"/>
      <c r="F945" s="8"/>
      <c r="G945" s="38"/>
      <c r="J945" s="8"/>
      <c r="L945" s="8"/>
      <c r="N945" s="8"/>
      <c r="P945" s="8"/>
      <c r="R945" s="8"/>
      <c r="T945" s="10"/>
      <c r="X945" s="8"/>
    </row>
    <row r="946" ht="15.75" customHeight="1">
      <c r="A946" s="6"/>
      <c r="F946" s="8"/>
      <c r="G946" s="38"/>
      <c r="J946" s="8"/>
      <c r="L946" s="8"/>
      <c r="N946" s="8"/>
      <c r="P946" s="8"/>
      <c r="R946" s="8"/>
      <c r="T946" s="10"/>
      <c r="X946" s="8"/>
    </row>
    <row r="947" ht="15.75" customHeight="1">
      <c r="A947" s="6"/>
      <c r="F947" s="8"/>
      <c r="G947" s="38"/>
      <c r="J947" s="8"/>
      <c r="L947" s="8"/>
      <c r="N947" s="8"/>
      <c r="P947" s="8"/>
      <c r="R947" s="8"/>
      <c r="T947" s="10"/>
      <c r="X947" s="8"/>
    </row>
    <row r="948" ht="15.75" customHeight="1">
      <c r="A948" s="6"/>
      <c r="F948" s="8"/>
      <c r="G948" s="38"/>
      <c r="J948" s="8"/>
      <c r="L948" s="8"/>
      <c r="N948" s="8"/>
      <c r="P948" s="8"/>
      <c r="R948" s="8"/>
      <c r="T948" s="10"/>
      <c r="X948" s="8"/>
    </row>
    <row r="949" ht="15.75" customHeight="1">
      <c r="A949" s="6"/>
      <c r="F949" s="8"/>
      <c r="G949" s="38"/>
      <c r="J949" s="8"/>
      <c r="L949" s="8"/>
      <c r="N949" s="8"/>
      <c r="P949" s="8"/>
      <c r="R949" s="8"/>
      <c r="T949" s="10"/>
      <c r="X949" s="8"/>
    </row>
    <row r="950" ht="15.75" customHeight="1">
      <c r="A950" s="6"/>
      <c r="F950" s="8"/>
      <c r="G950" s="38"/>
      <c r="J950" s="8"/>
      <c r="L950" s="8"/>
      <c r="N950" s="8"/>
      <c r="P950" s="8"/>
      <c r="R950" s="8"/>
      <c r="T950" s="10"/>
      <c r="X950" s="8"/>
    </row>
    <row r="951" ht="15.75" customHeight="1">
      <c r="A951" s="6"/>
      <c r="F951" s="8"/>
      <c r="G951" s="38"/>
      <c r="J951" s="8"/>
      <c r="L951" s="8"/>
      <c r="N951" s="8"/>
      <c r="P951" s="8"/>
      <c r="R951" s="8"/>
      <c r="T951" s="10"/>
      <c r="X951" s="8"/>
    </row>
    <row r="952" ht="15.75" customHeight="1">
      <c r="A952" s="6"/>
      <c r="F952" s="8"/>
      <c r="G952" s="38"/>
      <c r="J952" s="8"/>
      <c r="L952" s="8"/>
      <c r="N952" s="8"/>
      <c r="P952" s="8"/>
      <c r="R952" s="8"/>
      <c r="T952" s="10"/>
      <c r="X952" s="8"/>
    </row>
    <row r="953" ht="15.75" customHeight="1">
      <c r="A953" s="6"/>
      <c r="F953" s="8"/>
      <c r="G953" s="38"/>
      <c r="J953" s="8"/>
      <c r="L953" s="8"/>
      <c r="N953" s="8"/>
      <c r="P953" s="8"/>
      <c r="R953" s="8"/>
      <c r="T953" s="10"/>
      <c r="X953" s="8"/>
    </row>
    <row r="954" ht="15.75" customHeight="1">
      <c r="A954" s="6"/>
      <c r="F954" s="8"/>
      <c r="G954" s="38"/>
      <c r="J954" s="8"/>
      <c r="L954" s="8"/>
      <c r="N954" s="8"/>
      <c r="P954" s="8"/>
      <c r="R954" s="8"/>
      <c r="T954" s="10"/>
      <c r="X954" s="8"/>
    </row>
    <row r="955" ht="15.75" customHeight="1">
      <c r="A955" s="6"/>
      <c r="F955" s="8"/>
      <c r="G955" s="38"/>
      <c r="J955" s="8"/>
      <c r="L955" s="8"/>
      <c r="N955" s="8"/>
      <c r="P955" s="8"/>
      <c r="R955" s="8"/>
      <c r="T955" s="10"/>
      <c r="X955" s="8"/>
    </row>
    <row r="956" ht="15.75" customHeight="1">
      <c r="A956" s="6"/>
      <c r="F956" s="8"/>
      <c r="G956" s="38"/>
      <c r="J956" s="8"/>
      <c r="L956" s="8"/>
      <c r="N956" s="8"/>
      <c r="P956" s="8"/>
      <c r="R956" s="8"/>
      <c r="T956" s="10"/>
      <c r="X956" s="8"/>
    </row>
    <row r="957" ht="15.75" customHeight="1">
      <c r="A957" s="6"/>
      <c r="F957" s="8"/>
      <c r="G957" s="38"/>
      <c r="J957" s="8"/>
      <c r="L957" s="8"/>
      <c r="N957" s="8"/>
      <c r="P957" s="8"/>
      <c r="R957" s="8"/>
      <c r="T957" s="10"/>
      <c r="X957" s="8"/>
    </row>
    <row r="958" ht="15.75" customHeight="1">
      <c r="A958" s="6"/>
      <c r="F958" s="8"/>
      <c r="G958" s="38"/>
      <c r="J958" s="8"/>
      <c r="L958" s="8"/>
      <c r="N958" s="8"/>
      <c r="P958" s="8"/>
      <c r="R958" s="8"/>
      <c r="T958" s="10"/>
      <c r="X958" s="8"/>
    </row>
    <row r="959" ht="15.75" customHeight="1">
      <c r="A959" s="6"/>
      <c r="F959" s="8"/>
      <c r="G959" s="38"/>
      <c r="J959" s="8"/>
      <c r="L959" s="8"/>
      <c r="N959" s="8"/>
      <c r="P959" s="8"/>
      <c r="R959" s="8"/>
      <c r="T959" s="10"/>
      <c r="X959" s="8"/>
    </row>
    <row r="960" ht="15.75" customHeight="1">
      <c r="A960" s="6"/>
      <c r="F960" s="8"/>
      <c r="G960" s="38"/>
      <c r="J960" s="8"/>
      <c r="L960" s="8"/>
      <c r="N960" s="8"/>
      <c r="P960" s="8"/>
      <c r="R960" s="8"/>
      <c r="T960" s="10"/>
      <c r="X960" s="8"/>
    </row>
    <row r="961" ht="15.75" customHeight="1">
      <c r="A961" s="6"/>
      <c r="F961" s="8"/>
      <c r="G961" s="38"/>
      <c r="J961" s="8"/>
      <c r="L961" s="8"/>
      <c r="N961" s="8"/>
      <c r="P961" s="8"/>
      <c r="R961" s="8"/>
      <c r="T961" s="10"/>
      <c r="X961" s="8"/>
    </row>
    <row r="962" ht="15.75" customHeight="1">
      <c r="A962" s="6"/>
      <c r="F962" s="8"/>
      <c r="G962" s="38"/>
      <c r="J962" s="8"/>
      <c r="L962" s="8"/>
      <c r="N962" s="8"/>
      <c r="P962" s="8"/>
      <c r="R962" s="8"/>
      <c r="T962" s="10"/>
      <c r="X962" s="8"/>
    </row>
    <row r="963" ht="15.75" customHeight="1">
      <c r="A963" s="6"/>
      <c r="F963" s="8"/>
      <c r="G963" s="38"/>
      <c r="J963" s="8"/>
      <c r="L963" s="8"/>
      <c r="N963" s="8"/>
      <c r="P963" s="8"/>
      <c r="R963" s="8"/>
      <c r="T963" s="10"/>
      <c r="X963" s="8"/>
    </row>
    <row r="964" ht="15.75" customHeight="1">
      <c r="A964" s="6"/>
      <c r="F964" s="8"/>
      <c r="G964" s="38"/>
      <c r="J964" s="8"/>
      <c r="L964" s="8"/>
      <c r="N964" s="8"/>
      <c r="P964" s="8"/>
      <c r="R964" s="8"/>
      <c r="T964" s="10"/>
      <c r="X964" s="8"/>
    </row>
    <row r="965" ht="15.75" customHeight="1">
      <c r="A965" s="6"/>
      <c r="F965" s="8"/>
      <c r="G965" s="38"/>
      <c r="J965" s="8"/>
      <c r="L965" s="8"/>
      <c r="N965" s="8"/>
      <c r="P965" s="8"/>
      <c r="R965" s="8"/>
      <c r="T965" s="10"/>
      <c r="X965" s="8"/>
    </row>
    <row r="966" ht="15.75" customHeight="1">
      <c r="A966" s="6"/>
      <c r="F966" s="8"/>
      <c r="G966" s="38"/>
      <c r="J966" s="8"/>
      <c r="L966" s="8"/>
      <c r="N966" s="8"/>
      <c r="P966" s="8"/>
      <c r="R966" s="8"/>
      <c r="T966" s="10"/>
      <c r="X966" s="8"/>
    </row>
    <row r="967" ht="15.75" customHeight="1">
      <c r="A967" s="6"/>
      <c r="F967" s="8"/>
      <c r="G967" s="38"/>
      <c r="J967" s="8"/>
      <c r="L967" s="8"/>
      <c r="N967" s="8"/>
      <c r="P967" s="8"/>
      <c r="R967" s="8"/>
      <c r="T967" s="10"/>
      <c r="X967" s="8"/>
    </row>
    <row r="968" ht="15.75" customHeight="1">
      <c r="A968" s="6"/>
      <c r="F968" s="8"/>
      <c r="G968" s="38"/>
      <c r="J968" s="8"/>
      <c r="L968" s="8"/>
      <c r="N968" s="8"/>
      <c r="P968" s="8"/>
      <c r="R968" s="8"/>
      <c r="T968" s="10"/>
      <c r="X968" s="8"/>
    </row>
    <row r="969" ht="15.75" customHeight="1">
      <c r="A969" s="6"/>
      <c r="F969" s="8"/>
      <c r="G969" s="38"/>
      <c r="J969" s="8"/>
      <c r="L969" s="8"/>
      <c r="N969" s="8"/>
      <c r="P969" s="8"/>
      <c r="R969" s="8"/>
      <c r="T969" s="10"/>
      <c r="X969" s="8"/>
    </row>
    <row r="970" ht="15.75" customHeight="1">
      <c r="A970" s="6"/>
      <c r="F970" s="8"/>
      <c r="G970" s="38"/>
      <c r="J970" s="8"/>
      <c r="L970" s="8"/>
      <c r="N970" s="8"/>
      <c r="P970" s="8"/>
      <c r="R970" s="8"/>
      <c r="T970" s="10"/>
      <c r="X970" s="8"/>
    </row>
    <row r="971" ht="15.75" customHeight="1">
      <c r="A971" s="6"/>
      <c r="F971" s="8"/>
      <c r="G971" s="38"/>
      <c r="J971" s="8"/>
      <c r="L971" s="8"/>
      <c r="N971" s="8"/>
      <c r="P971" s="8"/>
      <c r="R971" s="8"/>
      <c r="T971" s="10"/>
      <c r="X971" s="8"/>
    </row>
    <row r="972" ht="15.75" customHeight="1">
      <c r="A972" s="6"/>
      <c r="F972" s="8"/>
      <c r="G972" s="38"/>
      <c r="J972" s="8"/>
      <c r="L972" s="8"/>
      <c r="N972" s="8"/>
      <c r="P972" s="8"/>
      <c r="R972" s="8"/>
      <c r="T972" s="10"/>
      <c r="X972" s="8"/>
    </row>
    <row r="973" ht="15.75" customHeight="1">
      <c r="A973" s="6"/>
      <c r="F973" s="8"/>
      <c r="G973" s="38"/>
      <c r="J973" s="8"/>
      <c r="L973" s="8"/>
      <c r="N973" s="8"/>
      <c r="P973" s="8"/>
      <c r="R973" s="8"/>
      <c r="T973" s="10"/>
      <c r="X973" s="8"/>
    </row>
    <row r="974" ht="15.75" customHeight="1">
      <c r="A974" s="6"/>
      <c r="F974" s="8"/>
      <c r="G974" s="38"/>
      <c r="J974" s="8"/>
      <c r="L974" s="8"/>
      <c r="N974" s="8"/>
      <c r="P974" s="8"/>
      <c r="R974" s="8"/>
      <c r="T974" s="10"/>
      <c r="X974" s="8"/>
    </row>
    <row r="975" ht="15.75" customHeight="1">
      <c r="A975" s="6"/>
      <c r="F975" s="8"/>
      <c r="G975" s="38"/>
      <c r="J975" s="8"/>
      <c r="L975" s="8"/>
      <c r="N975" s="8"/>
      <c r="P975" s="8"/>
      <c r="R975" s="8"/>
      <c r="T975" s="10"/>
      <c r="X975" s="8"/>
    </row>
    <row r="976" ht="15.75" customHeight="1">
      <c r="A976" s="6"/>
      <c r="F976" s="8"/>
      <c r="G976" s="38"/>
      <c r="J976" s="8"/>
      <c r="L976" s="8"/>
      <c r="N976" s="8"/>
      <c r="P976" s="8"/>
      <c r="R976" s="8"/>
      <c r="T976" s="10"/>
      <c r="X976" s="8"/>
    </row>
    <row r="977" ht="15.75" customHeight="1">
      <c r="A977" s="6"/>
      <c r="F977" s="8"/>
      <c r="G977" s="38"/>
      <c r="J977" s="8"/>
      <c r="L977" s="8"/>
      <c r="N977" s="8"/>
      <c r="P977" s="8"/>
      <c r="R977" s="8"/>
      <c r="T977" s="10"/>
      <c r="X977" s="8"/>
    </row>
    <row r="978" ht="15.75" customHeight="1">
      <c r="A978" s="6"/>
      <c r="F978" s="8"/>
      <c r="G978" s="38"/>
      <c r="J978" s="8"/>
      <c r="L978" s="8"/>
      <c r="N978" s="8"/>
      <c r="P978" s="8"/>
      <c r="R978" s="8"/>
      <c r="T978" s="10"/>
      <c r="X978" s="8"/>
    </row>
    <row r="979" ht="15.75" customHeight="1">
      <c r="A979" s="6"/>
      <c r="F979" s="8"/>
      <c r="G979" s="38"/>
      <c r="J979" s="8"/>
      <c r="L979" s="8"/>
      <c r="N979" s="8"/>
      <c r="P979" s="8"/>
      <c r="R979" s="8"/>
      <c r="T979" s="10"/>
      <c r="X979" s="8"/>
    </row>
    <row r="980" ht="15.75" customHeight="1">
      <c r="A980" s="6"/>
      <c r="F980" s="8"/>
      <c r="G980" s="38"/>
      <c r="J980" s="8"/>
      <c r="L980" s="8"/>
      <c r="N980" s="8"/>
      <c r="P980" s="8"/>
      <c r="R980" s="8"/>
      <c r="T980" s="10"/>
      <c r="X980" s="8"/>
    </row>
    <row r="981" ht="15.75" customHeight="1">
      <c r="A981" s="6"/>
      <c r="F981" s="8"/>
      <c r="G981" s="38"/>
      <c r="J981" s="8"/>
      <c r="L981" s="8"/>
      <c r="N981" s="8"/>
      <c r="P981" s="8"/>
      <c r="R981" s="8"/>
      <c r="T981" s="10"/>
      <c r="X981" s="8"/>
    </row>
    <row r="982" ht="15.75" customHeight="1">
      <c r="A982" s="6"/>
      <c r="F982" s="8"/>
      <c r="G982" s="38"/>
      <c r="J982" s="8"/>
      <c r="L982" s="8"/>
      <c r="N982" s="8"/>
      <c r="P982" s="8"/>
      <c r="R982" s="8"/>
      <c r="T982" s="10"/>
      <c r="X982" s="8"/>
    </row>
    <row r="983" ht="15.75" customHeight="1">
      <c r="A983" s="6"/>
      <c r="F983" s="8"/>
      <c r="G983" s="38"/>
      <c r="J983" s="8"/>
      <c r="L983" s="8"/>
      <c r="N983" s="8"/>
      <c r="P983" s="8"/>
      <c r="R983" s="8"/>
      <c r="T983" s="10"/>
      <c r="X983" s="8"/>
    </row>
    <row r="984" ht="15.75" customHeight="1">
      <c r="A984" s="6"/>
      <c r="F984" s="8"/>
      <c r="G984" s="38"/>
      <c r="J984" s="8"/>
      <c r="L984" s="8"/>
      <c r="N984" s="8"/>
      <c r="P984" s="8"/>
      <c r="R984" s="8"/>
      <c r="T984" s="10"/>
      <c r="X984" s="8"/>
    </row>
    <row r="985" ht="15.75" customHeight="1">
      <c r="A985" s="6"/>
      <c r="F985" s="8"/>
      <c r="G985" s="38"/>
      <c r="J985" s="8"/>
      <c r="L985" s="8"/>
      <c r="N985" s="8"/>
      <c r="P985" s="8"/>
      <c r="R985" s="8"/>
      <c r="T985" s="10"/>
      <c r="X985" s="8"/>
    </row>
    <row r="986" ht="15.75" customHeight="1">
      <c r="A986" s="6"/>
      <c r="F986" s="8"/>
      <c r="G986" s="38"/>
      <c r="J986" s="8"/>
      <c r="L986" s="8"/>
      <c r="N986" s="8"/>
      <c r="P986" s="8"/>
      <c r="R986" s="8"/>
      <c r="T986" s="10"/>
      <c r="X986" s="8"/>
    </row>
    <row r="987" ht="15.75" customHeight="1">
      <c r="A987" s="6"/>
      <c r="F987" s="8"/>
      <c r="G987" s="38"/>
      <c r="J987" s="8"/>
      <c r="L987" s="8"/>
      <c r="N987" s="8"/>
      <c r="P987" s="8"/>
      <c r="R987" s="8"/>
      <c r="T987" s="10"/>
      <c r="X987" s="8"/>
    </row>
    <row r="988" ht="15.75" customHeight="1">
      <c r="A988" s="6"/>
      <c r="F988" s="8"/>
      <c r="G988" s="38"/>
      <c r="J988" s="8"/>
      <c r="L988" s="8"/>
      <c r="N988" s="8"/>
      <c r="P988" s="8"/>
      <c r="R988" s="8"/>
      <c r="T988" s="10"/>
      <c r="X988" s="8"/>
    </row>
    <row r="989" ht="15.75" customHeight="1">
      <c r="A989" s="6"/>
      <c r="F989" s="8"/>
      <c r="G989" s="38"/>
      <c r="J989" s="8"/>
      <c r="L989" s="8"/>
      <c r="N989" s="8"/>
      <c r="P989" s="8"/>
      <c r="R989" s="8"/>
      <c r="T989" s="10"/>
      <c r="X989" s="8"/>
    </row>
    <row r="990" ht="15.75" customHeight="1">
      <c r="A990" s="6"/>
      <c r="F990" s="8"/>
      <c r="G990" s="38"/>
      <c r="J990" s="8"/>
      <c r="L990" s="8"/>
      <c r="N990" s="8"/>
      <c r="P990" s="8"/>
      <c r="R990" s="8"/>
      <c r="T990" s="10"/>
      <c r="X990" s="8"/>
    </row>
    <row r="991" ht="15.75" customHeight="1">
      <c r="A991" s="6"/>
      <c r="F991" s="8"/>
      <c r="G991" s="38"/>
      <c r="J991" s="8"/>
      <c r="L991" s="8"/>
      <c r="N991" s="8"/>
      <c r="P991" s="8"/>
      <c r="R991" s="8"/>
      <c r="T991" s="10"/>
      <c r="X991" s="8"/>
    </row>
    <row r="992" ht="15.75" customHeight="1">
      <c r="A992" s="6"/>
      <c r="F992" s="8"/>
      <c r="G992" s="38"/>
      <c r="J992" s="8"/>
      <c r="L992" s="8"/>
      <c r="N992" s="8"/>
      <c r="P992" s="8"/>
      <c r="R992" s="8"/>
      <c r="T992" s="10"/>
      <c r="X992" s="8"/>
    </row>
    <row r="993" ht="15.75" customHeight="1">
      <c r="A993" s="6"/>
      <c r="F993" s="8"/>
      <c r="G993" s="38"/>
      <c r="J993" s="8"/>
      <c r="L993" s="8"/>
      <c r="N993" s="8"/>
      <c r="P993" s="8"/>
      <c r="R993" s="8"/>
      <c r="T993" s="10"/>
      <c r="X993" s="8"/>
    </row>
    <row r="994" ht="15.75" customHeight="1">
      <c r="A994" s="6"/>
      <c r="F994" s="8"/>
      <c r="G994" s="38"/>
      <c r="J994" s="8"/>
      <c r="L994" s="8"/>
      <c r="N994" s="8"/>
      <c r="P994" s="8"/>
      <c r="R994" s="8"/>
      <c r="T994" s="10"/>
      <c r="X994" s="8"/>
    </row>
    <row r="995" ht="15.75" customHeight="1">
      <c r="A995" s="6"/>
      <c r="F995" s="8"/>
      <c r="G995" s="38"/>
      <c r="J995" s="8"/>
      <c r="L995" s="8"/>
      <c r="N995" s="8"/>
      <c r="P995" s="8"/>
      <c r="R995" s="8"/>
      <c r="T995" s="10"/>
      <c r="X995" s="8"/>
    </row>
    <row r="996" ht="15.75" customHeight="1">
      <c r="A996" s="6"/>
      <c r="F996" s="8"/>
      <c r="G996" s="38"/>
      <c r="J996" s="8"/>
      <c r="L996" s="8"/>
      <c r="N996" s="8"/>
      <c r="P996" s="8"/>
      <c r="R996" s="8"/>
      <c r="T996" s="10"/>
      <c r="X996" s="8"/>
    </row>
    <row r="997" ht="15.75" customHeight="1">
      <c r="A997" s="6"/>
      <c r="F997" s="8"/>
      <c r="G997" s="38"/>
      <c r="J997" s="8"/>
      <c r="L997" s="8"/>
      <c r="N997" s="8"/>
      <c r="P997" s="8"/>
      <c r="R997" s="8"/>
      <c r="T997" s="10"/>
      <c r="X997" s="8"/>
    </row>
    <row r="998" ht="15.75" customHeight="1">
      <c r="A998" s="6"/>
      <c r="F998" s="8"/>
      <c r="G998" s="38"/>
      <c r="J998" s="8"/>
      <c r="L998" s="8"/>
      <c r="N998" s="8"/>
      <c r="P998" s="8"/>
      <c r="R998" s="8"/>
      <c r="T998" s="10"/>
      <c r="X998" s="8"/>
    </row>
    <row r="999" ht="15.75" customHeight="1">
      <c r="A999" s="6"/>
      <c r="F999" s="8"/>
      <c r="G999" s="38"/>
      <c r="J999" s="8"/>
      <c r="L999" s="8"/>
      <c r="N999" s="8"/>
      <c r="P999" s="8"/>
      <c r="R999" s="8"/>
      <c r="T999" s="10"/>
      <c r="X999" s="8"/>
    </row>
    <row r="1000" ht="15.75" customHeight="1">
      <c r="A1000" s="6"/>
      <c r="F1000" s="8"/>
      <c r="G1000" s="38"/>
      <c r="J1000" s="8"/>
      <c r="L1000" s="8"/>
      <c r="N1000" s="8"/>
      <c r="P1000" s="8"/>
      <c r="R1000" s="8"/>
      <c r="T1000" s="10"/>
      <c r="X1000" s="8"/>
    </row>
    <row r="1001" ht="15.75" customHeight="1">
      <c r="A1001" s="6"/>
      <c r="F1001" s="8"/>
      <c r="G1001" s="38"/>
      <c r="J1001" s="8"/>
      <c r="L1001" s="8"/>
      <c r="N1001" s="8"/>
      <c r="P1001" s="8"/>
      <c r="R1001" s="8"/>
      <c r="T1001" s="10"/>
      <c r="X1001" s="8"/>
    </row>
    <row r="1002" ht="15.75" customHeight="1">
      <c r="A1002" s="6"/>
      <c r="F1002" s="8"/>
      <c r="G1002" s="38"/>
      <c r="J1002" s="8"/>
      <c r="L1002" s="8"/>
      <c r="N1002" s="8"/>
      <c r="P1002" s="8"/>
      <c r="R1002" s="8"/>
      <c r="T1002" s="10"/>
      <c r="X1002" s="8"/>
    </row>
    <row r="1003" ht="15.75" customHeight="1">
      <c r="A1003" s="6"/>
      <c r="F1003" s="8"/>
      <c r="G1003" s="38"/>
      <c r="J1003" s="8"/>
      <c r="L1003" s="8"/>
      <c r="N1003" s="8"/>
      <c r="P1003" s="8"/>
      <c r="R1003" s="8"/>
      <c r="T1003" s="10"/>
      <c r="X1003" s="8"/>
    </row>
    <row r="1004" ht="15.75" customHeight="1">
      <c r="A1004" s="6"/>
      <c r="F1004" s="8"/>
      <c r="G1004" s="38"/>
      <c r="J1004" s="8"/>
      <c r="L1004" s="8"/>
      <c r="N1004" s="8"/>
      <c r="P1004" s="8"/>
      <c r="R1004" s="8"/>
      <c r="T1004" s="10"/>
      <c r="X1004" s="8"/>
    </row>
    <row r="1005" ht="15.75" customHeight="1">
      <c r="A1005" s="6"/>
      <c r="F1005" s="8"/>
      <c r="G1005" s="38"/>
      <c r="J1005" s="8"/>
      <c r="L1005" s="8"/>
      <c r="N1005" s="8"/>
      <c r="P1005" s="8"/>
      <c r="R1005" s="8"/>
      <c r="T1005" s="10"/>
      <c r="X1005" s="8"/>
    </row>
    <row r="1006" ht="15.75" customHeight="1">
      <c r="A1006" s="6"/>
      <c r="F1006" s="8"/>
      <c r="G1006" s="38"/>
      <c r="J1006" s="8"/>
      <c r="L1006" s="8"/>
      <c r="N1006" s="8"/>
      <c r="P1006" s="8"/>
      <c r="R1006" s="8"/>
      <c r="T1006" s="10"/>
      <c r="X1006" s="8"/>
    </row>
    <row r="1007" ht="15.75" customHeight="1">
      <c r="A1007" s="6"/>
      <c r="F1007" s="8"/>
      <c r="G1007" s="38"/>
      <c r="J1007" s="8"/>
      <c r="L1007" s="8"/>
      <c r="N1007" s="8"/>
      <c r="P1007" s="8"/>
      <c r="R1007" s="8"/>
      <c r="T1007" s="10"/>
      <c r="X1007" s="8"/>
    </row>
    <row r="1008" ht="15.75" customHeight="1">
      <c r="A1008" s="6"/>
      <c r="F1008" s="8"/>
      <c r="G1008" s="38"/>
      <c r="J1008" s="8"/>
      <c r="L1008" s="8"/>
      <c r="N1008" s="8"/>
      <c r="P1008" s="8"/>
      <c r="R1008" s="8"/>
      <c r="T1008" s="10"/>
      <c r="X1008" s="8"/>
    </row>
    <row r="1009" ht="15.75" customHeight="1">
      <c r="A1009" s="6"/>
      <c r="F1009" s="8"/>
      <c r="G1009" s="38"/>
      <c r="J1009" s="8"/>
      <c r="L1009" s="8"/>
      <c r="N1009" s="8"/>
      <c r="P1009" s="8"/>
      <c r="R1009" s="8"/>
      <c r="T1009" s="10"/>
      <c r="X1009" s="8"/>
    </row>
    <row r="1010" ht="15.75" customHeight="1">
      <c r="A1010" s="6"/>
      <c r="F1010" s="8"/>
      <c r="G1010" s="38"/>
      <c r="J1010" s="8"/>
      <c r="L1010" s="8"/>
      <c r="N1010" s="8"/>
      <c r="P1010" s="8"/>
      <c r="R1010" s="8"/>
      <c r="T1010" s="10"/>
      <c r="X1010" s="8"/>
    </row>
    <row r="1011" ht="15.75" customHeight="1">
      <c r="A1011" s="6"/>
      <c r="F1011" s="8"/>
      <c r="G1011" s="38"/>
      <c r="J1011" s="8"/>
      <c r="L1011" s="8"/>
      <c r="N1011" s="8"/>
      <c r="P1011" s="8"/>
      <c r="R1011" s="8"/>
      <c r="T1011" s="10"/>
      <c r="X1011" s="8"/>
    </row>
    <row r="1012" ht="15.75" customHeight="1">
      <c r="A1012" s="6"/>
      <c r="F1012" s="8"/>
      <c r="G1012" s="38"/>
      <c r="J1012" s="8"/>
      <c r="L1012" s="8"/>
      <c r="N1012" s="8"/>
      <c r="P1012" s="8"/>
      <c r="R1012" s="8"/>
      <c r="T1012" s="10"/>
      <c r="X1012" s="8"/>
    </row>
    <row r="1013" ht="15.75" customHeight="1">
      <c r="A1013" s="6"/>
      <c r="F1013" s="8"/>
      <c r="G1013" s="38"/>
      <c r="J1013" s="8"/>
      <c r="L1013" s="8"/>
      <c r="N1013" s="8"/>
      <c r="P1013" s="8"/>
      <c r="R1013" s="8"/>
      <c r="T1013" s="10"/>
      <c r="X1013" s="8"/>
    </row>
    <row r="1014" ht="15.75" customHeight="1">
      <c r="A1014" s="6"/>
      <c r="F1014" s="8"/>
      <c r="G1014" s="38"/>
      <c r="J1014" s="8"/>
      <c r="L1014" s="8"/>
      <c r="N1014" s="8"/>
      <c r="P1014" s="8"/>
      <c r="R1014" s="8"/>
      <c r="T1014" s="10"/>
      <c r="X1014" s="8"/>
    </row>
    <row r="1015" ht="15.75" customHeight="1">
      <c r="A1015" s="6"/>
      <c r="F1015" s="8"/>
      <c r="G1015" s="38"/>
      <c r="J1015" s="8"/>
      <c r="L1015" s="8"/>
      <c r="N1015" s="8"/>
      <c r="P1015" s="8"/>
      <c r="R1015" s="8"/>
      <c r="T1015" s="10"/>
      <c r="X1015" s="8"/>
    </row>
    <row r="1016" ht="15.75" customHeight="1">
      <c r="A1016" s="6"/>
      <c r="F1016" s="8"/>
      <c r="G1016" s="38"/>
      <c r="J1016" s="8"/>
      <c r="L1016" s="8"/>
      <c r="N1016" s="8"/>
      <c r="P1016" s="8"/>
      <c r="R1016" s="8"/>
      <c r="T1016" s="10"/>
      <c r="X1016" s="8"/>
    </row>
    <row r="1017" ht="15.75" customHeight="1">
      <c r="A1017" s="6"/>
      <c r="F1017" s="8"/>
      <c r="G1017" s="38"/>
      <c r="J1017" s="8"/>
      <c r="L1017" s="8"/>
      <c r="N1017" s="8"/>
      <c r="P1017" s="8"/>
      <c r="R1017" s="8"/>
      <c r="T1017" s="10"/>
      <c r="X1017" s="8"/>
    </row>
    <row r="1018" ht="15.75" customHeight="1">
      <c r="A1018" s="6"/>
      <c r="F1018" s="8"/>
      <c r="G1018" s="38"/>
      <c r="J1018" s="8"/>
      <c r="L1018" s="8"/>
      <c r="N1018" s="8"/>
      <c r="P1018" s="8"/>
      <c r="R1018" s="8"/>
      <c r="T1018" s="10"/>
      <c r="X1018" s="8"/>
    </row>
    <row r="1019" ht="15.75" customHeight="1">
      <c r="A1019" s="6"/>
      <c r="F1019" s="8"/>
      <c r="G1019" s="38"/>
      <c r="J1019" s="8"/>
      <c r="L1019" s="8"/>
      <c r="N1019" s="8"/>
      <c r="P1019" s="8"/>
      <c r="R1019" s="8"/>
      <c r="T1019" s="10"/>
      <c r="X1019" s="8"/>
    </row>
    <row r="1020" ht="15.75" customHeight="1">
      <c r="A1020" s="6"/>
      <c r="F1020" s="8"/>
      <c r="G1020" s="38"/>
      <c r="J1020" s="8"/>
      <c r="L1020" s="8"/>
      <c r="N1020" s="8"/>
      <c r="P1020" s="8"/>
      <c r="R1020" s="8"/>
      <c r="T1020" s="10"/>
      <c r="X1020" s="8"/>
    </row>
    <row r="1021" ht="15.75" customHeight="1">
      <c r="A1021" s="6"/>
      <c r="F1021" s="8"/>
      <c r="G1021" s="38"/>
      <c r="J1021" s="8"/>
      <c r="L1021" s="8"/>
      <c r="N1021" s="8"/>
      <c r="P1021" s="8"/>
      <c r="R1021" s="8"/>
      <c r="T1021" s="10"/>
      <c r="X1021" s="8"/>
    </row>
    <row r="1022" ht="15.75" customHeight="1">
      <c r="A1022" s="6"/>
      <c r="F1022" s="8"/>
      <c r="G1022" s="38"/>
      <c r="J1022" s="8"/>
      <c r="L1022" s="8"/>
      <c r="N1022" s="8"/>
      <c r="P1022" s="8"/>
      <c r="R1022" s="8"/>
      <c r="T1022" s="10"/>
      <c r="X1022" s="8"/>
    </row>
    <row r="1023" ht="15.75" customHeight="1">
      <c r="A1023" s="6"/>
      <c r="F1023" s="8"/>
      <c r="G1023" s="38"/>
      <c r="J1023" s="8"/>
      <c r="L1023" s="8"/>
      <c r="N1023" s="8"/>
      <c r="P1023" s="8"/>
      <c r="R1023" s="8"/>
      <c r="T1023" s="10"/>
      <c r="X1023" s="8"/>
    </row>
    <row r="1024" ht="15.75" customHeight="1">
      <c r="A1024" s="6"/>
      <c r="F1024" s="8"/>
      <c r="G1024" s="38"/>
      <c r="J1024" s="8"/>
      <c r="L1024" s="8"/>
      <c r="N1024" s="8"/>
      <c r="P1024" s="8"/>
      <c r="R1024" s="8"/>
      <c r="T1024" s="10"/>
      <c r="X1024" s="8"/>
    </row>
    <row r="1025" ht="15.75" customHeight="1">
      <c r="A1025" s="6"/>
      <c r="F1025" s="8"/>
      <c r="G1025" s="38"/>
      <c r="J1025" s="8"/>
      <c r="L1025" s="8"/>
      <c r="N1025" s="8"/>
      <c r="P1025" s="8"/>
      <c r="R1025" s="8"/>
      <c r="T1025" s="10"/>
      <c r="X1025" s="8"/>
    </row>
    <row r="1026" ht="15.75" customHeight="1">
      <c r="A1026" s="6"/>
      <c r="F1026" s="8"/>
      <c r="G1026" s="38"/>
      <c r="J1026" s="8"/>
      <c r="L1026" s="8"/>
      <c r="N1026" s="8"/>
      <c r="P1026" s="8"/>
      <c r="R1026" s="8"/>
      <c r="T1026" s="10"/>
      <c r="X1026" s="8"/>
    </row>
    <row r="1027" ht="15.75" customHeight="1">
      <c r="A1027" s="6"/>
      <c r="F1027" s="8"/>
      <c r="G1027" s="38"/>
      <c r="J1027" s="8"/>
      <c r="L1027" s="8"/>
      <c r="N1027" s="8"/>
      <c r="P1027" s="8"/>
      <c r="R1027" s="8"/>
      <c r="T1027" s="10"/>
      <c r="X1027" s="8"/>
    </row>
    <row r="1028" ht="15.75" customHeight="1">
      <c r="A1028" s="6"/>
      <c r="F1028" s="8"/>
      <c r="G1028" s="38"/>
      <c r="J1028" s="8"/>
      <c r="L1028" s="8"/>
      <c r="N1028" s="8"/>
      <c r="P1028" s="8"/>
      <c r="R1028" s="8"/>
      <c r="T1028" s="10"/>
      <c r="X1028" s="8"/>
    </row>
    <row r="1029" ht="15.75" customHeight="1">
      <c r="A1029" s="6"/>
      <c r="F1029" s="8"/>
      <c r="G1029" s="38"/>
      <c r="J1029" s="8"/>
      <c r="L1029" s="8"/>
      <c r="N1029" s="8"/>
      <c r="P1029" s="8"/>
      <c r="R1029" s="8"/>
      <c r="T1029" s="10"/>
      <c r="X1029" s="8"/>
    </row>
    <row r="1030" ht="15.75" customHeight="1">
      <c r="A1030" s="6"/>
      <c r="F1030" s="8"/>
      <c r="G1030" s="38"/>
      <c r="J1030" s="8"/>
      <c r="L1030" s="8"/>
      <c r="N1030" s="8"/>
      <c r="P1030" s="8"/>
      <c r="R1030" s="8"/>
      <c r="T1030" s="10"/>
      <c r="X1030" s="8"/>
    </row>
    <row r="1031" ht="15.75" customHeight="1">
      <c r="A1031" s="6"/>
      <c r="F1031" s="8"/>
      <c r="G1031" s="38"/>
      <c r="J1031" s="8"/>
      <c r="L1031" s="8"/>
      <c r="N1031" s="8"/>
      <c r="P1031" s="8"/>
      <c r="R1031" s="8"/>
      <c r="T1031" s="10"/>
      <c r="X1031" s="8"/>
    </row>
    <row r="1032" ht="15.75" customHeight="1">
      <c r="A1032" s="6"/>
      <c r="F1032" s="8"/>
      <c r="G1032" s="38"/>
      <c r="J1032" s="8"/>
      <c r="L1032" s="8"/>
      <c r="N1032" s="8"/>
      <c r="P1032" s="8"/>
      <c r="R1032" s="8"/>
      <c r="T1032" s="10"/>
      <c r="X1032" s="8"/>
    </row>
    <row r="1033" ht="15.75" customHeight="1">
      <c r="A1033" s="6"/>
      <c r="F1033" s="8"/>
      <c r="G1033" s="38"/>
      <c r="J1033" s="8"/>
      <c r="L1033" s="8"/>
      <c r="N1033" s="8"/>
      <c r="P1033" s="8"/>
      <c r="R1033" s="8"/>
      <c r="T1033" s="10"/>
      <c r="X1033" s="8"/>
    </row>
    <row r="1034" ht="15.75" customHeight="1">
      <c r="A1034" s="6"/>
      <c r="F1034" s="8"/>
      <c r="G1034" s="38"/>
      <c r="J1034" s="8"/>
      <c r="L1034" s="8"/>
      <c r="N1034" s="8"/>
      <c r="P1034" s="8"/>
      <c r="R1034" s="8"/>
      <c r="T1034" s="10"/>
      <c r="X1034" s="8"/>
    </row>
    <row r="1035" ht="15.75" customHeight="1">
      <c r="A1035" s="6"/>
      <c r="F1035" s="8"/>
      <c r="G1035" s="38"/>
      <c r="J1035" s="8"/>
      <c r="L1035" s="8"/>
      <c r="N1035" s="8"/>
      <c r="P1035" s="8"/>
      <c r="R1035" s="8"/>
      <c r="T1035" s="10"/>
      <c r="X1035" s="8"/>
    </row>
    <row r="1036" ht="15.75" customHeight="1">
      <c r="A1036" s="6"/>
      <c r="F1036" s="8"/>
      <c r="G1036" s="38"/>
      <c r="J1036" s="8"/>
      <c r="L1036" s="8"/>
      <c r="N1036" s="8"/>
      <c r="P1036" s="8"/>
      <c r="R1036" s="8"/>
      <c r="T1036" s="10"/>
      <c r="X1036" s="8"/>
    </row>
    <row r="1037" ht="15.75" customHeight="1">
      <c r="A1037" s="6"/>
      <c r="F1037" s="8"/>
      <c r="G1037" s="38"/>
      <c r="J1037" s="8"/>
      <c r="L1037" s="8"/>
      <c r="N1037" s="8"/>
      <c r="P1037" s="8"/>
      <c r="R1037" s="8"/>
      <c r="T1037" s="10"/>
      <c r="X1037" s="8"/>
    </row>
    <row r="1038" ht="15.75" customHeight="1">
      <c r="A1038" s="6"/>
      <c r="F1038" s="8"/>
      <c r="G1038" s="38"/>
      <c r="J1038" s="8"/>
      <c r="L1038" s="8"/>
      <c r="N1038" s="8"/>
      <c r="P1038" s="8"/>
      <c r="R1038" s="8"/>
      <c r="T1038" s="10"/>
      <c r="X1038" s="8"/>
    </row>
    <row r="1039" ht="15.75" customHeight="1">
      <c r="A1039" s="6"/>
      <c r="F1039" s="8"/>
      <c r="G1039" s="38"/>
      <c r="J1039" s="8"/>
      <c r="L1039" s="8"/>
      <c r="N1039" s="8"/>
      <c r="P1039" s="8"/>
      <c r="R1039" s="8"/>
      <c r="T1039" s="10"/>
      <c r="X1039" s="8"/>
    </row>
    <row r="1040" ht="15.75" customHeight="1">
      <c r="A1040" s="6"/>
      <c r="F1040" s="8"/>
      <c r="G1040" s="38"/>
      <c r="J1040" s="8"/>
      <c r="L1040" s="8"/>
      <c r="N1040" s="8"/>
      <c r="P1040" s="8"/>
      <c r="R1040" s="8"/>
      <c r="T1040" s="10"/>
      <c r="X1040" s="8"/>
    </row>
    <row r="1041" ht="15.75" customHeight="1">
      <c r="A1041" s="6"/>
      <c r="F1041" s="8"/>
      <c r="G1041" s="38"/>
      <c r="J1041" s="8"/>
      <c r="L1041" s="8"/>
      <c r="N1041" s="8"/>
      <c r="P1041" s="8"/>
      <c r="R1041" s="8"/>
      <c r="T1041" s="10"/>
      <c r="X1041" s="8"/>
    </row>
    <row r="1042" ht="15.75" customHeight="1">
      <c r="A1042" s="6"/>
      <c r="F1042" s="8"/>
      <c r="G1042" s="38"/>
      <c r="J1042" s="8"/>
      <c r="L1042" s="8"/>
      <c r="N1042" s="8"/>
      <c r="P1042" s="8"/>
      <c r="R1042" s="8"/>
      <c r="T1042" s="10"/>
      <c r="X1042" s="8"/>
    </row>
    <row r="1043" ht="15.75" customHeight="1">
      <c r="A1043" s="6"/>
      <c r="F1043" s="8"/>
      <c r="G1043" s="38"/>
      <c r="J1043" s="8"/>
      <c r="L1043" s="8"/>
      <c r="N1043" s="8"/>
      <c r="P1043" s="8"/>
      <c r="R1043" s="8"/>
      <c r="T1043" s="10"/>
      <c r="X1043" s="8"/>
    </row>
    <row r="1044" ht="15.75" customHeight="1">
      <c r="A1044" s="6"/>
      <c r="F1044" s="8"/>
      <c r="G1044" s="38"/>
      <c r="J1044" s="8"/>
      <c r="L1044" s="8"/>
      <c r="N1044" s="8"/>
      <c r="P1044" s="8"/>
      <c r="R1044" s="8"/>
      <c r="T1044" s="10"/>
      <c r="X1044" s="8"/>
    </row>
    <row r="1045" ht="15.75" customHeight="1">
      <c r="A1045" s="6"/>
      <c r="F1045" s="8"/>
      <c r="G1045" s="38"/>
      <c r="J1045" s="8"/>
      <c r="L1045" s="8"/>
      <c r="N1045" s="8"/>
      <c r="P1045" s="8"/>
      <c r="R1045" s="8"/>
      <c r="T1045" s="10"/>
      <c r="X1045" s="8"/>
    </row>
    <row r="1046" ht="15.75" customHeight="1">
      <c r="A1046" s="6"/>
      <c r="F1046" s="8"/>
      <c r="G1046" s="38"/>
      <c r="J1046" s="8"/>
      <c r="L1046" s="8"/>
      <c r="N1046" s="8"/>
      <c r="P1046" s="8"/>
      <c r="R1046" s="8"/>
      <c r="T1046" s="10"/>
      <c r="X1046" s="8"/>
    </row>
    <row r="1047" ht="15.75" customHeight="1">
      <c r="A1047" s="6"/>
      <c r="F1047" s="8"/>
      <c r="G1047" s="38"/>
      <c r="J1047" s="8"/>
      <c r="L1047" s="8"/>
      <c r="N1047" s="8"/>
      <c r="P1047" s="8"/>
      <c r="R1047" s="8"/>
      <c r="T1047" s="10"/>
      <c r="X1047" s="8"/>
    </row>
    <row r="1048" ht="15.75" customHeight="1">
      <c r="A1048" s="6"/>
      <c r="F1048" s="8"/>
      <c r="G1048" s="38"/>
      <c r="J1048" s="8"/>
      <c r="L1048" s="8"/>
      <c r="N1048" s="8"/>
      <c r="P1048" s="8"/>
      <c r="R1048" s="8"/>
      <c r="T1048" s="10"/>
      <c r="X1048" s="8"/>
    </row>
    <row r="1049" ht="15.75" customHeight="1">
      <c r="A1049" s="6"/>
      <c r="F1049" s="8"/>
      <c r="G1049" s="38"/>
      <c r="J1049" s="8"/>
      <c r="L1049" s="8"/>
      <c r="N1049" s="8"/>
      <c r="P1049" s="8"/>
      <c r="R1049" s="8"/>
      <c r="T1049" s="10"/>
      <c r="X1049" s="8"/>
    </row>
    <row r="1050" ht="15.75" customHeight="1">
      <c r="A1050" s="6"/>
      <c r="F1050" s="8"/>
      <c r="G1050" s="38"/>
      <c r="J1050" s="8"/>
      <c r="L1050" s="8"/>
      <c r="N1050" s="8"/>
      <c r="P1050" s="8"/>
      <c r="R1050" s="8"/>
      <c r="T1050" s="10"/>
      <c r="X1050" s="8"/>
    </row>
    <row r="1051" ht="15.75" customHeight="1">
      <c r="A1051" s="6"/>
      <c r="F1051" s="8"/>
      <c r="G1051" s="38"/>
      <c r="J1051" s="8"/>
      <c r="L1051" s="8"/>
      <c r="N1051" s="8"/>
      <c r="P1051" s="8"/>
      <c r="R1051" s="8"/>
      <c r="T1051" s="10"/>
      <c r="X1051" s="8"/>
    </row>
    <row r="1052" ht="15.75" customHeight="1">
      <c r="A1052" s="6"/>
      <c r="F1052" s="8"/>
      <c r="G1052" s="38"/>
      <c r="J1052" s="8"/>
      <c r="L1052" s="8"/>
      <c r="N1052" s="8"/>
      <c r="P1052" s="8"/>
      <c r="R1052" s="8"/>
      <c r="T1052" s="10"/>
      <c r="X1052" s="8"/>
    </row>
    <row r="1053" ht="15.75" customHeight="1">
      <c r="A1053" s="6"/>
      <c r="F1053" s="8"/>
      <c r="G1053" s="38"/>
      <c r="J1053" s="8"/>
      <c r="L1053" s="8"/>
      <c r="N1053" s="8"/>
      <c r="P1053" s="8"/>
      <c r="R1053" s="8"/>
      <c r="T1053" s="10"/>
      <c r="X1053" s="8"/>
    </row>
    <row r="1054" ht="15.75" customHeight="1">
      <c r="A1054" s="6"/>
      <c r="F1054" s="8"/>
      <c r="G1054" s="38"/>
      <c r="J1054" s="8"/>
      <c r="L1054" s="8"/>
      <c r="N1054" s="8"/>
      <c r="P1054" s="8"/>
      <c r="R1054" s="8"/>
      <c r="T1054" s="10"/>
      <c r="X1054" s="8"/>
    </row>
    <row r="1055" ht="15.75" customHeight="1">
      <c r="A1055" s="6"/>
      <c r="F1055" s="8"/>
      <c r="G1055" s="38"/>
      <c r="J1055" s="8"/>
      <c r="L1055" s="8"/>
      <c r="N1055" s="8"/>
      <c r="P1055" s="8"/>
      <c r="R1055" s="8"/>
      <c r="T1055" s="10"/>
      <c r="X1055" s="8"/>
    </row>
    <row r="1056" ht="15.75" customHeight="1">
      <c r="A1056" s="6"/>
      <c r="F1056" s="8"/>
      <c r="G1056" s="38"/>
      <c r="J1056" s="8"/>
      <c r="L1056" s="8"/>
      <c r="N1056" s="8"/>
      <c r="P1056" s="8"/>
      <c r="R1056" s="8"/>
      <c r="T1056" s="10"/>
      <c r="X1056" s="8"/>
    </row>
    <row r="1057" ht="15.75" customHeight="1">
      <c r="A1057" s="6"/>
      <c r="F1057" s="8"/>
      <c r="G1057" s="38"/>
      <c r="J1057" s="8"/>
      <c r="L1057" s="8"/>
      <c r="N1057" s="8"/>
      <c r="P1057" s="8"/>
      <c r="R1057" s="8"/>
      <c r="T1057" s="10"/>
      <c r="X1057" s="8"/>
    </row>
    <row r="1058" ht="15.75" customHeight="1">
      <c r="A1058" s="6"/>
      <c r="F1058" s="8"/>
      <c r="G1058" s="38"/>
      <c r="J1058" s="8"/>
      <c r="L1058" s="8"/>
      <c r="N1058" s="8"/>
      <c r="P1058" s="8"/>
      <c r="R1058" s="8"/>
      <c r="T1058" s="10"/>
      <c r="X1058" s="8"/>
    </row>
    <row r="1059" ht="15.75" customHeight="1">
      <c r="A1059" s="6"/>
      <c r="F1059" s="8"/>
      <c r="G1059" s="38"/>
      <c r="J1059" s="8"/>
      <c r="L1059" s="8"/>
      <c r="N1059" s="8"/>
      <c r="P1059" s="8"/>
      <c r="R1059" s="8"/>
      <c r="T1059" s="10"/>
      <c r="X1059" s="8"/>
    </row>
    <row r="1060" ht="15.75" customHeight="1">
      <c r="A1060" s="6"/>
      <c r="F1060" s="8"/>
      <c r="G1060" s="38"/>
      <c r="J1060" s="8"/>
      <c r="L1060" s="8"/>
      <c r="N1060" s="8"/>
      <c r="P1060" s="8"/>
      <c r="R1060" s="8"/>
      <c r="T1060" s="10"/>
      <c r="X1060" s="8"/>
    </row>
    <row r="1061" ht="15.75" customHeight="1">
      <c r="A1061" s="6"/>
      <c r="F1061" s="8"/>
      <c r="G1061" s="38"/>
      <c r="J1061" s="8"/>
      <c r="L1061" s="8"/>
      <c r="N1061" s="8"/>
      <c r="P1061" s="8"/>
      <c r="R1061" s="8"/>
      <c r="T1061" s="10"/>
      <c r="X1061" s="8"/>
    </row>
    <row r="1062" ht="15.75" customHeight="1">
      <c r="A1062" s="6"/>
      <c r="F1062" s="8"/>
      <c r="G1062" s="38"/>
      <c r="J1062" s="8"/>
      <c r="L1062" s="8"/>
      <c r="N1062" s="8"/>
      <c r="P1062" s="8"/>
      <c r="R1062" s="8"/>
      <c r="T1062" s="10"/>
      <c r="X1062" s="8"/>
    </row>
  </sheetData>
  <printOptions/>
  <pageMargins bottom="1.05277777777778" footer="0.0" header="0.0" left="0.7875" right="0.7875" top="1.05277777777778"/>
  <pageSetup paperSize="9" orientation="portrait"/>
  <headerFooter>
    <oddHeader>&amp;Cffffff&amp;A</oddHeader>
    <oddFooter>&amp;CffffffSeite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2" max="12" width="21.57"/>
    <col customWidth="1" min="15" max="15" width="19.29"/>
    <col customWidth="1" min="21" max="21" width="20.43"/>
  </cols>
  <sheetData>
    <row r="1">
      <c r="A1" s="123" t="s">
        <v>116</v>
      </c>
      <c r="B1" s="123" t="s">
        <v>117</v>
      </c>
      <c r="C1" s="123" t="s">
        <v>118</v>
      </c>
      <c r="D1" s="123" t="s">
        <v>119</v>
      </c>
      <c r="E1" s="123" t="s">
        <v>120</v>
      </c>
      <c r="F1" s="123" t="s">
        <v>121</v>
      </c>
      <c r="G1" s="123" t="s">
        <v>122</v>
      </c>
      <c r="H1" s="123" t="s">
        <v>123</v>
      </c>
      <c r="I1" s="131" t="s">
        <v>124</v>
      </c>
      <c r="J1" s="123" t="s">
        <v>125</v>
      </c>
      <c r="K1" s="123" t="s">
        <v>126</v>
      </c>
      <c r="L1" s="7" t="s">
        <v>127</v>
      </c>
      <c r="N1" s="123" t="s">
        <v>128</v>
      </c>
      <c r="O1" s="123" t="s">
        <v>129</v>
      </c>
      <c r="P1" s="123" t="s">
        <v>130</v>
      </c>
      <c r="Q1" s="123" t="s">
        <v>131</v>
      </c>
      <c r="S1" s="132" t="s">
        <v>129</v>
      </c>
      <c r="T1" s="132" t="s">
        <v>130</v>
      </c>
      <c r="U1" s="132" t="s">
        <v>131</v>
      </c>
      <c r="X1" s="7" t="s">
        <v>132</v>
      </c>
      <c r="Y1" s="7" t="s">
        <v>2</v>
      </c>
    </row>
    <row r="2">
      <c r="A2" s="7">
        <v>37.0</v>
      </c>
      <c r="B2" s="7" t="s">
        <v>6</v>
      </c>
      <c r="C2" s="7" t="s">
        <v>133</v>
      </c>
      <c r="D2" s="7" t="s">
        <v>134</v>
      </c>
      <c r="E2" s="7" t="s">
        <v>135</v>
      </c>
      <c r="F2" s="7" t="s">
        <v>136</v>
      </c>
      <c r="G2" s="133" t="s">
        <v>137</v>
      </c>
      <c r="I2" s="7" t="s">
        <v>136</v>
      </c>
      <c r="J2" s="7" t="s">
        <v>138</v>
      </c>
      <c r="K2" s="7" t="s">
        <v>139</v>
      </c>
      <c r="L2" s="7" t="s">
        <v>25</v>
      </c>
      <c r="N2" s="134" t="str">
        <f t="array" ref="N2:N36">UNIQUE(L2:L3120)</f>
        <v>EPOSMetadata</v>
      </c>
      <c r="O2" s="134" t="str">
        <f t="array" ref="O2:O91">UNIQUE(D2:D3120)</f>
        <v>France</v>
      </c>
      <c r="P2" s="7">
        <f t="shared" ref="P2:P91" si="1">COUNTIF(D$2:D$3120,O2)</f>
        <v>131</v>
      </c>
      <c r="Q2" s="11" t="str">
        <f t="array" ref="Q2">XLOOKUP(O2,Countries!A$2:A$120,Countries!B$2:B$120,"tbd",0)</f>
        <v>Europe</v>
      </c>
      <c r="S2" s="135" t="s">
        <v>140</v>
      </c>
      <c r="T2" s="7">
        <v>4.0</v>
      </c>
      <c r="U2" s="7" t="s">
        <v>141</v>
      </c>
      <c r="X2" s="7" t="s">
        <v>141</v>
      </c>
      <c r="Y2" s="15">
        <f>SUM(T2:T12)</f>
        <v>56</v>
      </c>
    </row>
    <row r="3">
      <c r="A3" s="7">
        <v>34.0</v>
      </c>
      <c r="B3" s="7" t="s">
        <v>6</v>
      </c>
      <c r="C3" s="7" t="s">
        <v>142</v>
      </c>
      <c r="D3" s="7" t="s">
        <v>143</v>
      </c>
      <c r="E3" s="7" t="s">
        <v>136</v>
      </c>
      <c r="F3" s="7" t="s">
        <v>136</v>
      </c>
      <c r="G3" s="133" t="s">
        <v>144</v>
      </c>
      <c r="I3" s="7" t="s">
        <v>136</v>
      </c>
      <c r="J3" s="7" t="s">
        <v>145</v>
      </c>
      <c r="K3" s="7" t="s">
        <v>139</v>
      </c>
      <c r="L3" s="7" t="s">
        <v>25</v>
      </c>
      <c r="N3" s="16" t="s">
        <v>146</v>
      </c>
      <c r="O3" s="7" t="s">
        <v>143</v>
      </c>
      <c r="P3" s="7">
        <f t="shared" si="1"/>
        <v>277</v>
      </c>
      <c r="Q3" s="11" t="str">
        <f t="array" ref="Q3">XLOOKUP(O3,Countries!A$2:A$120,Countries!B$2:B$120,"tbd",0)</f>
        <v>Europe</v>
      </c>
      <c r="S3" s="7" t="s">
        <v>147</v>
      </c>
      <c r="T3" s="7">
        <v>3.0</v>
      </c>
      <c r="U3" s="7" t="s">
        <v>141</v>
      </c>
      <c r="X3" s="7" t="s">
        <v>148</v>
      </c>
      <c r="Y3" s="15">
        <f>SUM(T13:T25)</f>
        <v>121</v>
      </c>
    </row>
    <row r="4">
      <c r="A4" s="7">
        <v>15.0</v>
      </c>
      <c r="B4" s="7" t="s">
        <v>7</v>
      </c>
      <c r="C4" s="7" t="s">
        <v>149</v>
      </c>
      <c r="D4" s="7" t="s">
        <v>134</v>
      </c>
      <c r="E4" s="7" t="s">
        <v>135</v>
      </c>
      <c r="F4" s="7" t="s">
        <v>136</v>
      </c>
      <c r="G4" s="133" t="s">
        <v>150</v>
      </c>
      <c r="H4" s="7" t="s">
        <v>151</v>
      </c>
      <c r="I4" s="7" t="s">
        <v>135</v>
      </c>
      <c r="J4" s="7" t="s">
        <v>152</v>
      </c>
      <c r="K4" s="7" t="s">
        <v>139</v>
      </c>
      <c r="L4" s="7" t="s">
        <v>25</v>
      </c>
      <c r="N4" s="16" t="s">
        <v>49</v>
      </c>
      <c r="O4" s="7" t="s">
        <v>153</v>
      </c>
      <c r="P4" s="7">
        <f t="shared" si="1"/>
        <v>62</v>
      </c>
      <c r="Q4" s="11" t="str">
        <f t="array" ref="Q4">XLOOKUP(O4,Countries!A$2:A$120,Countries!B$2:B$120,"tbd",0)</f>
        <v>associated countries</v>
      </c>
      <c r="S4" s="135" t="s">
        <v>154</v>
      </c>
      <c r="T4" s="7">
        <v>1.0</v>
      </c>
      <c r="U4" s="7" t="s">
        <v>141</v>
      </c>
      <c r="X4" s="7" t="s">
        <v>155</v>
      </c>
      <c r="Y4" s="15">
        <v>153.0</v>
      </c>
    </row>
    <row r="5">
      <c r="A5" s="7">
        <v>19.0</v>
      </c>
      <c r="B5" s="7" t="s">
        <v>6</v>
      </c>
      <c r="C5" s="7" t="s">
        <v>156</v>
      </c>
      <c r="D5" s="7" t="s">
        <v>134</v>
      </c>
      <c r="E5" s="7" t="s">
        <v>135</v>
      </c>
      <c r="F5" s="7" t="s">
        <v>136</v>
      </c>
      <c r="G5" s="133" t="s">
        <v>157</v>
      </c>
      <c r="I5" s="7" t="s">
        <v>135</v>
      </c>
      <c r="J5" s="7" t="s">
        <v>158</v>
      </c>
      <c r="K5" s="7" t="s">
        <v>139</v>
      </c>
      <c r="L5" s="7" t="s">
        <v>25</v>
      </c>
      <c r="N5" s="16" t="s">
        <v>60</v>
      </c>
      <c r="O5" s="7" t="s">
        <v>159</v>
      </c>
      <c r="P5" s="7">
        <f t="shared" si="1"/>
        <v>13</v>
      </c>
      <c r="Q5" s="11" t="str">
        <f t="array" ref="Q5">XLOOKUP(O5,Countries!A$2:A$120,Countries!B$2:B$120,"tbd",0)</f>
        <v>associated countries</v>
      </c>
      <c r="S5" s="16" t="s">
        <v>160</v>
      </c>
      <c r="T5" s="136">
        <v>3.0</v>
      </c>
      <c r="U5" s="136" t="s">
        <v>141</v>
      </c>
      <c r="X5" s="7" t="s">
        <v>161</v>
      </c>
      <c r="Y5" s="15">
        <v>90.0</v>
      </c>
    </row>
    <row r="6">
      <c r="A6" s="7">
        <v>9.0</v>
      </c>
      <c r="B6" s="7" t="s">
        <v>6</v>
      </c>
      <c r="C6" s="7" t="s">
        <v>162</v>
      </c>
      <c r="D6" s="7" t="s">
        <v>134</v>
      </c>
      <c r="E6" s="7" t="s">
        <v>135</v>
      </c>
      <c r="F6" s="7" t="s">
        <v>136</v>
      </c>
      <c r="G6" s="7" t="s">
        <v>137</v>
      </c>
      <c r="I6" s="7" t="s">
        <v>136</v>
      </c>
      <c r="J6" s="7" t="s">
        <v>163</v>
      </c>
      <c r="K6" s="7" t="s">
        <v>139</v>
      </c>
      <c r="L6" s="7" t="s">
        <v>25</v>
      </c>
      <c r="N6" s="16" t="s">
        <v>69</v>
      </c>
      <c r="O6" s="7" t="s">
        <v>164</v>
      </c>
      <c r="P6" s="7">
        <f t="shared" si="1"/>
        <v>187</v>
      </c>
      <c r="Q6" s="11" t="str">
        <f t="array" ref="Q6">XLOOKUP(O6,Countries!A$2:A$120,Countries!B$2:B$120,"tbd",0)</f>
        <v>Europe</v>
      </c>
      <c r="S6" s="7" t="s">
        <v>165</v>
      </c>
      <c r="T6" s="7">
        <v>4.0</v>
      </c>
      <c r="U6" s="7" t="s">
        <v>141</v>
      </c>
      <c r="X6" s="7" t="s">
        <v>166</v>
      </c>
      <c r="Y6" s="15">
        <v>9.0</v>
      </c>
    </row>
    <row r="7">
      <c r="A7" s="7">
        <v>5.0</v>
      </c>
      <c r="B7" s="7" t="s">
        <v>7</v>
      </c>
      <c r="C7" s="7" t="s">
        <v>167</v>
      </c>
      <c r="D7" s="7" t="s">
        <v>143</v>
      </c>
      <c r="E7" s="7" t="s">
        <v>136</v>
      </c>
      <c r="F7" s="7" t="s">
        <v>136</v>
      </c>
      <c r="G7" s="133" t="s">
        <v>168</v>
      </c>
      <c r="I7" s="7" t="s">
        <v>135</v>
      </c>
      <c r="J7" s="7" t="s">
        <v>169</v>
      </c>
      <c r="K7" s="7" t="s">
        <v>139</v>
      </c>
      <c r="L7" s="7" t="s">
        <v>25</v>
      </c>
      <c r="N7" s="16" t="s">
        <v>61</v>
      </c>
      <c r="O7" s="7" t="s">
        <v>170</v>
      </c>
      <c r="P7" s="7">
        <f t="shared" si="1"/>
        <v>28</v>
      </c>
      <c r="Q7" s="11" t="str">
        <f t="array" ref="Q7">XLOOKUP(O7,Countries!A$2:A$120,Countries!B$2:B$120,"tbd",0)</f>
        <v>Europe</v>
      </c>
      <c r="S7" s="135" t="s">
        <v>171</v>
      </c>
      <c r="T7" s="7">
        <v>1.0</v>
      </c>
      <c r="U7" s="7" t="s">
        <v>141</v>
      </c>
      <c r="V7" s="7"/>
      <c r="X7" s="7" t="s">
        <v>172</v>
      </c>
      <c r="Y7" s="15">
        <f>SUM(T78:T79)</f>
        <v>200</v>
      </c>
    </row>
    <row r="8">
      <c r="A8" s="7">
        <v>70.0</v>
      </c>
      <c r="B8" s="7" t="s">
        <v>7</v>
      </c>
      <c r="C8" s="7" t="s">
        <v>173</v>
      </c>
      <c r="D8" s="7" t="s">
        <v>143</v>
      </c>
      <c r="E8" s="7" t="s">
        <v>136</v>
      </c>
      <c r="F8" s="7" t="s">
        <v>136</v>
      </c>
      <c r="G8" s="133" t="s">
        <v>174</v>
      </c>
      <c r="I8" s="7" t="s">
        <v>135</v>
      </c>
      <c r="J8" s="7" t="s">
        <v>175</v>
      </c>
      <c r="K8" s="7" t="s">
        <v>139</v>
      </c>
      <c r="L8" s="7" t="s">
        <v>25</v>
      </c>
      <c r="N8" s="16" t="s">
        <v>53</v>
      </c>
      <c r="O8" s="7" t="s">
        <v>176</v>
      </c>
      <c r="P8" s="7">
        <f t="shared" si="1"/>
        <v>43</v>
      </c>
      <c r="Q8" s="11" t="str">
        <f t="array" ref="Q8">XLOOKUP(O8,Countries!A$2:A$120,Countries!B$2:B$120,"tbd",0)</f>
        <v>widening countries</v>
      </c>
      <c r="S8" s="7" t="s">
        <v>177</v>
      </c>
      <c r="T8" s="7">
        <v>25.0</v>
      </c>
      <c r="U8" s="7" t="s">
        <v>141</v>
      </c>
      <c r="X8" s="15" t="s">
        <v>178</v>
      </c>
      <c r="Y8" s="15">
        <v>1159.0</v>
      </c>
    </row>
    <row r="9">
      <c r="A9" s="7">
        <v>12.0</v>
      </c>
      <c r="B9" s="7" t="s">
        <v>7</v>
      </c>
      <c r="C9" s="7" t="s">
        <v>179</v>
      </c>
      <c r="D9" s="7" t="s">
        <v>153</v>
      </c>
      <c r="E9" s="7" t="s">
        <v>136</v>
      </c>
      <c r="F9" s="7" t="s">
        <v>136</v>
      </c>
      <c r="G9" s="7" t="s">
        <v>180</v>
      </c>
      <c r="I9" s="7" t="s">
        <v>135</v>
      </c>
      <c r="J9" s="7" t="s">
        <v>181</v>
      </c>
      <c r="K9" s="7" t="s">
        <v>139</v>
      </c>
      <c r="L9" s="7" t="s">
        <v>25</v>
      </c>
      <c r="N9" s="16" t="s">
        <v>78</v>
      </c>
      <c r="O9" s="7" t="s">
        <v>166</v>
      </c>
      <c r="P9" s="7">
        <f t="shared" si="1"/>
        <v>9</v>
      </c>
      <c r="Q9" s="11" t="str">
        <f t="array" ref="Q9">XLOOKUP(O9,Countries!A$2:A$120,Countries!B$2:B$120,"tbd",0)</f>
        <v>Oceania</v>
      </c>
      <c r="S9" s="7" t="s">
        <v>182</v>
      </c>
      <c r="T9" s="7">
        <v>5.0</v>
      </c>
      <c r="U9" s="7" t="s">
        <v>141</v>
      </c>
      <c r="X9" s="15" t="s">
        <v>183</v>
      </c>
      <c r="Y9" s="15">
        <v>390.0</v>
      </c>
    </row>
    <row r="10">
      <c r="A10" s="7">
        <v>52.0</v>
      </c>
      <c r="B10" s="7" t="s">
        <v>7</v>
      </c>
      <c r="C10" s="7" t="s">
        <v>184</v>
      </c>
      <c r="D10" s="7" t="s">
        <v>143</v>
      </c>
      <c r="E10" s="7" t="s">
        <v>136</v>
      </c>
      <c r="F10" s="7" t="s">
        <v>136</v>
      </c>
      <c r="G10" s="7" t="s">
        <v>185</v>
      </c>
      <c r="I10" s="7" t="s">
        <v>136</v>
      </c>
      <c r="J10" s="7" t="s">
        <v>186</v>
      </c>
      <c r="K10" s="7" t="s">
        <v>139</v>
      </c>
      <c r="L10" s="7" t="s">
        <v>25</v>
      </c>
      <c r="N10" s="16" t="s">
        <v>51</v>
      </c>
      <c r="O10" s="7" t="s">
        <v>187</v>
      </c>
      <c r="P10" s="7">
        <f t="shared" si="1"/>
        <v>38</v>
      </c>
      <c r="Q10" s="11" t="str">
        <f t="array" ref="Q10">XLOOKUP(O10,Countries!A$2:A$120,Countries!B$2:B$120,"tbd",0)</f>
        <v>Europe</v>
      </c>
      <c r="S10" s="135" t="s">
        <v>188</v>
      </c>
      <c r="T10" s="7">
        <v>6.0</v>
      </c>
      <c r="U10" s="7" t="s">
        <v>141</v>
      </c>
      <c r="X10" s="15" t="s">
        <v>189</v>
      </c>
      <c r="Y10" s="15">
        <f>SUM(T26:T38)</f>
        <v>281</v>
      </c>
    </row>
    <row r="11">
      <c r="A11" s="7">
        <v>80.0</v>
      </c>
      <c r="B11" s="7" t="s">
        <v>7</v>
      </c>
      <c r="C11" s="7" t="s">
        <v>190</v>
      </c>
      <c r="D11" s="7" t="s">
        <v>159</v>
      </c>
      <c r="E11" s="7" t="s">
        <v>135</v>
      </c>
      <c r="F11" s="7" t="s">
        <v>135</v>
      </c>
      <c r="G11" s="7" t="s">
        <v>191</v>
      </c>
      <c r="I11" s="7" t="s">
        <v>136</v>
      </c>
      <c r="J11" s="7" t="s">
        <v>192</v>
      </c>
      <c r="K11" s="7" t="s">
        <v>139</v>
      </c>
      <c r="L11" s="7" t="s">
        <v>25</v>
      </c>
      <c r="N11" s="16" t="s">
        <v>71</v>
      </c>
      <c r="O11" s="7" t="s">
        <v>193</v>
      </c>
      <c r="P11" s="7">
        <f t="shared" si="1"/>
        <v>65</v>
      </c>
      <c r="Q11" s="11" t="str">
        <f t="array" ref="Q11">XLOOKUP(O11,Countries!A$2:A$120,Countries!B$2:B$120,"tbd",0)</f>
        <v>associated countries</v>
      </c>
      <c r="S11" s="136" t="s">
        <v>194</v>
      </c>
      <c r="T11" s="136">
        <v>3.0</v>
      </c>
      <c r="U11" s="136" t="s">
        <v>141</v>
      </c>
      <c r="Y11" s="17" t="s">
        <v>115</v>
      </c>
      <c r="Z11" s="7">
        <f>SUM(Y2:Y10)</f>
        <v>2459</v>
      </c>
    </row>
    <row r="12">
      <c r="A12" s="7">
        <v>36.0</v>
      </c>
      <c r="B12" s="7" t="s">
        <v>7</v>
      </c>
      <c r="C12" s="7" t="s">
        <v>195</v>
      </c>
      <c r="D12" s="7" t="s">
        <v>164</v>
      </c>
      <c r="E12" s="7" t="s">
        <v>136</v>
      </c>
      <c r="F12" s="7" t="s">
        <v>136</v>
      </c>
      <c r="G12" s="7" t="s">
        <v>174</v>
      </c>
      <c r="I12" s="7" t="s">
        <v>135</v>
      </c>
      <c r="J12" s="7" t="s">
        <v>196</v>
      </c>
      <c r="K12" s="7" t="s">
        <v>139</v>
      </c>
      <c r="L12" s="7" t="s">
        <v>25</v>
      </c>
      <c r="N12" s="16" t="s">
        <v>62</v>
      </c>
      <c r="O12" s="7" t="s">
        <v>197</v>
      </c>
      <c r="P12" s="7">
        <f t="shared" si="1"/>
        <v>44</v>
      </c>
      <c r="Q12" s="11" t="str">
        <f t="array" ref="Q12">XLOOKUP(O12,Countries!A$2:A$120,Countries!B$2:B$120,"tbd",0)</f>
        <v>Europe</v>
      </c>
      <c r="S12" s="135" t="s">
        <v>198</v>
      </c>
      <c r="T12" s="7">
        <v>1.0</v>
      </c>
      <c r="U12" s="7" t="s">
        <v>141</v>
      </c>
      <c r="V12" s="16">
        <f>SUM(T2:T12)</f>
        <v>56</v>
      </c>
      <c r="Y12" s="17" t="s">
        <v>199</v>
      </c>
      <c r="Z12" s="16">
        <f>SUM(Y8:Y10)/Z11</f>
        <v>0.7442049614</v>
      </c>
    </row>
    <row r="13">
      <c r="A13" s="7">
        <v>16.0</v>
      </c>
      <c r="B13" s="7" t="s">
        <v>7</v>
      </c>
      <c r="C13" s="7" t="s">
        <v>200</v>
      </c>
      <c r="D13" s="7" t="s">
        <v>143</v>
      </c>
      <c r="E13" s="7" t="s">
        <v>136</v>
      </c>
      <c r="F13" s="7" t="s">
        <v>136</v>
      </c>
      <c r="G13" s="7" t="s">
        <v>174</v>
      </c>
      <c r="I13" s="7" t="s">
        <v>136</v>
      </c>
      <c r="J13" s="7" t="s">
        <v>201</v>
      </c>
      <c r="K13" s="7" t="s">
        <v>139</v>
      </c>
      <c r="L13" s="7" t="s">
        <v>25</v>
      </c>
      <c r="N13" s="16" t="s">
        <v>70</v>
      </c>
      <c r="O13" s="7" t="s">
        <v>202</v>
      </c>
      <c r="P13" s="7">
        <f t="shared" si="1"/>
        <v>205</v>
      </c>
      <c r="Q13" s="11" t="str">
        <f t="array" ref="Q13">XLOOKUP(O13,Countries!A$2:A$120,Countries!B$2:B$120,"tbd",0)</f>
        <v>Europe</v>
      </c>
      <c r="S13" s="7" t="s">
        <v>203</v>
      </c>
      <c r="T13" s="7">
        <v>30.0</v>
      </c>
      <c r="U13" s="7" t="s">
        <v>148</v>
      </c>
    </row>
    <row r="14">
      <c r="A14" s="7">
        <v>73.0</v>
      </c>
      <c r="B14" s="7" t="s">
        <v>6</v>
      </c>
      <c r="C14" s="7" t="s">
        <v>204</v>
      </c>
      <c r="D14" s="7" t="s">
        <v>170</v>
      </c>
      <c r="E14" s="7" t="s">
        <v>136</v>
      </c>
      <c r="F14" s="7" t="s">
        <v>136</v>
      </c>
      <c r="G14" s="7" t="s">
        <v>205</v>
      </c>
      <c r="H14" s="7" t="s">
        <v>206</v>
      </c>
      <c r="I14" s="7" t="s">
        <v>136</v>
      </c>
      <c r="J14" s="7" t="s">
        <v>207</v>
      </c>
      <c r="K14" s="7" t="s">
        <v>139</v>
      </c>
      <c r="L14" s="7" t="s">
        <v>25</v>
      </c>
      <c r="N14" s="16" t="s">
        <v>208</v>
      </c>
      <c r="O14" s="7" t="s">
        <v>209</v>
      </c>
      <c r="P14" s="7">
        <f t="shared" si="1"/>
        <v>34</v>
      </c>
      <c r="Q14" s="11" t="str">
        <f t="array" ref="Q14">XLOOKUP(O14,Countries!A$2:A$120,Countries!B$2:B$120,"tbd",0)</f>
        <v>associated countries</v>
      </c>
      <c r="S14" s="16" t="s">
        <v>210</v>
      </c>
      <c r="T14" s="136">
        <v>3.0</v>
      </c>
      <c r="U14" s="136" t="s">
        <v>148</v>
      </c>
    </row>
    <row r="15">
      <c r="A15" s="7">
        <v>79.0</v>
      </c>
      <c r="B15" s="7" t="s">
        <v>7</v>
      </c>
      <c r="C15" s="7" t="s">
        <v>211</v>
      </c>
      <c r="D15" s="7" t="s">
        <v>176</v>
      </c>
      <c r="E15" s="7" t="s">
        <v>136</v>
      </c>
      <c r="F15" s="7" t="s">
        <v>136</v>
      </c>
      <c r="G15" s="7" t="s">
        <v>137</v>
      </c>
      <c r="I15" s="7" t="s">
        <v>135</v>
      </c>
      <c r="J15" s="7" t="s">
        <v>212</v>
      </c>
      <c r="K15" s="7" t="s">
        <v>139</v>
      </c>
      <c r="L15" s="7" t="s">
        <v>25</v>
      </c>
      <c r="N15" s="16" t="s">
        <v>63</v>
      </c>
      <c r="O15" s="7" t="s">
        <v>213</v>
      </c>
      <c r="P15" s="7">
        <f t="shared" si="1"/>
        <v>86</v>
      </c>
      <c r="Q15" s="11" t="str">
        <f t="array" ref="Q15">XLOOKUP(O15,Countries!A$2:A$120,Countries!B$2:B$120,"tbd",0)</f>
        <v>widening countries</v>
      </c>
      <c r="S15" s="7" t="s">
        <v>214</v>
      </c>
      <c r="T15" s="7">
        <v>31.0</v>
      </c>
      <c r="U15" s="7" t="s">
        <v>148</v>
      </c>
    </row>
    <row r="16">
      <c r="A16" s="7">
        <v>28.0</v>
      </c>
      <c r="B16" s="7" t="s">
        <v>7</v>
      </c>
      <c r="C16" s="7" t="s">
        <v>215</v>
      </c>
      <c r="D16" s="7" t="s">
        <v>166</v>
      </c>
      <c r="E16" s="7" t="s">
        <v>136</v>
      </c>
      <c r="F16" s="7" t="s">
        <v>136</v>
      </c>
      <c r="G16" s="7" t="s">
        <v>185</v>
      </c>
      <c r="H16" s="7" t="s">
        <v>216</v>
      </c>
      <c r="I16" s="7" t="s">
        <v>136</v>
      </c>
      <c r="J16" s="7" t="s">
        <v>217</v>
      </c>
      <c r="K16" s="7" t="s">
        <v>139</v>
      </c>
      <c r="L16" s="7" t="s">
        <v>25</v>
      </c>
      <c r="N16" s="16" t="s">
        <v>64</v>
      </c>
      <c r="O16" s="7" t="s">
        <v>218</v>
      </c>
      <c r="P16" s="7">
        <f t="shared" si="1"/>
        <v>41</v>
      </c>
      <c r="Q16" s="11" t="str">
        <f t="array" ref="Q16">XLOOKUP(O16,Countries!A$2:A$120,Countries!B$2:B$120,"tbd",0)</f>
        <v>associated countries</v>
      </c>
      <c r="S16" s="7" t="s">
        <v>219</v>
      </c>
      <c r="T16" s="7">
        <v>14.0</v>
      </c>
      <c r="U16" s="7" t="s">
        <v>148</v>
      </c>
      <c r="V16" s="7"/>
    </row>
    <row r="17">
      <c r="A17" s="7">
        <v>17.0</v>
      </c>
      <c r="B17" s="7" t="s">
        <v>6</v>
      </c>
      <c r="C17" s="7" t="s">
        <v>220</v>
      </c>
      <c r="D17" s="7" t="s">
        <v>187</v>
      </c>
      <c r="E17" s="7" t="s">
        <v>136</v>
      </c>
      <c r="F17" s="7" t="s">
        <v>136</v>
      </c>
      <c r="G17" s="7" t="s">
        <v>221</v>
      </c>
      <c r="I17" s="7" t="s">
        <v>135</v>
      </c>
      <c r="J17" s="7" t="s">
        <v>222</v>
      </c>
      <c r="K17" s="7" t="s">
        <v>139</v>
      </c>
      <c r="L17" s="7" t="s">
        <v>25</v>
      </c>
      <c r="N17" s="16" t="s">
        <v>72</v>
      </c>
      <c r="O17" s="7" t="s">
        <v>223</v>
      </c>
      <c r="P17" s="7">
        <f t="shared" si="1"/>
        <v>23</v>
      </c>
      <c r="Q17" s="11" t="str">
        <f t="array" ref="Q17">XLOOKUP(O17,Countries!A$2:A$120,Countries!B$2:B$120,"tbd",0)</f>
        <v>widening countries</v>
      </c>
      <c r="S17" s="16" t="s">
        <v>224</v>
      </c>
      <c r="T17" s="136">
        <v>1.0</v>
      </c>
      <c r="U17" s="136" t="s">
        <v>148</v>
      </c>
    </row>
    <row r="18">
      <c r="A18" s="7">
        <v>55.0</v>
      </c>
      <c r="B18" s="7" t="s">
        <v>7</v>
      </c>
      <c r="C18" s="7" t="s">
        <v>225</v>
      </c>
      <c r="D18" s="7" t="s">
        <v>143</v>
      </c>
      <c r="E18" s="7" t="s">
        <v>136</v>
      </c>
      <c r="F18" s="7" t="s">
        <v>136</v>
      </c>
      <c r="G18" s="133" t="s">
        <v>226</v>
      </c>
      <c r="I18" s="7" t="s">
        <v>136</v>
      </c>
      <c r="J18" s="7" t="s">
        <v>227</v>
      </c>
      <c r="K18" s="7" t="s">
        <v>139</v>
      </c>
      <c r="L18" s="7" t="s">
        <v>25</v>
      </c>
      <c r="N18" s="16" t="s">
        <v>50</v>
      </c>
      <c r="O18" s="7" t="s">
        <v>228</v>
      </c>
      <c r="P18" s="7">
        <f t="shared" si="1"/>
        <v>69</v>
      </c>
      <c r="Q18" s="11" t="str">
        <f t="array" ref="Q18">XLOOKUP(O18,Countries!A$2:A$120,Countries!B$2:B$120,"tbd",0)</f>
        <v>widening countries</v>
      </c>
      <c r="S18" s="7" t="s">
        <v>229</v>
      </c>
      <c r="T18" s="7">
        <v>2.0</v>
      </c>
      <c r="U18" s="7" t="s">
        <v>148</v>
      </c>
    </row>
    <row r="19">
      <c r="A19" s="7">
        <v>38.0</v>
      </c>
      <c r="B19" s="7" t="s">
        <v>7</v>
      </c>
      <c r="C19" s="7" t="s">
        <v>230</v>
      </c>
      <c r="D19" s="7" t="s">
        <v>193</v>
      </c>
      <c r="E19" s="7" t="s">
        <v>135</v>
      </c>
      <c r="F19" s="7" t="s">
        <v>136</v>
      </c>
      <c r="G19" s="7" t="s">
        <v>231</v>
      </c>
      <c r="I19" s="7" t="s">
        <v>136</v>
      </c>
      <c r="J19" s="7" t="s">
        <v>232</v>
      </c>
      <c r="K19" s="7" t="s">
        <v>139</v>
      </c>
      <c r="L19" s="7" t="s">
        <v>25</v>
      </c>
      <c r="N19" s="16" t="s">
        <v>65</v>
      </c>
      <c r="O19" s="7" t="s">
        <v>233</v>
      </c>
      <c r="P19" s="7">
        <f t="shared" si="1"/>
        <v>109</v>
      </c>
      <c r="Q19" s="11" t="str">
        <f t="array" ref="Q19">XLOOKUP(O19,Countries!A$2:A$120,Countries!B$2:B$120,"tbd",0)</f>
        <v>widening countries</v>
      </c>
      <c r="S19" s="135" t="s">
        <v>234</v>
      </c>
      <c r="T19" s="7">
        <v>1.0</v>
      </c>
      <c r="U19" s="7" t="s">
        <v>148</v>
      </c>
    </row>
    <row r="20">
      <c r="A20" s="7">
        <v>4.0</v>
      </c>
      <c r="B20" s="7" t="s">
        <v>8</v>
      </c>
      <c r="C20" s="7" t="s">
        <v>235</v>
      </c>
      <c r="D20" s="7" t="s">
        <v>164</v>
      </c>
      <c r="E20" s="7" t="s">
        <v>136</v>
      </c>
      <c r="F20" s="7" t="s">
        <v>136</v>
      </c>
      <c r="G20" s="7" t="s">
        <v>191</v>
      </c>
      <c r="I20" s="7" t="s">
        <v>136</v>
      </c>
      <c r="J20" s="7" t="s">
        <v>236</v>
      </c>
      <c r="K20" s="7" t="s">
        <v>139</v>
      </c>
      <c r="L20" s="7" t="s">
        <v>25</v>
      </c>
      <c r="N20" s="16" t="s">
        <v>237</v>
      </c>
      <c r="O20" s="7" t="s">
        <v>238</v>
      </c>
      <c r="P20" s="7">
        <f t="shared" si="1"/>
        <v>12</v>
      </c>
      <c r="Q20" s="11" t="str">
        <f t="array" ref="Q20">XLOOKUP(O20,Countries!A$2:A$120,Countries!B$2:B$120,"tbd",0)</f>
        <v>widening countries</v>
      </c>
      <c r="S20" s="7" t="s">
        <v>239</v>
      </c>
      <c r="T20" s="7">
        <v>10.0</v>
      </c>
      <c r="U20" s="7" t="s">
        <v>148</v>
      </c>
    </row>
    <row r="21">
      <c r="A21" s="7">
        <v>48.0</v>
      </c>
      <c r="B21" s="7" t="s">
        <v>6</v>
      </c>
      <c r="C21" s="7" t="s">
        <v>240</v>
      </c>
      <c r="D21" s="7" t="s">
        <v>197</v>
      </c>
      <c r="E21" s="7" t="s">
        <v>136</v>
      </c>
      <c r="F21" s="7" t="s">
        <v>136</v>
      </c>
      <c r="G21" s="133" t="s">
        <v>241</v>
      </c>
      <c r="I21" s="7" t="s">
        <v>135</v>
      </c>
      <c r="J21" s="7" t="s">
        <v>242</v>
      </c>
      <c r="K21" s="7" t="s">
        <v>139</v>
      </c>
      <c r="L21" s="7" t="s">
        <v>25</v>
      </c>
      <c r="N21" s="16" t="s">
        <v>74</v>
      </c>
      <c r="O21" s="7" t="s">
        <v>243</v>
      </c>
      <c r="P21" s="7">
        <f t="shared" si="1"/>
        <v>57</v>
      </c>
      <c r="Q21" s="11" t="str">
        <f t="array" ref="Q21">XLOOKUP(O21,Countries!A$2:A$120,Countries!B$2:B$120,"tbd",0)</f>
        <v>Middle East</v>
      </c>
      <c r="S21" s="136" t="s">
        <v>244</v>
      </c>
      <c r="T21" s="136">
        <v>10.0</v>
      </c>
      <c r="U21" s="136" t="s">
        <v>148</v>
      </c>
    </row>
    <row r="22">
      <c r="A22" s="7">
        <v>13.0</v>
      </c>
      <c r="B22" s="7" t="s">
        <v>6</v>
      </c>
      <c r="C22" s="7" t="s">
        <v>245</v>
      </c>
      <c r="D22" s="7" t="s">
        <v>202</v>
      </c>
      <c r="E22" s="7" t="s">
        <v>136</v>
      </c>
      <c r="F22" s="7" t="s">
        <v>136</v>
      </c>
      <c r="G22" s="133" t="s">
        <v>246</v>
      </c>
      <c r="I22" s="7" t="s">
        <v>135</v>
      </c>
      <c r="J22" s="7" t="s">
        <v>247</v>
      </c>
      <c r="K22" s="7" t="s">
        <v>139</v>
      </c>
      <c r="L22" s="7" t="s">
        <v>25</v>
      </c>
      <c r="N22" s="16" t="s">
        <v>66</v>
      </c>
      <c r="O22" s="7" t="s">
        <v>248</v>
      </c>
      <c r="P22" s="7">
        <f t="shared" si="1"/>
        <v>10</v>
      </c>
      <c r="Q22" s="11" t="str">
        <f t="array" ref="Q22">XLOOKUP(O22,Countries!A$2:A$120,Countries!B$2:B$120,"tbd",0)</f>
        <v>Europe</v>
      </c>
      <c r="S22" s="7" t="s">
        <v>249</v>
      </c>
      <c r="T22" s="7">
        <v>4.0</v>
      </c>
      <c r="U22" s="7" t="s">
        <v>148</v>
      </c>
    </row>
    <row r="23">
      <c r="A23" s="7">
        <v>45.0</v>
      </c>
      <c r="B23" s="7" t="s">
        <v>7</v>
      </c>
      <c r="C23" s="7" t="s">
        <v>250</v>
      </c>
      <c r="D23" s="7" t="s">
        <v>209</v>
      </c>
      <c r="E23" s="7" t="s">
        <v>135</v>
      </c>
      <c r="F23" s="7" t="s">
        <v>136</v>
      </c>
      <c r="G23" s="133" t="s">
        <v>251</v>
      </c>
      <c r="H23" s="7" t="s">
        <v>252</v>
      </c>
      <c r="I23" s="7" t="s">
        <v>135</v>
      </c>
      <c r="J23" s="7" t="s">
        <v>253</v>
      </c>
      <c r="K23" s="7" t="s">
        <v>139</v>
      </c>
      <c r="L23" s="7" t="s">
        <v>25</v>
      </c>
      <c r="N23" s="83" t="s">
        <v>254</v>
      </c>
      <c r="O23" s="7" t="s">
        <v>255</v>
      </c>
      <c r="P23" s="7">
        <f t="shared" si="1"/>
        <v>10</v>
      </c>
      <c r="Q23" s="11" t="str">
        <f t="array" ref="Q23">XLOOKUP(O23,Countries!A$2:A$120,Countries!B$2:B$120,"tbd",0)</f>
        <v>Asia</v>
      </c>
      <c r="S23" s="7" t="s">
        <v>255</v>
      </c>
      <c r="T23" s="7">
        <v>10.0</v>
      </c>
      <c r="U23" s="7" t="s">
        <v>148</v>
      </c>
    </row>
    <row r="24">
      <c r="A24" s="7">
        <v>88.0</v>
      </c>
      <c r="B24" s="7" t="s">
        <v>7</v>
      </c>
      <c r="C24" s="7" t="s">
        <v>200</v>
      </c>
      <c r="D24" s="7" t="s">
        <v>143</v>
      </c>
      <c r="E24" s="7" t="s">
        <v>135</v>
      </c>
      <c r="F24" s="7" t="s">
        <v>135</v>
      </c>
      <c r="G24" s="133" t="s">
        <v>256</v>
      </c>
      <c r="I24" s="7" t="s">
        <v>136</v>
      </c>
      <c r="J24" s="7" t="s">
        <v>257</v>
      </c>
      <c r="K24" s="7" t="s">
        <v>139</v>
      </c>
      <c r="L24" s="7" t="s">
        <v>25</v>
      </c>
      <c r="N24" s="16" t="s">
        <v>54</v>
      </c>
      <c r="O24" s="7" t="s">
        <v>258</v>
      </c>
      <c r="P24" s="7">
        <f t="shared" si="1"/>
        <v>14</v>
      </c>
      <c r="Q24" s="11" t="str">
        <f t="array" ref="Q24">XLOOKUP(O24,Countries!A$2:A$120,Countries!B$2:B$120,"tbd",0)</f>
        <v>U.S. + Canada</v>
      </c>
      <c r="S24" s="7" t="s">
        <v>259</v>
      </c>
      <c r="T24" s="7">
        <v>2.0</v>
      </c>
      <c r="U24" s="7" t="s">
        <v>148</v>
      </c>
    </row>
    <row r="25">
      <c r="A25" s="7">
        <v>67.0</v>
      </c>
      <c r="B25" s="7" t="s">
        <v>6</v>
      </c>
      <c r="C25" s="7" t="s">
        <v>260</v>
      </c>
      <c r="D25" s="7" t="s">
        <v>213</v>
      </c>
      <c r="E25" s="7" t="s">
        <v>136</v>
      </c>
      <c r="F25" s="7" t="s">
        <v>136</v>
      </c>
      <c r="G25" s="7" t="s">
        <v>137</v>
      </c>
      <c r="I25" s="7" t="s">
        <v>135</v>
      </c>
      <c r="J25" s="7" t="s">
        <v>261</v>
      </c>
      <c r="K25" s="7" t="s">
        <v>139</v>
      </c>
      <c r="L25" s="7" t="s">
        <v>25</v>
      </c>
      <c r="N25" s="16" t="s">
        <v>262</v>
      </c>
      <c r="O25" s="7" t="s">
        <v>263</v>
      </c>
      <c r="P25" s="7">
        <f t="shared" si="1"/>
        <v>186</v>
      </c>
      <c r="Q25" s="11" t="str">
        <f t="array" ref="Q25">XLOOKUP(O25,Countries!A$2:A$120,Countries!B$2:B$120,"tbd",0)</f>
        <v>U.S. + Canada</v>
      </c>
      <c r="S25" s="16" t="s">
        <v>264</v>
      </c>
      <c r="T25" s="136">
        <v>3.0</v>
      </c>
      <c r="U25" s="136" t="s">
        <v>148</v>
      </c>
      <c r="V25" s="16">
        <f>SUM(T13:T25)</f>
        <v>121</v>
      </c>
    </row>
    <row r="26">
      <c r="A26" s="7">
        <v>58.0</v>
      </c>
      <c r="B26" s="7" t="s">
        <v>7</v>
      </c>
      <c r="C26" s="7" t="s">
        <v>211</v>
      </c>
      <c r="D26" s="7" t="s">
        <v>176</v>
      </c>
      <c r="E26" s="7" t="s">
        <v>136</v>
      </c>
      <c r="F26" s="7" t="s">
        <v>136</v>
      </c>
      <c r="G26" s="7" t="s">
        <v>265</v>
      </c>
      <c r="I26" s="7" t="s">
        <v>135</v>
      </c>
      <c r="J26" s="7" t="s">
        <v>266</v>
      </c>
      <c r="K26" s="7" t="s">
        <v>139</v>
      </c>
      <c r="L26" s="7" t="s">
        <v>25</v>
      </c>
      <c r="N26" s="16" t="s">
        <v>267</v>
      </c>
      <c r="O26" s="7" t="s">
        <v>219</v>
      </c>
      <c r="P26" s="7">
        <f t="shared" si="1"/>
        <v>14</v>
      </c>
      <c r="Q26" s="11" t="str">
        <f t="array" ref="Q26">XLOOKUP(O26,Countries!A$2:A$120,Countries!B$2:B$120,"tbd",0)</f>
        <v>Asia</v>
      </c>
      <c r="S26" s="7" t="s">
        <v>268</v>
      </c>
      <c r="T26" s="7">
        <v>24.0</v>
      </c>
      <c r="U26" s="7" t="s">
        <v>269</v>
      </c>
    </row>
    <row r="27">
      <c r="A27" s="7">
        <v>32.0</v>
      </c>
      <c r="B27" s="7" t="s">
        <v>6</v>
      </c>
      <c r="C27" s="7" t="s">
        <v>270</v>
      </c>
      <c r="D27" s="7" t="s">
        <v>134</v>
      </c>
      <c r="E27" s="7" t="s">
        <v>135</v>
      </c>
      <c r="F27" s="7" t="s">
        <v>136</v>
      </c>
      <c r="G27" s="7" t="s">
        <v>271</v>
      </c>
      <c r="I27" s="7" t="s">
        <v>136</v>
      </c>
      <c r="J27" s="7" t="s">
        <v>272</v>
      </c>
      <c r="K27" s="7" t="s">
        <v>139</v>
      </c>
      <c r="L27" s="7" t="s">
        <v>25</v>
      </c>
      <c r="N27" s="16" t="s">
        <v>273</v>
      </c>
      <c r="O27" s="7" t="s">
        <v>274</v>
      </c>
      <c r="P27" s="7">
        <f t="shared" si="1"/>
        <v>3</v>
      </c>
      <c r="Q27" s="11" t="str">
        <f t="array" ref="Q27">XLOOKUP(O27,Countries!A$2:A$120,Countries!B$2:B$120,"tbd",0)</f>
        <v>widening countries</v>
      </c>
      <c r="S27" s="135" t="s">
        <v>275</v>
      </c>
      <c r="T27" s="7">
        <v>3.0</v>
      </c>
      <c r="U27" s="7" t="s">
        <v>269</v>
      </c>
      <c r="V27" s="7"/>
    </row>
    <row r="28">
      <c r="A28" s="7">
        <v>56.0</v>
      </c>
      <c r="B28" s="7" t="s">
        <v>7</v>
      </c>
      <c r="C28" s="7" t="s">
        <v>276</v>
      </c>
      <c r="D28" s="7" t="s">
        <v>218</v>
      </c>
      <c r="E28" s="7" t="s">
        <v>135</v>
      </c>
      <c r="F28" s="7" t="s">
        <v>136</v>
      </c>
      <c r="G28" s="7" t="s">
        <v>221</v>
      </c>
      <c r="I28" s="7" t="s">
        <v>135</v>
      </c>
      <c r="J28" s="7" t="s">
        <v>277</v>
      </c>
      <c r="K28" s="7" t="s">
        <v>139</v>
      </c>
      <c r="L28" s="7" t="s">
        <v>25</v>
      </c>
      <c r="N28" s="16" t="s">
        <v>278</v>
      </c>
      <c r="O28" s="7" t="s">
        <v>279</v>
      </c>
      <c r="P28" s="7">
        <f t="shared" si="1"/>
        <v>3</v>
      </c>
      <c r="Q28" s="11" t="str">
        <f t="array" ref="Q28">XLOOKUP(O28,Countries!A$2:A$120,Countries!B$2:B$120,"tbd",0)</f>
        <v>Middle East</v>
      </c>
      <c r="S28" s="7" t="s">
        <v>209</v>
      </c>
      <c r="T28" s="7">
        <v>34.0</v>
      </c>
      <c r="U28" s="7" t="s">
        <v>269</v>
      </c>
    </row>
    <row r="29">
      <c r="A29" s="7">
        <v>49.0</v>
      </c>
      <c r="B29" s="7" t="s">
        <v>6</v>
      </c>
      <c r="C29" s="7" t="s">
        <v>280</v>
      </c>
      <c r="D29" s="7" t="s">
        <v>202</v>
      </c>
      <c r="E29" s="7" t="s">
        <v>136</v>
      </c>
      <c r="F29" s="7" t="s">
        <v>136</v>
      </c>
      <c r="G29" s="7" t="s">
        <v>281</v>
      </c>
      <c r="I29" s="7" t="s">
        <v>136</v>
      </c>
      <c r="J29" s="7" t="s">
        <v>282</v>
      </c>
      <c r="K29" s="7" t="s">
        <v>139</v>
      </c>
      <c r="L29" s="7" t="s">
        <v>25</v>
      </c>
      <c r="N29" s="16" t="s">
        <v>283</v>
      </c>
      <c r="O29" s="7" t="s">
        <v>284</v>
      </c>
      <c r="P29" s="7">
        <f t="shared" si="1"/>
        <v>13</v>
      </c>
      <c r="Q29" s="11" t="str">
        <f t="array" ref="Q29">XLOOKUP(O29,Countries!A$2:A$120,Countries!B$2:B$120,"tbd",0)</f>
        <v>Middle East</v>
      </c>
      <c r="S29" s="136" t="s">
        <v>285</v>
      </c>
      <c r="T29" s="136">
        <v>7.0</v>
      </c>
      <c r="U29" s="136" t="s">
        <v>269</v>
      </c>
    </row>
    <row r="30">
      <c r="A30" s="7">
        <v>23.0</v>
      </c>
      <c r="B30" s="7" t="s">
        <v>7</v>
      </c>
      <c r="C30" s="7" t="s">
        <v>286</v>
      </c>
      <c r="D30" s="7" t="s">
        <v>202</v>
      </c>
      <c r="E30" s="7" t="s">
        <v>135</v>
      </c>
      <c r="F30" s="7" t="s">
        <v>136</v>
      </c>
      <c r="G30" s="7" t="s">
        <v>287</v>
      </c>
      <c r="I30" s="7" t="s">
        <v>136</v>
      </c>
      <c r="J30" s="7" t="s">
        <v>288</v>
      </c>
      <c r="K30" s="7" t="s">
        <v>139</v>
      </c>
      <c r="L30" s="7" t="s">
        <v>25</v>
      </c>
      <c r="N30" s="16" t="s">
        <v>289</v>
      </c>
      <c r="O30" s="7" t="s">
        <v>290</v>
      </c>
      <c r="P30" s="7">
        <f t="shared" si="1"/>
        <v>49</v>
      </c>
      <c r="Q30" s="11" t="str">
        <f t="array" ref="Q30">XLOOKUP(O30,Countries!A$2:A$120,Countries!B$2:B$120,"tbd",0)</f>
        <v>Middle East</v>
      </c>
      <c r="S30" s="136" t="s">
        <v>291</v>
      </c>
      <c r="T30" s="136">
        <v>6.0</v>
      </c>
      <c r="U30" s="136" t="s">
        <v>269</v>
      </c>
    </row>
    <row r="31">
      <c r="A31" s="7">
        <v>7.0</v>
      </c>
      <c r="B31" s="7" t="s">
        <v>7</v>
      </c>
      <c r="C31" s="7" t="s">
        <v>204</v>
      </c>
      <c r="D31" s="7" t="s">
        <v>170</v>
      </c>
      <c r="E31" s="7" t="s">
        <v>136</v>
      </c>
      <c r="F31" s="7" t="s">
        <v>136</v>
      </c>
      <c r="G31" s="7" t="s">
        <v>292</v>
      </c>
      <c r="H31" s="133" t="s">
        <v>293</v>
      </c>
      <c r="I31" s="7" t="s">
        <v>135</v>
      </c>
      <c r="J31" s="7" t="s">
        <v>294</v>
      </c>
      <c r="K31" s="7" t="s">
        <v>139</v>
      </c>
      <c r="L31" s="7" t="s">
        <v>25</v>
      </c>
      <c r="N31" s="16" t="s">
        <v>295</v>
      </c>
      <c r="O31" s="7" t="s">
        <v>296</v>
      </c>
      <c r="P31" s="7">
        <f t="shared" si="1"/>
        <v>13</v>
      </c>
      <c r="Q31" s="11" t="str">
        <f t="array" ref="Q31">XLOOKUP(O31,Countries!A$2:A$120,Countries!B$2:B$120,"tbd",0)</f>
        <v>Middle East</v>
      </c>
      <c r="S31" s="7" t="s">
        <v>159</v>
      </c>
      <c r="T31" s="7">
        <v>13.0</v>
      </c>
      <c r="U31" s="7" t="s">
        <v>269</v>
      </c>
    </row>
    <row r="32">
      <c r="A32" s="7">
        <v>46.0</v>
      </c>
      <c r="B32" s="7" t="s">
        <v>6</v>
      </c>
      <c r="C32" s="7" t="s">
        <v>215</v>
      </c>
      <c r="D32" s="7" t="s">
        <v>166</v>
      </c>
      <c r="E32" s="7" t="s">
        <v>135</v>
      </c>
      <c r="F32" s="7" t="s">
        <v>135</v>
      </c>
      <c r="G32" s="7" t="s">
        <v>297</v>
      </c>
      <c r="H32" s="133" t="s">
        <v>298</v>
      </c>
      <c r="I32" s="7" t="s">
        <v>136</v>
      </c>
      <c r="J32" s="7" t="s">
        <v>299</v>
      </c>
      <c r="K32" s="7" t="s">
        <v>139</v>
      </c>
      <c r="L32" s="7" t="s">
        <v>25</v>
      </c>
      <c r="N32" s="16" t="s">
        <v>300</v>
      </c>
      <c r="O32" s="7" t="s">
        <v>301</v>
      </c>
      <c r="P32" s="7">
        <f t="shared" si="1"/>
        <v>4</v>
      </c>
      <c r="Q32" s="11" t="str">
        <f t="array" ref="Q32">XLOOKUP(O32,Countries!A$2:A$120,Countries!B$2:B$120,"tbd",0)</f>
        <v>Middle East</v>
      </c>
      <c r="S32" s="7" t="s">
        <v>302</v>
      </c>
      <c r="T32" s="7">
        <v>17.0</v>
      </c>
      <c r="U32" s="7" t="s">
        <v>269</v>
      </c>
    </row>
    <row r="33">
      <c r="A33" s="7">
        <v>30.0</v>
      </c>
      <c r="B33" s="7" t="s">
        <v>6</v>
      </c>
      <c r="C33" s="7" t="s">
        <v>303</v>
      </c>
      <c r="D33" s="7" t="s">
        <v>164</v>
      </c>
      <c r="E33" s="7" t="s">
        <v>135</v>
      </c>
      <c r="F33" s="7" t="s">
        <v>136</v>
      </c>
      <c r="G33" s="7" t="s">
        <v>292</v>
      </c>
      <c r="H33" s="133" t="s">
        <v>304</v>
      </c>
      <c r="I33" s="7" t="s">
        <v>135</v>
      </c>
      <c r="J33" s="7" t="s">
        <v>305</v>
      </c>
      <c r="K33" s="7" t="s">
        <v>139</v>
      </c>
      <c r="L33" s="7" t="s">
        <v>25</v>
      </c>
      <c r="N33" s="16" t="s">
        <v>55</v>
      </c>
      <c r="O33" s="7" t="s">
        <v>268</v>
      </c>
      <c r="P33" s="7">
        <f t="shared" si="1"/>
        <v>24</v>
      </c>
      <c r="Q33" s="11" t="str">
        <f t="array" ref="Q33">XLOOKUP(O33,Countries!A$2:A$120,Countries!B$2:B$120,"tbd",0)</f>
        <v>associated countries</v>
      </c>
      <c r="S33" s="7" t="s">
        <v>218</v>
      </c>
      <c r="T33" s="7">
        <v>41.0</v>
      </c>
      <c r="U33" s="7" t="s">
        <v>269</v>
      </c>
    </row>
    <row r="34">
      <c r="A34" s="7">
        <v>31.0</v>
      </c>
      <c r="B34" s="7" t="s">
        <v>6</v>
      </c>
      <c r="C34" s="7" t="s">
        <v>306</v>
      </c>
      <c r="D34" s="7" t="s">
        <v>143</v>
      </c>
      <c r="E34" s="7" t="s">
        <v>135</v>
      </c>
      <c r="F34" s="7" t="s">
        <v>136</v>
      </c>
      <c r="G34" s="7" t="s">
        <v>307</v>
      </c>
      <c r="I34" s="7" t="s">
        <v>136</v>
      </c>
      <c r="J34" s="7" t="s">
        <v>308</v>
      </c>
      <c r="K34" s="7" t="s">
        <v>139</v>
      </c>
      <c r="L34" s="7" t="s">
        <v>25</v>
      </c>
      <c r="N34" s="16" t="s">
        <v>56</v>
      </c>
      <c r="O34" s="7" t="s">
        <v>244</v>
      </c>
      <c r="P34" s="7">
        <f t="shared" si="1"/>
        <v>10</v>
      </c>
      <c r="Q34" s="11" t="str">
        <f t="array" ref="Q34">XLOOKUP(O34,Countries!A$2:A$120,Countries!B$2:B$120,"tbd",0)</f>
        <v>Asia</v>
      </c>
      <c r="S34" s="135" t="s">
        <v>309</v>
      </c>
      <c r="T34" s="7">
        <v>4.0</v>
      </c>
      <c r="U34" s="7" t="s">
        <v>269</v>
      </c>
    </row>
    <row r="35">
      <c r="A35" s="7">
        <v>76.0</v>
      </c>
      <c r="B35" s="7" t="s">
        <v>8</v>
      </c>
      <c r="C35" s="7" t="s">
        <v>235</v>
      </c>
      <c r="D35" s="7" t="s">
        <v>164</v>
      </c>
      <c r="E35" s="7" t="s">
        <v>135</v>
      </c>
      <c r="F35" s="7" t="s">
        <v>135</v>
      </c>
      <c r="G35" s="7" t="s">
        <v>310</v>
      </c>
      <c r="I35" s="7" t="s">
        <v>135</v>
      </c>
      <c r="J35" s="7" t="s">
        <v>311</v>
      </c>
      <c r="K35" s="7" t="s">
        <v>139</v>
      </c>
      <c r="L35" s="7" t="s">
        <v>25</v>
      </c>
      <c r="N35" s="16" t="s">
        <v>312</v>
      </c>
      <c r="O35" s="7" t="s">
        <v>313</v>
      </c>
      <c r="P35" s="7">
        <f t="shared" si="1"/>
        <v>11</v>
      </c>
      <c r="Q35" s="11" t="str">
        <f t="array" ref="Q35">XLOOKUP(O35,Countries!A$2:A$120,Countries!B$2:B$120,"tbd",0)</f>
        <v>Middle/South America</v>
      </c>
      <c r="S35" s="136" t="s">
        <v>314</v>
      </c>
      <c r="T35" s="136">
        <v>1.0</v>
      </c>
      <c r="U35" s="136" t="s">
        <v>269</v>
      </c>
    </row>
    <row r="36">
      <c r="A36" s="7">
        <v>2.0</v>
      </c>
      <c r="B36" s="7" t="s">
        <v>6</v>
      </c>
      <c r="C36" s="7" t="s">
        <v>315</v>
      </c>
      <c r="D36" s="7" t="s">
        <v>164</v>
      </c>
      <c r="E36" s="7" t="s">
        <v>135</v>
      </c>
      <c r="F36" s="7" t="s">
        <v>136</v>
      </c>
      <c r="G36" s="7" t="s">
        <v>316</v>
      </c>
      <c r="I36" s="7" t="s">
        <v>136</v>
      </c>
      <c r="J36" s="7" t="s">
        <v>317</v>
      </c>
      <c r="K36" s="7" t="s">
        <v>139</v>
      </c>
      <c r="L36" s="7" t="s">
        <v>25</v>
      </c>
      <c r="N36" s="16"/>
      <c r="O36" s="7" t="s">
        <v>318</v>
      </c>
      <c r="P36" s="7">
        <f t="shared" si="1"/>
        <v>5</v>
      </c>
      <c r="Q36" s="11" t="str">
        <f t="array" ref="Q36">XLOOKUP(O36,Countries!A$2:A$120,Countries!B$2:B$120,"tbd",0)</f>
        <v>Middle/South America</v>
      </c>
      <c r="S36" s="136" t="s">
        <v>153</v>
      </c>
      <c r="T36" s="136">
        <v>62.0</v>
      </c>
      <c r="U36" s="136" t="s">
        <v>269</v>
      </c>
      <c r="V36" s="7"/>
    </row>
    <row r="37">
      <c r="A37" s="7">
        <v>72.0</v>
      </c>
      <c r="B37" s="7" t="s">
        <v>7</v>
      </c>
      <c r="C37" s="7" t="s">
        <v>319</v>
      </c>
      <c r="D37" s="7" t="s">
        <v>223</v>
      </c>
      <c r="E37" s="7" t="s">
        <v>136</v>
      </c>
      <c r="F37" s="7" t="s">
        <v>136</v>
      </c>
      <c r="G37" s="7" t="s">
        <v>320</v>
      </c>
      <c r="I37" s="7" t="s">
        <v>136</v>
      </c>
      <c r="J37" s="7" t="s">
        <v>321</v>
      </c>
      <c r="K37" s="7" t="s">
        <v>139</v>
      </c>
      <c r="L37" s="7" t="s">
        <v>25</v>
      </c>
      <c r="O37" s="7" t="s">
        <v>203</v>
      </c>
      <c r="P37" s="7">
        <f t="shared" si="1"/>
        <v>30</v>
      </c>
      <c r="Q37" s="11" t="str">
        <f t="array" ref="Q37">XLOOKUP(O37,Countries!A$2:A$120,Countries!B$2:B$120,"tbd",0)</f>
        <v>Asia</v>
      </c>
      <c r="S37" s="7" t="s">
        <v>322</v>
      </c>
      <c r="T37" s="7">
        <v>4.0</v>
      </c>
      <c r="U37" s="7" t="s">
        <v>269</v>
      </c>
    </row>
    <row r="38">
      <c r="A38" s="7">
        <v>6.0</v>
      </c>
      <c r="B38" s="7" t="s">
        <v>7</v>
      </c>
      <c r="C38" s="7" t="s">
        <v>323</v>
      </c>
      <c r="D38" s="7" t="s">
        <v>164</v>
      </c>
      <c r="E38" s="7" t="s">
        <v>135</v>
      </c>
      <c r="F38" s="7" t="s">
        <v>136</v>
      </c>
      <c r="G38" s="7" t="s">
        <v>137</v>
      </c>
      <c r="I38" s="7" t="s">
        <v>136</v>
      </c>
      <c r="J38" s="7" t="s">
        <v>324</v>
      </c>
      <c r="K38" s="7" t="s">
        <v>139</v>
      </c>
      <c r="L38" s="7" t="s">
        <v>25</v>
      </c>
      <c r="O38" s="7" t="s">
        <v>314</v>
      </c>
      <c r="P38" s="7">
        <f t="shared" si="1"/>
        <v>1</v>
      </c>
      <c r="Q38" s="11" t="str">
        <f t="array" ref="Q38">XLOOKUP(O38,Countries!A$2:A$120,Countries!B$2:B$120,"tbd",0)</f>
        <v>associated countries</v>
      </c>
      <c r="S38" s="7" t="s">
        <v>193</v>
      </c>
      <c r="T38" s="7">
        <v>65.0</v>
      </c>
      <c r="U38" s="7" t="s">
        <v>269</v>
      </c>
      <c r="V38" s="16">
        <f>SUM(T26:T38)</f>
        <v>281</v>
      </c>
    </row>
    <row r="39">
      <c r="A39" s="7">
        <v>21.0</v>
      </c>
      <c r="B39" s="7" t="s">
        <v>6</v>
      </c>
      <c r="C39" s="7" t="s">
        <v>325</v>
      </c>
      <c r="D39" s="7" t="s">
        <v>193</v>
      </c>
      <c r="E39" s="7" t="s">
        <v>136</v>
      </c>
      <c r="F39" s="7" t="s">
        <v>136</v>
      </c>
      <c r="G39" s="7" t="s">
        <v>174</v>
      </c>
      <c r="I39" s="7" t="s">
        <v>135</v>
      </c>
      <c r="J39" s="7" t="s">
        <v>326</v>
      </c>
      <c r="K39" s="7" t="s">
        <v>139</v>
      </c>
      <c r="L39" s="7" t="s">
        <v>25</v>
      </c>
      <c r="O39" s="7" t="s">
        <v>239</v>
      </c>
      <c r="P39" s="7">
        <f t="shared" si="1"/>
        <v>10</v>
      </c>
      <c r="Q39" s="11" t="str">
        <f t="array" ref="Q39">XLOOKUP(O39,Countries!A$2:A$120,Countries!B$2:B$120,"tbd",0)</f>
        <v>Asia</v>
      </c>
      <c r="S39" s="7" t="s">
        <v>327</v>
      </c>
      <c r="T39" s="7">
        <v>2.0</v>
      </c>
      <c r="U39" s="7" t="s">
        <v>328</v>
      </c>
    </row>
    <row r="40">
      <c r="A40" s="7">
        <v>86.0</v>
      </c>
      <c r="B40" s="7" t="s">
        <v>6</v>
      </c>
      <c r="C40" s="7" t="s">
        <v>329</v>
      </c>
      <c r="D40" s="7" t="s">
        <v>213</v>
      </c>
      <c r="E40" s="7" t="s">
        <v>135</v>
      </c>
      <c r="F40" s="7" t="s">
        <v>136</v>
      </c>
      <c r="G40" s="7" t="s">
        <v>137</v>
      </c>
      <c r="I40" s="7" t="s">
        <v>135</v>
      </c>
      <c r="J40" s="7" t="s">
        <v>330</v>
      </c>
      <c r="K40" s="7" t="s">
        <v>139</v>
      </c>
      <c r="L40" s="7" t="s">
        <v>25</v>
      </c>
      <c r="O40" s="7" t="s">
        <v>229</v>
      </c>
      <c r="P40" s="7">
        <f t="shared" si="1"/>
        <v>2</v>
      </c>
      <c r="Q40" s="11" t="str">
        <f t="array" ref="Q40">XLOOKUP(O40,Countries!A$2:A$120,Countries!B$2:B$120,"tbd",0)</f>
        <v>Asia</v>
      </c>
      <c r="S40" s="7" t="s">
        <v>331</v>
      </c>
      <c r="T40" s="7">
        <v>12.0</v>
      </c>
      <c r="U40" s="7" t="s">
        <v>328</v>
      </c>
    </row>
    <row r="41">
      <c r="A41" s="7">
        <v>10.0</v>
      </c>
      <c r="B41" s="7" t="s">
        <v>7</v>
      </c>
      <c r="C41" s="7" t="s">
        <v>235</v>
      </c>
      <c r="D41" s="7" t="s">
        <v>164</v>
      </c>
      <c r="E41" s="7" t="s">
        <v>135</v>
      </c>
      <c r="F41" s="7" t="s">
        <v>136</v>
      </c>
      <c r="G41" s="7" t="s">
        <v>332</v>
      </c>
      <c r="I41" s="7" t="s">
        <v>135</v>
      </c>
      <c r="J41" s="7" t="s">
        <v>333</v>
      </c>
      <c r="K41" s="7" t="s">
        <v>139</v>
      </c>
      <c r="L41" s="7" t="s">
        <v>25</v>
      </c>
      <c r="O41" s="7" t="s">
        <v>214</v>
      </c>
      <c r="P41" s="7">
        <f t="shared" si="1"/>
        <v>31</v>
      </c>
      <c r="Q41" s="11" t="str">
        <f t="array" ref="Q41">XLOOKUP(O41,Countries!A$2:A$120,Countries!B$2:B$120,"tbd",0)</f>
        <v>Asia</v>
      </c>
      <c r="S41" s="136" t="s">
        <v>197</v>
      </c>
      <c r="T41" s="136">
        <v>44.0</v>
      </c>
      <c r="U41" s="136" t="s">
        <v>328</v>
      </c>
    </row>
    <row r="42">
      <c r="A42" s="7">
        <v>87.0</v>
      </c>
      <c r="B42" s="7" t="s">
        <v>7</v>
      </c>
      <c r="C42" s="7" t="s">
        <v>334</v>
      </c>
      <c r="D42" s="7" t="s">
        <v>228</v>
      </c>
      <c r="E42" s="7" t="s">
        <v>136</v>
      </c>
      <c r="F42" s="7" t="s">
        <v>136</v>
      </c>
      <c r="G42" s="7" t="s">
        <v>335</v>
      </c>
      <c r="I42" s="7" t="s">
        <v>135</v>
      </c>
      <c r="J42" s="7" t="s">
        <v>336</v>
      </c>
      <c r="K42" s="7" t="s">
        <v>139</v>
      </c>
      <c r="L42" s="7" t="s">
        <v>25</v>
      </c>
      <c r="O42" s="7" t="s">
        <v>285</v>
      </c>
      <c r="P42" s="7">
        <f t="shared" si="1"/>
        <v>7</v>
      </c>
      <c r="Q42" s="11" t="str">
        <f t="array" ref="Q42">XLOOKUP(O42,Countries!A$2:A$120,Countries!B$2:B$120,"tbd",0)</f>
        <v>associated countries</v>
      </c>
      <c r="S42" s="137" t="s">
        <v>337</v>
      </c>
      <c r="T42" s="54">
        <v>2.0</v>
      </c>
      <c r="U42" s="54" t="s">
        <v>328</v>
      </c>
    </row>
    <row r="43">
      <c r="A43" s="7">
        <v>69.0</v>
      </c>
      <c r="B43" s="7" t="s">
        <v>6</v>
      </c>
      <c r="C43" s="7" t="s">
        <v>338</v>
      </c>
      <c r="D43" s="7" t="s">
        <v>143</v>
      </c>
      <c r="E43" s="7" t="s">
        <v>136</v>
      </c>
      <c r="F43" s="7" t="s">
        <v>136</v>
      </c>
      <c r="G43" s="7" t="s">
        <v>137</v>
      </c>
      <c r="H43" s="133" t="s">
        <v>339</v>
      </c>
      <c r="I43" s="7" t="s">
        <v>135</v>
      </c>
      <c r="J43" s="7" t="s">
        <v>340</v>
      </c>
      <c r="K43" s="7" t="s">
        <v>139</v>
      </c>
      <c r="L43" s="7" t="s">
        <v>25</v>
      </c>
      <c r="O43" s="7" t="s">
        <v>341</v>
      </c>
      <c r="P43" s="7">
        <f t="shared" si="1"/>
        <v>1</v>
      </c>
      <c r="Q43" s="11" t="str">
        <f t="array" ref="Q43">XLOOKUP(O43,Countries!A$2:A$120,Countries!B$2:B$120,"tbd",0)</f>
        <v>Middle/South America</v>
      </c>
      <c r="S43" s="136" t="s">
        <v>170</v>
      </c>
      <c r="T43" s="136">
        <v>28.0</v>
      </c>
      <c r="U43" s="136" t="s">
        <v>328</v>
      </c>
      <c r="V43" s="7"/>
    </row>
    <row r="44">
      <c r="A44" s="7">
        <v>26.0</v>
      </c>
      <c r="B44" s="7" t="s">
        <v>6</v>
      </c>
      <c r="C44" s="7" t="s">
        <v>342</v>
      </c>
      <c r="D44" s="7" t="s">
        <v>218</v>
      </c>
      <c r="E44" s="7" t="s">
        <v>136</v>
      </c>
      <c r="F44" s="7" t="s">
        <v>136</v>
      </c>
      <c r="G44" s="7" t="s">
        <v>335</v>
      </c>
      <c r="I44" s="7" t="s">
        <v>135</v>
      </c>
      <c r="J44" s="7" t="s">
        <v>343</v>
      </c>
      <c r="K44" s="7" t="s">
        <v>139</v>
      </c>
      <c r="L44" s="7" t="s">
        <v>25</v>
      </c>
      <c r="O44" s="7" t="s">
        <v>194</v>
      </c>
      <c r="P44" s="7">
        <f t="shared" si="1"/>
        <v>3</v>
      </c>
      <c r="Q44" s="11" t="str">
        <f t="array" ref="Q44">XLOOKUP(O44,Countries!A$2:A$120,Countries!B$2:B$120,"tbd",0)</f>
        <v>Africa</v>
      </c>
      <c r="S44" s="7" t="s">
        <v>134</v>
      </c>
      <c r="T44" s="7">
        <v>131.0</v>
      </c>
      <c r="U44" s="7" t="s">
        <v>328</v>
      </c>
    </row>
    <row r="45">
      <c r="A45" s="7">
        <v>85.0</v>
      </c>
      <c r="B45" s="7" t="s">
        <v>6</v>
      </c>
      <c r="C45" s="7" t="s">
        <v>344</v>
      </c>
      <c r="D45" s="7" t="s">
        <v>233</v>
      </c>
      <c r="E45" s="7" t="s">
        <v>136</v>
      </c>
      <c r="F45" s="7" t="s">
        <v>136</v>
      </c>
      <c r="G45" s="133" t="s">
        <v>345</v>
      </c>
      <c r="I45" s="7" t="s">
        <v>136</v>
      </c>
      <c r="J45" s="7" t="s">
        <v>346</v>
      </c>
      <c r="K45" s="7" t="s">
        <v>139</v>
      </c>
      <c r="L45" s="7" t="s">
        <v>25</v>
      </c>
      <c r="O45" s="7" t="s">
        <v>347</v>
      </c>
      <c r="P45" s="7">
        <f t="shared" si="1"/>
        <v>13</v>
      </c>
      <c r="Q45" s="11" t="str">
        <f t="array" ref="Q45">XLOOKUP(O45,Countries!A$2:A$120,Countries!B$2:B$120,"tbd",0)</f>
        <v>Middle/South America</v>
      </c>
      <c r="S45" s="136" t="s">
        <v>164</v>
      </c>
      <c r="T45" s="136">
        <v>187.0</v>
      </c>
      <c r="U45" s="136" t="s">
        <v>328</v>
      </c>
    </row>
    <row r="46">
      <c r="A46" s="7">
        <v>20.0</v>
      </c>
      <c r="B46" s="7" t="s">
        <v>6</v>
      </c>
      <c r="C46" s="7" t="s">
        <v>348</v>
      </c>
      <c r="D46" s="7" t="s">
        <v>202</v>
      </c>
      <c r="E46" s="7" t="s">
        <v>136</v>
      </c>
      <c r="F46" s="7" t="s">
        <v>136</v>
      </c>
      <c r="G46" s="7" t="s">
        <v>349</v>
      </c>
      <c r="H46" s="133" t="s">
        <v>350</v>
      </c>
      <c r="I46" s="7" t="s">
        <v>135</v>
      </c>
      <c r="J46" s="7" t="s">
        <v>351</v>
      </c>
      <c r="K46" s="7" t="s">
        <v>139</v>
      </c>
      <c r="L46" s="7" t="s">
        <v>25</v>
      </c>
      <c r="O46" s="7" t="s">
        <v>352</v>
      </c>
      <c r="P46" s="7">
        <f t="shared" si="1"/>
        <v>13</v>
      </c>
      <c r="Q46" s="11" t="str">
        <f t="array" ref="Q46">XLOOKUP(O46,Countries!A$2:A$120,Countries!B$2:B$120,"tbd",0)</f>
        <v>widening countries</v>
      </c>
      <c r="S46" s="16" t="s">
        <v>353</v>
      </c>
      <c r="T46" s="136">
        <v>6.0</v>
      </c>
      <c r="U46" s="136" t="s">
        <v>328</v>
      </c>
    </row>
    <row r="47">
      <c r="A47" s="7">
        <v>18.0</v>
      </c>
      <c r="B47" s="7" t="s">
        <v>7</v>
      </c>
      <c r="C47" s="7" t="s">
        <v>342</v>
      </c>
      <c r="D47" s="7" t="s">
        <v>218</v>
      </c>
      <c r="E47" s="7" t="s">
        <v>136</v>
      </c>
      <c r="F47" s="7" t="s">
        <v>136</v>
      </c>
      <c r="G47" s="7" t="s">
        <v>354</v>
      </c>
      <c r="I47" s="7" t="s">
        <v>136</v>
      </c>
      <c r="J47" s="7" t="s">
        <v>355</v>
      </c>
      <c r="K47" s="7" t="s">
        <v>139</v>
      </c>
      <c r="L47" s="7" t="s">
        <v>25</v>
      </c>
      <c r="O47" s="7" t="s">
        <v>302</v>
      </c>
      <c r="P47" s="7">
        <f t="shared" si="1"/>
        <v>17</v>
      </c>
      <c r="Q47" s="11" t="str">
        <f t="array" ref="Q47">XLOOKUP(O47,Countries!A$2:A$120,Countries!B$2:B$120,"tbd",0)</f>
        <v>associated countries</v>
      </c>
      <c r="S47" s="136" t="s">
        <v>143</v>
      </c>
      <c r="T47" s="136">
        <v>277.0</v>
      </c>
      <c r="U47" s="136" t="s">
        <v>328</v>
      </c>
    </row>
    <row r="48">
      <c r="A48" s="7">
        <v>42.0</v>
      </c>
      <c r="B48" s="7" t="s">
        <v>6</v>
      </c>
      <c r="C48" s="7" t="s">
        <v>356</v>
      </c>
      <c r="D48" s="7" t="s">
        <v>228</v>
      </c>
      <c r="E48" s="7" t="s">
        <v>135</v>
      </c>
      <c r="F48" s="7" t="s">
        <v>136</v>
      </c>
      <c r="G48" s="7" t="s">
        <v>271</v>
      </c>
      <c r="I48" s="7" t="s">
        <v>135</v>
      </c>
      <c r="J48" s="7" t="s">
        <v>357</v>
      </c>
      <c r="K48" s="7" t="s">
        <v>139</v>
      </c>
      <c r="L48" s="7" t="s">
        <v>25</v>
      </c>
      <c r="O48" s="7" t="s">
        <v>358</v>
      </c>
      <c r="P48" s="7">
        <f t="shared" si="1"/>
        <v>13</v>
      </c>
      <c r="Q48" s="11" t="str">
        <f t="array" ref="Q48">XLOOKUP(O48,Countries!A$2:A$120,Countries!B$2:B$120,"tbd",0)</f>
        <v>Middle East</v>
      </c>
      <c r="S48" s="135" t="s">
        <v>359</v>
      </c>
      <c r="T48" s="7">
        <v>1.0</v>
      </c>
      <c r="U48" s="7" t="s">
        <v>328</v>
      </c>
    </row>
    <row r="49">
      <c r="A49" s="7">
        <v>25.0</v>
      </c>
      <c r="B49" s="7" t="s">
        <v>6</v>
      </c>
      <c r="C49" s="7" t="s">
        <v>360</v>
      </c>
      <c r="D49" s="7" t="s">
        <v>143</v>
      </c>
      <c r="E49" s="7" t="s">
        <v>136</v>
      </c>
      <c r="F49" s="7" t="s">
        <v>136</v>
      </c>
      <c r="G49" s="7" t="s">
        <v>150</v>
      </c>
      <c r="I49" s="7" t="s">
        <v>136</v>
      </c>
      <c r="J49" s="7" t="s">
        <v>361</v>
      </c>
      <c r="K49" s="7" t="s">
        <v>139</v>
      </c>
      <c r="L49" s="7" t="s">
        <v>25</v>
      </c>
      <c r="O49" s="7" t="s">
        <v>182</v>
      </c>
      <c r="P49" s="7">
        <f t="shared" si="1"/>
        <v>5</v>
      </c>
      <c r="Q49" s="11" t="str">
        <f t="array" ref="Q49">XLOOKUP(O49,Countries!A$2:A$120,Countries!B$2:B$120,"tbd",0)</f>
        <v>Africa</v>
      </c>
      <c r="S49" s="7" t="s">
        <v>248</v>
      </c>
      <c r="T49" s="7">
        <v>10.0</v>
      </c>
      <c r="U49" s="7" t="s">
        <v>328</v>
      </c>
    </row>
    <row r="50">
      <c r="A50" s="7">
        <v>44.0</v>
      </c>
      <c r="B50" s="7" t="s">
        <v>6</v>
      </c>
      <c r="C50" s="7" t="s">
        <v>362</v>
      </c>
      <c r="D50" s="7" t="s">
        <v>202</v>
      </c>
      <c r="E50" s="7" t="s">
        <v>136</v>
      </c>
      <c r="F50" s="7" t="s">
        <v>136</v>
      </c>
      <c r="G50" s="7" t="s">
        <v>363</v>
      </c>
      <c r="I50" s="7" t="s">
        <v>135</v>
      </c>
      <c r="J50" s="7" t="s">
        <v>364</v>
      </c>
      <c r="K50" s="7" t="s">
        <v>139</v>
      </c>
      <c r="L50" s="7" t="s">
        <v>25</v>
      </c>
      <c r="O50" s="7" t="s">
        <v>365</v>
      </c>
      <c r="P50" s="7">
        <f t="shared" si="1"/>
        <v>1</v>
      </c>
      <c r="Q50" s="11" t="str">
        <f t="array" ref="Q50">XLOOKUP(O50,Countries!A$2:A$120,Countries!B$2:B$120,"tbd",0)</f>
        <v>widening countries</v>
      </c>
      <c r="S50" s="7" t="s">
        <v>202</v>
      </c>
      <c r="T50" s="7">
        <v>205.0</v>
      </c>
      <c r="U50" s="7" t="s">
        <v>328</v>
      </c>
      <c r="V50" s="7"/>
    </row>
    <row r="51">
      <c r="A51" s="7">
        <v>22.0</v>
      </c>
      <c r="B51" s="7" t="s">
        <v>6</v>
      </c>
      <c r="C51" s="7" t="s">
        <v>366</v>
      </c>
      <c r="D51" s="7" t="s">
        <v>218</v>
      </c>
      <c r="E51" s="7" t="s">
        <v>136</v>
      </c>
      <c r="F51" s="7" t="s">
        <v>136</v>
      </c>
      <c r="G51" s="7" t="s">
        <v>367</v>
      </c>
      <c r="I51" s="7" t="s">
        <v>135</v>
      </c>
      <c r="J51" s="7" t="s">
        <v>368</v>
      </c>
      <c r="K51" s="7" t="s">
        <v>139</v>
      </c>
      <c r="L51" s="7" t="s">
        <v>25</v>
      </c>
      <c r="O51" s="7" t="s">
        <v>369</v>
      </c>
      <c r="P51" s="7">
        <f t="shared" si="1"/>
        <v>32</v>
      </c>
      <c r="Q51" s="11" t="str">
        <f t="array" ref="Q51">XLOOKUP(O51,Countries!A$2:A$120,Countries!B$2:B$120,"tbd",0)</f>
        <v>Middle/South America</v>
      </c>
      <c r="S51" s="16" t="s">
        <v>370</v>
      </c>
      <c r="T51" s="136">
        <v>205.0</v>
      </c>
      <c r="U51" s="136" t="s">
        <v>328</v>
      </c>
      <c r="V51" s="7"/>
    </row>
    <row r="52">
      <c r="A52" s="7">
        <v>47.0</v>
      </c>
      <c r="B52" s="7" t="s">
        <v>7</v>
      </c>
      <c r="C52" s="7" t="s">
        <v>371</v>
      </c>
      <c r="D52" s="7" t="s">
        <v>197</v>
      </c>
      <c r="E52" s="7" t="s">
        <v>136</v>
      </c>
      <c r="F52" s="7" t="s">
        <v>136</v>
      </c>
      <c r="G52" s="7" t="s">
        <v>231</v>
      </c>
      <c r="I52" s="7" t="s">
        <v>135</v>
      </c>
      <c r="J52" s="7" t="s">
        <v>372</v>
      </c>
      <c r="K52" s="7" t="s">
        <v>139</v>
      </c>
      <c r="L52" s="7" t="s">
        <v>25</v>
      </c>
      <c r="O52" s="7" t="s">
        <v>373</v>
      </c>
      <c r="P52" s="7">
        <f t="shared" si="1"/>
        <v>6</v>
      </c>
      <c r="Q52" s="11" t="str">
        <f t="array" ref="Q52">XLOOKUP(O52,Countries!A$2:A$120,Countries!B$2:B$120,"tbd",0)</f>
        <v>Middle/South America</v>
      </c>
      <c r="S52" s="16" t="s">
        <v>374</v>
      </c>
      <c r="T52" s="136">
        <v>11.0</v>
      </c>
      <c r="U52" s="136" t="s">
        <v>328</v>
      </c>
    </row>
    <row r="53">
      <c r="A53" s="7">
        <v>74.0</v>
      </c>
      <c r="B53" s="7" t="s">
        <v>6</v>
      </c>
      <c r="C53" s="7" t="s">
        <v>375</v>
      </c>
      <c r="D53" s="7" t="s">
        <v>176</v>
      </c>
      <c r="E53" s="7" t="s">
        <v>135</v>
      </c>
      <c r="F53" s="7" t="s">
        <v>136</v>
      </c>
      <c r="G53" s="7" t="s">
        <v>137</v>
      </c>
      <c r="I53" s="7" t="s">
        <v>136</v>
      </c>
      <c r="J53" s="7" t="s">
        <v>376</v>
      </c>
      <c r="K53" s="7" t="s">
        <v>139</v>
      </c>
      <c r="L53" s="7" t="s">
        <v>25</v>
      </c>
      <c r="O53" s="7" t="s">
        <v>331</v>
      </c>
      <c r="P53" s="7">
        <f t="shared" si="1"/>
        <v>12</v>
      </c>
      <c r="Q53" s="11" t="str">
        <f t="array" ref="Q53">XLOOKUP(O53,Countries!A$2:A$120,Countries!B$2:B$120,"tbd",0)</f>
        <v>Europe</v>
      </c>
      <c r="S53" s="7" t="s">
        <v>187</v>
      </c>
      <c r="T53" s="7">
        <v>38.0</v>
      </c>
      <c r="U53" s="7" t="s">
        <v>328</v>
      </c>
      <c r="V53" s="7">
        <f>SUM(T39:T53)</f>
        <v>1159</v>
      </c>
    </row>
    <row r="54">
      <c r="A54" s="7">
        <v>40.0</v>
      </c>
      <c r="B54" s="7" t="s">
        <v>7</v>
      </c>
      <c r="C54" s="7" t="s">
        <v>167</v>
      </c>
      <c r="D54" s="7" t="s">
        <v>143</v>
      </c>
      <c r="E54" s="7" t="s">
        <v>136</v>
      </c>
      <c r="F54" s="7" t="s">
        <v>136</v>
      </c>
      <c r="G54" s="7" t="s">
        <v>377</v>
      </c>
      <c r="I54" s="7" t="s">
        <v>135</v>
      </c>
      <c r="J54" s="7" t="s">
        <v>378</v>
      </c>
      <c r="K54" s="7" t="s">
        <v>139</v>
      </c>
      <c r="L54" s="7" t="s">
        <v>25</v>
      </c>
      <c r="O54" s="7" t="s">
        <v>322</v>
      </c>
      <c r="P54" s="7">
        <f t="shared" si="1"/>
        <v>4</v>
      </c>
      <c r="Q54" s="11" t="str">
        <f t="array" ref="Q54">XLOOKUP(O54,Countries!A$2:A$120,Countries!B$2:B$120,"tbd",0)</f>
        <v>associated countries</v>
      </c>
      <c r="S54" s="7" t="s">
        <v>279</v>
      </c>
      <c r="T54" s="7">
        <v>3.0</v>
      </c>
      <c r="U54" s="7" t="s">
        <v>155</v>
      </c>
    </row>
    <row r="55">
      <c r="A55" s="7">
        <v>29.0</v>
      </c>
      <c r="B55" s="7" t="s">
        <v>7</v>
      </c>
      <c r="C55" s="7" t="s">
        <v>379</v>
      </c>
      <c r="D55" s="7" t="s">
        <v>202</v>
      </c>
      <c r="E55" s="7" t="s">
        <v>136</v>
      </c>
      <c r="F55" s="7" t="s">
        <v>136</v>
      </c>
      <c r="G55" s="7" t="s">
        <v>367</v>
      </c>
      <c r="H55" s="7" t="s">
        <v>380</v>
      </c>
      <c r="I55" s="7" t="s">
        <v>136</v>
      </c>
      <c r="J55" s="7" t="s">
        <v>381</v>
      </c>
      <c r="K55" s="7" t="s">
        <v>139</v>
      </c>
      <c r="L55" s="7" t="s">
        <v>25</v>
      </c>
      <c r="O55" s="7" t="s">
        <v>249</v>
      </c>
      <c r="P55" s="7">
        <f t="shared" si="1"/>
        <v>4</v>
      </c>
      <c r="Q55" s="11" t="str">
        <f t="array" ref="Q55">XLOOKUP(O55,Countries!A$2:A$120,Countries!B$2:B$120,"tbd",0)</f>
        <v>Asia</v>
      </c>
      <c r="S55" s="7" t="s">
        <v>296</v>
      </c>
      <c r="T55" s="7">
        <v>13.0</v>
      </c>
      <c r="U55" s="7" t="s">
        <v>155</v>
      </c>
    </row>
    <row r="56">
      <c r="A56" s="7">
        <v>43.0</v>
      </c>
      <c r="B56" s="7" t="s">
        <v>7</v>
      </c>
      <c r="C56" s="7" t="s">
        <v>362</v>
      </c>
      <c r="D56" s="7" t="s">
        <v>202</v>
      </c>
      <c r="E56" s="7" t="s">
        <v>135</v>
      </c>
      <c r="F56" s="7" t="s">
        <v>136</v>
      </c>
      <c r="G56" s="7" t="s">
        <v>382</v>
      </c>
      <c r="I56" s="7" t="s">
        <v>136</v>
      </c>
      <c r="J56" s="7" t="s">
        <v>357</v>
      </c>
      <c r="K56" s="7" t="s">
        <v>139</v>
      </c>
      <c r="L56" s="7" t="s">
        <v>25</v>
      </c>
      <c r="O56" s="7" t="s">
        <v>383</v>
      </c>
      <c r="P56" s="7">
        <f t="shared" si="1"/>
        <v>16</v>
      </c>
      <c r="Q56" s="11" t="str">
        <f t="array" ref="Q56">XLOOKUP(O56,Countries!A$2:A$120,Countries!B$2:B$120,"tbd",0)</f>
        <v>widening countries</v>
      </c>
      <c r="S56" s="7" t="s">
        <v>290</v>
      </c>
      <c r="T56" s="7">
        <v>49.0</v>
      </c>
      <c r="U56" s="7" t="s">
        <v>155</v>
      </c>
    </row>
    <row r="57">
      <c r="A57" s="7">
        <v>75.0</v>
      </c>
      <c r="B57" s="7" t="s">
        <v>7</v>
      </c>
      <c r="C57" s="7" t="s">
        <v>384</v>
      </c>
      <c r="D57" s="7" t="s">
        <v>143</v>
      </c>
      <c r="E57" s="7" t="s">
        <v>136</v>
      </c>
      <c r="F57" s="7" t="s">
        <v>136</v>
      </c>
      <c r="G57" s="7" t="s">
        <v>385</v>
      </c>
      <c r="I57" s="7" t="s">
        <v>135</v>
      </c>
      <c r="J57" s="7" t="s">
        <v>386</v>
      </c>
      <c r="K57" s="7" t="s">
        <v>139</v>
      </c>
      <c r="L57" s="7" t="s">
        <v>25</v>
      </c>
      <c r="O57" s="7" t="s">
        <v>165</v>
      </c>
      <c r="P57" s="7">
        <f t="shared" si="1"/>
        <v>4</v>
      </c>
      <c r="Q57" s="11" t="str">
        <f t="array" ref="Q57">XLOOKUP(O57,Countries!A$2:A$120,Countries!B$2:B$120,"tbd",0)</f>
        <v>Africa</v>
      </c>
      <c r="S57" s="7" t="s">
        <v>243</v>
      </c>
      <c r="T57" s="7">
        <v>57.0</v>
      </c>
      <c r="U57" s="7" t="s">
        <v>155</v>
      </c>
    </row>
    <row r="58">
      <c r="A58" s="7">
        <v>54.0</v>
      </c>
      <c r="B58" s="7" t="s">
        <v>7</v>
      </c>
      <c r="C58" s="7" t="s">
        <v>387</v>
      </c>
      <c r="D58" s="7" t="s">
        <v>143</v>
      </c>
      <c r="E58" s="7" t="s">
        <v>135</v>
      </c>
      <c r="F58" s="7" t="s">
        <v>136</v>
      </c>
      <c r="G58" s="7" t="s">
        <v>137</v>
      </c>
      <c r="I58" s="7" t="s">
        <v>136</v>
      </c>
      <c r="J58" s="7" t="s">
        <v>388</v>
      </c>
      <c r="K58" s="7" t="s">
        <v>139</v>
      </c>
      <c r="L58" s="7" t="s">
        <v>25</v>
      </c>
      <c r="O58" s="7" t="s">
        <v>259</v>
      </c>
      <c r="P58" s="7">
        <f t="shared" si="1"/>
        <v>2</v>
      </c>
      <c r="Q58" s="11" t="str">
        <f t="array" ref="Q58">XLOOKUP(O58,Countries!A$2:A$120,Countries!B$2:B$120,"tbd",0)</f>
        <v>Asia</v>
      </c>
      <c r="S58" s="7" t="s">
        <v>301</v>
      </c>
      <c r="T58" s="7">
        <v>4.0</v>
      </c>
      <c r="U58" s="7" t="s">
        <v>155</v>
      </c>
    </row>
    <row r="59">
      <c r="A59" s="7">
        <v>89.0</v>
      </c>
      <c r="B59" s="7" t="s">
        <v>7</v>
      </c>
      <c r="C59" s="7" t="s">
        <v>387</v>
      </c>
      <c r="D59" s="7" t="s">
        <v>143</v>
      </c>
      <c r="E59" s="7" t="s">
        <v>135</v>
      </c>
      <c r="F59" s="7" t="s">
        <v>136</v>
      </c>
      <c r="G59" s="7" t="s">
        <v>137</v>
      </c>
      <c r="I59" s="7" t="s">
        <v>136</v>
      </c>
      <c r="J59" s="7" t="s">
        <v>389</v>
      </c>
      <c r="K59" s="7" t="s">
        <v>139</v>
      </c>
      <c r="L59" s="7" t="s">
        <v>25</v>
      </c>
      <c r="O59" s="7" t="s">
        <v>390</v>
      </c>
      <c r="P59" s="7">
        <f t="shared" si="1"/>
        <v>4</v>
      </c>
      <c r="Q59" s="11" t="str">
        <f t="array" ref="Q59">XLOOKUP(O59,Countries!A$2:A$120,Countries!B$2:B$120,"tbd",0)</f>
        <v>Middle/South America</v>
      </c>
      <c r="S59" s="7" t="s">
        <v>284</v>
      </c>
      <c r="T59" s="7">
        <v>13.0</v>
      </c>
      <c r="U59" s="7" t="s">
        <v>155</v>
      </c>
    </row>
    <row r="60">
      <c r="A60" s="7">
        <v>41.0</v>
      </c>
      <c r="B60" s="7" t="s">
        <v>7</v>
      </c>
      <c r="C60" s="7" t="s">
        <v>391</v>
      </c>
      <c r="D60" s="7" t="s">
        <v>202</v>
      </c>
      <c r="E60" s="7" t="s">
        <v>136</v>
      </c>
      <c r="F60" s="7" t="s">
        <v>136</v>
      </c>
      <c r="G60" s="7" t="s">
        <v>144</v>
      </c>
      <c r="H60" s="7" t="s">
        <v>392</v>
      </c>
      <c r="I60" s="7" t="s">
        <v>136</v>
      </c>
      <c r="J60" s="7" t="s">
        <v>393</v>
      </c>
      <c r="K60" s="7" t="s">
        <v>139</v>
      </c>
      <c r="L60" s="7" t="s">
        <v>25</v>
      </c>
      <c r="O60" s="7" t="s">
        <v>177</v>
      </c>
      <c r="P60" s="7">
        <f t="shared" si="1"/>
        <v>25</v>
      </c>
      <c r="Q60" s="11" t="str">
        <f t="array" ref="Q60">XLOOKUP(O60,Countries!A$2:A$120,Countries!B$2:B$120,"tbd",0)</f>
        <v>Africa</v>
      </c>
      <c r="S60" s="135" t="s">
        <v>394</v>
      </c>
      <c r="T60" s="7">
        <v>1.0</v>
      </c>
      <c r="U60" s="7" t="s">
        <v>155</v>
      </c>
    </row>
    <row r="61">
      <c r="A61" s="7">
        <v>62.0</v>
      </c>
      <c r="B61" s="7" t="s">
        <v>6</v>
      </c>
      <c r="C61" s="7" t="s">
        <v>315</v>
      </c>
      <c r="D61" s="7" t="s">
        <v>164</v>
      </c>
      <c r="E61" s="7" t="s">
        <v>135</v>
      </c>
      <c r="F61" s="7" t="s">
        <v>136</v>
      </c>
      <c r="G61" s="7" t="s">
        <v>395</v>
      </c>
      <c r="H61" s="7" t="s">
        <v>396</v>
      </c>
      <c r="I61" s="7" t="s">
        <v>136</v>
      </c>
      <c r="J61" s="7" t="s">
        <v>397</v>
      </c>
      <c r="K61" s="7" t="s">
        <v>139</v>
      </c>
      <c r="L61" s="7" t="s">
        <v>25</v>
      </c>
      <c r="O61" s="7" t="s">
        <v>398</v>
      </c>
      <c r="P61" s="7">
        <f t="shared" si="1"/>
        <v>15</v>
      </c>
      <c r="Q61" s="11" t="str">
        <f t="array" ref="Q61">XLOOKUP(O61,Countries!A$2:A$120,Countries!B$2:B$120,"tbd",0)</f>
        <v>widening countries</v>
      </c>
      <c r="S61" s="136" t="s">
        <v>358</v>
      </c>
      <c r="T61" s="136">
        <v>13.0</v>
      </c>
      <c r="U61" s="136" t="s">
        <v>155</v>
      </c>
      <c r="V61" s="16">
        <f>SUM(T54:T61)</f>
        <v>153</v>
      </c>
    </row>
    <row r="62">
      <c r="A62" s="7">
        <v>35.0</v>
      </c>
      <c r="B62" s="7" t="s">
        <v>6</v>
      </c>
      <c r="C62" s="7" t="s">
        <v>245</v>
      </c>
      <c r="D62" s="7" t="s">
        <v>202</v>
      </c>
      <c r="E62" s="7" t="s">
        <v>136</v>
      </c>
      <c r="F62" s="7" t="s">
        <v>136</v>
      </c>
      <c r="G62" s="7" t="s">
        <v>174</v>
      </c>
      <c r="I62" s="7" t="s">
        <v>136</v>
      </c>
      <c r="J62" s="7" t="s">
        <v>399</v>
      </c>
      <c r="K62" s="7" t="s">
        <v>139</v>
      </c>
      <c r="L62" s="7" t="s">
        <v>25</v>
      </c>
      <c r="O62" s="7" t="s">
        <v>291</v>
      </c>
      <c r="P62" s="7">
        <f t="shared" si="1"/>
        <v>6</v>
      </c>
      <c r="Q62" s="11" t="str">
        <f t="array" ref="Q62">XLOOKUP(O62,Countries!A$2:A$120,Countries!B$2:B$120,"tbd",0)</f>
        <v>associated countries</v>
      </c>
      <c r="S62" s="16" t="s">
        <v>400</v>
      </c>
      <c r="T62" s="136">
        <v>3.0</v>
      </c>
      <c r="U62" s="136" t="s">
        <v>161</v>
      </c>
    </row>
    <row r="63">
      <c r="A63" s="7">
        <v>57.0</v>
      </c>
      <c r="B63" s="7" t="s">
        <v>7</v>
      </c>
      <c r="C63" s="7" t="s">
        <v>149</v>
      </c>
      <c r="D63" s="7" t="s">
        <v>134</v>
      </c>
      <c r="E63" s="7" t="s">
        <v>136</v>
      </c>
      <c r="F63" s="7" t="s">
        <v>136</v>
      </c>
      <c r="G63" s="7" t="s">
        <v>401</v>
      </c>
      <c r="I63" s="7" t="s">
        <v>136</v>
      </c>
      <c r="J63" s="7" t="s">
        <v>402</v>
      </c>
      <c r="K63" s="7" t="s">
        <v>139</v>
      </c>
      <c r="L63" s="7" t="s">
        <v>25</v>
      </c>
      <c r="O63" s="7" t="s">
        <v>147</v>
      </c>
      <c r="P63" s="7">
        <f t="shared" si="1"/>
        <v>3</v>
      </c>
      <c r="Q63" s="11" t="str">
        <f t="array" ref="Q63">XLOOKUP(O63,Countries!A$2:A$120,Countries!B$2:B$120,"tbd",0)</f>
        <v>Africa</v>
      </c>
      <c r="S63" s="135" t="s">
        <v>403</v>
      </c>
      <c r="T63" s="7">
        <v>4.0</v>
      </c>
      <c r="U63" s="7" t="s">
        <v>161</v>
      </c>
    </row>
    <row r="64">
      <c r="A64" s="7">
        <v>84.0</v>
      </c>
      <c r="B64" s="7" t="s">
        <v>6</v>
      </c>
      <c r="C64" s="7" t="s">
        <v>245</v>
      </c>
      <c r="D64" s="7" t="s">
        <v>202</v>
      </c>
      <c r="E64" s="7" t="s">
        <v>135</v>
      </c>
      <c r="F64" s="7" t="s">
        <v>136</v>
      </c>
      <c r="G64" s="7" t="s">
        <v>185</v>
      </c>
      <c r="H64" s="7" t="s">
        <v>404</v>
      </c>
      <c r="I64" s="7" t="s">
        <v>136</v>
      </c>
      <c r="J64" s="7" t="s">
        <v>405</v>
      </c>
      <c r="K64" s="7" t="s">
        <v>139</v>
      </c>
      <c r="L64" s="7" t="s">
        <v>25</v>
      </c>
      <c r="O64" s="7" t="s">
        <v>327</v>
      </c>
      <c r="P64" s="7">
        <f t="shared" si="1"/>
        <v>2</v>
      </c>
      <c r="Q64" s="11" t="str">
        <f t="array" ref="Q64">XLOOKUP(O64,Countries!A$2:A$120,Countries!B$2:B$120,"tbd",0)</f>
        <v>Europe</v>
      </c>
      <c r="S64" s="7" t="s">
        <v>369</v>
      </c>
      <c r="T64" s="7">
        <v>32.0</v>
      </c>
      <c r="U64" s="7" t="s">
        <v>161</v>
      </c>
      <c r="V64" s="7"/>
    </row>
    <row r="65">
      <c r="A65" s="7">
        <v>59.0</v>
      </c>
      <c r="B65" s="7" t="s">
        <v>7</v>
      </c>
      <c r="C65" s="7" t="s">
        <v>406</v>
      </c>
      <c r="D65" s="7" t="s">
        <v>213</v>
      </c>
      <c r="E65" s="7" t="s">
        <v>135</v>
      </c>
      <c r="F65" s="7" t="s">
        <v>136</v>
      </c>
      <c r="G65" s="7" t="s">
        <v>180</v>
      </c>
      <c r="H65" s="7" t="s">
        <v>407</v>
      </c>
      <c r="I65" s="7" t="s">
        <v>136</v>
      </c>
      <c r="J65" s="7" t="s">
        <v>408</v>
      </c>
      <c r="K65" s="7" t="s">
        <v>139</v>
      </c>
      <c r="L65" s="7" t="s">
        <v>25</v>
      </c>
      <c r="O65" s="16" t="s">
        <v>400</v>
      </c>
      <c r="P65" s="7">
        <f t="shared" si="1"/>
        <v>3</v>
      </c>
      <c r="Q65" s="11" t="str">
        <f t="array" ref="Q65">XLOOKUP(O65,Countries!A$2:A$120,Countries!B$2:B$120,"tbd",0)</f>
        <v>Middle/South America</v>
      </c>
      <c r="S65" s="7" t="s">
        <v>347</v>
      </c>
      <c r="T65" s="7">
        <v>13.0</v>
      </c>
      <c r="U65" s="7" t="s">
        <v>161</v>
      </c>
    </row>
    <row r="66">
      <c r="A66" s="7">
        <v>68.0</v>
      </c>
      <c r="B66" s="7" t="s">
        <v>7</v>
      </c>
      <c r="C66" s="7" t="s">
        <v>409</v>
      </c>
      <c r="D66" s="7" t="s">
        <v>238</v>
      </c>
      <c r="E66" s="7" t="s">
        <v>136</v>
      </c>
      <c r="F66" s="7" t="s">
        <v>136</v>
      </c>
      <c r="G66" s="7" t="s">
        <v>410</v>
      </c>
      <c r="H66" s="7" t="s">
        <v>411</v>
      </c>
      <c r="I66" s="7" t="s">
        <v>136</v>
      </c>
      <c r="J66" s="7" t="s">
        <v>412</v>
      </c>
      <c r="K66" s="7" t="s">
        <v>139</v>
      </c>
      <c r="L66" s="7" t="s">
        <v>25</v>
      </c>
      <c r="O66" s="16" t="s">
        <v>160</v>
      </c>
      <c r="P66" s="7">
        <f t="shared" si="1"/>
        <v>3</v>
      </c>
      <c r="Q66" s="11" t="str">
        <f t="array" ref="Q66">XLOOKUP(O66,Countries!A$2:A$120,Countries!B$2:B$120,"tbd",0)</f>
        <v>Africa</v>
      </c>
      <c r="S66" s="136" t="s">
        <v>390</v>
      </c>
      <c r="T66" s="136">
        <v>4.0</v>
      </c>
      <c r="U66" s="136" t="s">
        <v>161</v>
      </c>
    </row>
    <row r="67">
      <c r="A67" s="7">
        <v>83.0</v>
      </c>
      <c r="B67" s="7" t="s">
        <v>7</v>
      </c>
      <c r="C67" s="7" t="s">
        <v>142</v>
      </c>
      <c r="D67" s="7" t="s">
        <v>143</v>
      </c>
      <c r="E67" s="7" t="s">
        <v>136</v>
      </c>
      <c r="F67" s="7" t="s">
        <v>136</v>
      </c>
      <c r="G67" s="7" t="s">
        <v>185</v>
      </c>
      <c r="I67" s="7" t="s">
        <v>136</v>
      </c>
      <c r="J67" s="7" t="s">
        <v>413</v>
      </c>
      <c r="K67" s="7" t="s">
        <v>139</v>
      </c>
      <c r="L67" s="7" t="s">
        <v>25</v>
      </c>
      <c r="O67" s="16" t="s">
        <v>188</v>
      </c>
      <c r="P67" s="7">
        <f t="shared" si="1"/>
        <v>6</v>
      </c>
      <c r="Q67" s="11" t="str">
        <f t="array" ref="Q67">XLOOKUP(O67,Countries!A$2:A$120,Countries!B$2:B$120,"tbd",0)</f>
        <v>Africa</v>
      </c>
      <c r="S67" s="7" t="s">
        <v>373</v>
      </c>
      <c r="T67" s="7">
        <v>6.0</v>
      </c>
      <c r="U67" s="7" t="s">
        <v>161</v>
      </c>
    </row>
    <row r="68">
      <c r="A68" s="7">
        <v>63.0</v>
      </c>
      <c r="B68" s="7" t="s">
        <v>6</v>
      </c>
      <c r="C68" s="7" t="s">
        <v>414</v>
      </c>
      <c r="D68" s="7" t="s">
        <v>213</v>
      </c>
      <c r="E68" s="7" t="s">
        <v>135</v>
      </c>
      <c r="F68" s="7" t="s">
        <v>136</v>
      </c>
      <c r="G68" s="7" t="s">
        <v>231</v>
      </c>
      <c r="I68" s="7" t="s">
        <v>135</v>
      </c>
      <c r="J68" s="7" t="s">
        <v>415</v>
      </c>
      <c r="K68" s="7" t="s">
        <v>139</v>
      </c>
      <c r="L68" s="7" t="s">
        <v>25</v>
      </c>
      <c r="O68" s="83" t="s">
        <v>416</v>
      </c>
      <c r="P68" s="7">
        <f t="shared" si="1"/>
        <v>31</v>
      </c>
      <c r="Q68" s="11" t="str">
        <f t="array" ref="Q68">XLOOKUP(O68,Countries!A$2:A$120,Countries!B$2:B$120,"tbd",0)</f>
        <v>unknown</v>
      </c>
      <c r="S68" s="16" t="s">
        <v>417</v>
      </c>
      <c r="T68" s="136">
        <v>1.0</v>
      </c>
      <c r="U68" s="136" t="s">
        <v>161</v>
      </c>
    </row>
    <row r="69">
      <c r="A69" s="7">
        <v>81.0</v>
      </c>
      <c r="B69" s="7" t="s">
        <v>7</v>
      </c>
      <c r="C69" s="7" t="s">
        <v>375</v>
      </c>
      <c r="D69" s="7" t="s">
        <v>176</v>
      </c>
      <c r="E69" s="7" t="s">
        <v>136</v>
      </c>
      <c r="F69" s="7" t="s">
        <v>136</v>
      </c>
      <c r="G69" s="7" t="s">
        <v>401</v>
      </c>
      <c r="I69" s="7" t="s">
        <v>136</v>
      </c>
      <c r="J69" s="7" t="s">
        <v>418</v>
      </c>
      <c r="K69" s="7" t="s">
        <v>139</v>
      </c>
      <c r="L69" s="7" t="s">
        <v>25</v>
      </c>
      <c r="O69" s="16" t="s">
        <v>264</v>
      </c>
      <c r="P69" s="7">
        <f t="shared" si="1"/>
        <v>3</v>
      </c>
      <c r="Q69" s="11" t="str">
        <f t="array" ref="Q69">XLOOKUP(O69,Countries!A$2:A$120,Countries!B$2:B$120,"tbd",0)</f>
        <v>Asia</v>
      </c>
      <c r="S69" s="7" t="s">
        <v>313</v>
      </c>
      <c r="T69" s="7">
        <v>11.0</v>
      </c>
      <c r="U69" s="7" t="s">
        <v>161</v>
      </c>
    </row>
    <row r="70">
      <c r="A70" s="7">
        <v>53.0</v>
      </c>
      <c r="B70" s="7" t="s">
        <v>6</v>
      </c>
      <c r="C70" s="7" t="s">
        <v>184</v>
      </c>
      <c r="D70" s="7" t="s">
        <v>143</v>
      </c>
      <c r="E70" s="7" t="s">
        <v>136</v>
      </c>
      <c r="F70" s="7" t="s">
        <v>136</v>
      </c>
      <c r="G70" s="7" t="s">
        <v>174</v>
      </c>
      <c r="I70" s="7" t="s">
        <v>136</v>
      </c>
      <c r="J70" s="7" t="s">
        <v>419</v>
      </c>
      <c r="K70" s="7" t="s">
        <v>139</v>
      </c>
      <c r="L70" s="7" t="s">
        <v>25</v>
      </c>
      <c r="O70" s="16" t="s">
        <v>210</v>
      </c>
      <c r="P70" s="7">
        <f t="shared" si="1"/>
        <v>3</v>
      </c>
      <c r="Q70" s="11" t="str">
        <f t="array" ref="Q70">XLOOKUP(O70,Countries!A$2:A$120,Countries!B$2:B$120,"tbd",0)</f>
        <v>Asia</v>
      </c>
      <c r="S70" s="135" t="s">
        <v>420</v>
      </c>
      <c r="T70" s="7">
        <v>3.0</v>
      </c>
      <c r="U70" s="7" t="s">
        <v>161</v>
      </c>
    </row>
    <row r="71">
      <c r="A71" s="7">
        <v>65.0</v>
      </c>
      <c r="B71" s="7" t="s">
        <v>6</v>
      </c>
      <c r="C71" s="7" t="s">
        <v>421</v>
      </c>
      <c r="D71" s="7" t="s">
        <v>164</v>
      </c>
      <c r="E71" s="7" t="s">
        <v>136</v>
      </c>
      <c r="F71" s="7" t="s">
        <v>136</v>
      </c>
      <c r="G71" s="7" t="s">
        <v>297</v>
      </c>
      <c r="I71" s="7" t="s">
        <v>135</v>
      </c>
      <c r="J71" s="7" t="s">
        <v>422</v>
      </c>
      <c r="K71" s="7" t="s">
        <v>139</v>
      </c>
      <c r="L71" s="7" t="s">
        <v>25</v>
      </c>
      <c r="O71" s="16" t="s">
        <v>140</v>
      </c>
      <c r="P71" s="7">
        <f t="shared" si="1"/>
        <v>4</v>
      </c>
      <c r="Q71" s="11" t="str">
        <f t="array" ref="Q71">XLOOKUP(O71,Countries!A$2:A$120,Countries!B$2:B$120,"tbd",0)</f>
        <v>Africa</v>
      </c>
      <c r="S71" s="135" t="s">
        <v>423</v>
      </c>
      <c r="T71" s="7">
        <v>1.0</v>
      </c>
      <c r="U71" s="7" t="s">
        <v>161</v>
      </c>
    </row>
    <row r="72">
      <c r="A72" s="7">
        <v>50.0</v>
      </c>
      <c r="B72" s="7" t="s">
        <v>7</v>
      </c>
      <c r="C72" s="7" t="s">
        <v>184</v>
      </c>
      <c r="D72" s="7" t="s">
        <v>143</v>
      </c>
      <c r="E72" s="7" t="s">
        <v>136</v>
      </c>
      <c r="F72" s="7" t="s">
        <v>136</v>
      </c>
      <c r="G72" s="7" t="s">
        <v>185</v>
      </c>
      <c r="I72" s="7" t="s">
        <v>136</v>
      </c>
      <c r="J72" s="7" t="s">
        <v>424</v>
      </c>
      <c r="K72" s="7" t="s">
        <v>139</v>
      </c>
      <c r="L72" s="7" t="s">
        <v>25</v>
      </c>
      <c r="O72" s="16" t="s">
        <v>417</v>
      </c>
      <c r="P72" s="7">
        <f t="shared" si="1"/>
        <v>1</v>
      </c>
      <c r="Q72" s="11" t="str">
        <f t="array" ref="Q72">XLOOKUP(O72,Countries!A$2:A$120,Countries!B$2:B$120,"tbd",0)</f>
        <v>Middle/South America</v>
      </c>
      <c r="S72" s="136" t="s">
        <v>318</v>
      </c>
      <c r="T72" s="136">
        <v>5.0</v>
      </c>
      <c r="U72" s="136" t="s">
        <v>161</v>
      </c>
    </row>
    <row r="73">
      <c r="A73" s="7">
        <v>8.0</v>
      </c>
      <c r="B73" s="7" t="s">
        <v>6</v>
      </c>
      <c r="C73" s="7" t="s">
        <v>204</v>
      </c>
      <c r="D73" s="7" t="s">
        <v>170</v>
      </c>
      <c r="E73" s="7" t="s">
        <v>135</v>
      </c>
      <c r="F73" s="7" t="s">
        <v>136</v>
      </c>
      <c r="G73" s="7" t="s">
        <v>137</v>
      </c>
      <c r="I73" s="7" t="s">
        <v>136</v>
      </c>
      <c r="J73" s="7" t="s">
        <v>425</v>
      </c>
      <c r="K73" s="7" t="s">
        <v>139</v>
      </c>
      <c r="L73" s="7" t="s">
        <v>25</v>
      </c>
      <c r="O73" s="16" t="s">
        <v>353</v>
      </c>
      <c r="P73" s="7">
        <f t="shared" si="1"/>
        <v>6</v>
      </c>
      <c r="Q73" s="11" t="str">
        <f t="array" ref="Q73">XLOOKUP(O73,Countries!A$2:A$120,Countries!B$2:B$120,"tbd",0)</f>
        <v>Europe</v>
      </c>
      <c r="S73" s="135" t="s">
        <v>426</v>
      </c>
      <c r="T73" s="7">
        <v>5.0</v>
      </c>
      <c r="U73" s="7" t="s">
        <v>161</v>
      </c>
    </row>
    <row r="74">
      <c r="A74" s="7">
        <v>71.0</v>
      </c>
      <c r="B74" s="7" t="s">
        <v>6</v>
      </c>
      <c r="C74" s="7" t="s">
        <v>427</v>
      </c>
      <c r="D74" s="7" t="s">
        <v>243</v>
      </c>
      <c r="E74" s="7" t="s">
        <v>136</v>
      </c>
      <c r="F74" s="7" t="s">
        <v>135</v>
      </c>
      <c r="G74" s="7" t="s">
        <v>428</v>
      </c>
      <c r="I74" s="7" t="s">
        <v>136</v>
      </c>
      <c r="J74" s="7" t="s">
        <v>429</v>
      </c>
      <c r="K74" s="7" t="s">
        <v>139</v>
      </c>
      <c r="L74" s="7" t="s">
        <v>25</v>
      </c>
      <c r="O74" s="16" t="s">
        <v>374</v>
      </c>
      <c r="P74" s="7">
        <f t="shared" si="1"/>
        <v>11</v>
      </c>
      <c r="Q74" s="11" t="str">
        <f t="array" ref="Q74">XLOOKUP(O74,Countries!A$2:A$120,Countries!B$2:B$120,"tbd",0)</f>
        <v>Europe</v>
      </c>
      <c r="S74" s="7" t="s">
        <v>341</v>
      </c>
      <c r="T74" s="7">
        <v>1.0</v>
      </c>
      <c r="U74" s="7" t="s">
        <v>161</v>
      </c>
    </row>
    <row r="75">
      <c r="A75" s="7">
        <v>78.0</v>
      </c>
      <c r="B75" s="7" t="s">
        <v>7</v>
      </c>
      <c r="C75" s="7" t="s">
        <v>430</v>
      </c>
      <c r="D75" s="7" t="s">
        <v>143</v>
      </c>
      <c r="E75" s="7" t="s">
        <v>135</v>
      </c>
      <c r="F75" s="7" t="s">
        <v>136</v>
      </c>
      <c r="G75" s="7" t="s">
        <v>385</v>
      </c>
      <c r="I75" s="7" t="s">
        <v>135</v>
      </c>
      <c r="J75" s="7" t="s">
        <v>431</v>
      </c>
      <c r="K75" s="7" t="s">
        <v>139</v>
      </c>
      <c r="L75" s="7" t="s">
        <v>25</v>
      </c>
      <c r="O75" s="16" t="s">
        <v>234</v>
      </c>
      <c r="P75" s="7">
        <f t="shared" si="1"/>
        <v>1</v>
      </c>
      <c r="Q75" s="11" t="str">
        <f t="array" ref="Q75">XLOOKUP(O75,Countries!A$2:A$120,Countries!B$2:B$120,"tbd",0)</f>
        <v>Asia</v>
      </c>
      <c r="S75" s="16" t="s">
        <v>432</v>
      </c>
      <c r="T75" s="136">
        <v>1.0</v>
      </c>
      <c r="U75" s="136" t="s">
        <v>161</v>
      </c>
      <c r="V75" s="16">
        <f>SUM(T62:T75)</f>
        <v>90</v>
      </c>
    </row>
    <row r="76">
      <c r="A76" s="7">
        <v>33.0</v>
      </c>
      <c r="B76" s="7" t="s">
        <v>6</v>
      </c>
      <c r="C76" s="7" t="s">
        <v>149</v>
      </c>
      <c r="D76" s="7" t="s">
        <v>134</v>
      </c>
      <c r="E76" s="7" t="s">
        <v>136</v>
      </c>
      <c r="F76" s="7" t="s">
        <v>136</v>
      </c>
      <c r="G76" s="7" t="s">
        <v>174</v>
      </c>
      <c r="I76" s="7" t="s">
        <v>135</v>
      </c>
      <c r="J76" s="7" t="s">
        <v>433</v>
      </c>
      <c r="K76" s="7" t="s">
        <v>139</v>
      </c>
      <c r="L76" s="7" t="s">
        <v>25</v>
      </c>
      <c r="O76" s="16" t="s">
        <v>434</v>
      </c>
      <c r="P76" s="7">
        <f t="shared" si="1"/>
        <v>1</v>
      </c>
      <c r="Q76" s="11" t="str">
        <f t="array" ref="Q76">XLOOKUP(O76,Countries!A$2:A$120,Countries!B$2:B$120,"tbd",0)</f>
        <v>outermost region</v>
      </c>
      <c r="S76" s="7" t="s">
        <v>166</v>
      </c>
      <c r="T76" s="7">
        <v>9.0</v>
      </c>
      <c r="U76" s="7" t="s">
        <v>435</v>
      </c>
      <c r="V76" s="16">
        <f>T76</f>
        <v>9</v>
      </c>
    </row>
    <row r="77">
      <c r="A77" s="7">
        <v>14.0</v>
      </c>
      <c r="B77" s="7" t="s">
        <v>6</v>
      </c>
      <c r="C77" s="7" t="s">
        <v>436</v>
      </c>
      <c r="D77" s="7" t="s">
        <v>187</v>
      </c>
      <c r="E77" s="7" t="s">
        <v>136</v>
      </c>
      <c r="F77" s="7" t="s">
        <v>136</v>
      </c>
      <c r="G77" s="7" t="s">
        <v>205</v>
      </c>
      <c r="I77" s="7" t="s">
        <v>136</v>
      </c>
      <c r="J77" s="7" t="s">
        <v>437</v>
      </c>
      <c r="K77" s="7" t="s">
        <v>139</v>
      </c>
      <c r="L77" s="7" t="s">
        <v>25</v>
      </c>
      <c r="O77" s="16" t="s">
        <v>420</v>
      </c>
      <c r="P77" s="7">
        <f t="shared" si="1"/>
        <v>3</v>
      </c>
      <c r="Q77" s="11" t="str">
        <f t="array" ref="Q77">XLOOKUP(O77,Countries!A$2:A$120,Countries!B$2:B$120,"tbd",0)</f>
        <v>Middle/South America</v>
      </c>
      <c r="S77" s="138" t="s">
        <v>434</v>
      </c>
      <c r="T77" s="139">
        <v>1.0</v>
      </c>
      <c r="U77" s="139" t="s">
        <v>438</v>
      </c>
    </row>
    <row r="78">
      <c r="A78" s="7">
        <v>91.0</v>
      </c>
      <c r="B78" s="7" t="s">
        <v>6</v>
      </c>
      <c r="C78" s="7" t="s">
        <v>439</v>
      </c>
      <c r="D78" s="7" t="s">
        <v>143</v>
      </c>
      <c r="E78" s="7" t="s">
        <v>135</v>
      </c>
      <c r="F78" s="7" t="s">
        <v>136</v>
      </c>
      <c r="G78" s="7" t="s">
        <v>440</v>
      </c>
      <c r="H78" s="7" t="s">
        <v>441</v>
      </c>
      <c r="I78" s="7" t="s">
        <v>136</v>
      </c>
      <c r="J78" s="7" t="s">
        <v>442</v>
      </c>
      <c r="K78" s="7" t="s">
        <v>139</v>
      </c>
      <c r="L78" s="7" t="s">
        <v>25</v>
      </c>
      <c r="O78" s="16" t="s">
        <v>403</v>
      </c>
      <c r="P78" s="7">
        <f t="shared" si="1"/>
        <v>4</v>
      </c>
      <c r="Q78" s="11" t="str">
        <f t="array" ref="Q78">XLOOKUP(O78,Countries!A$2:A$120,Countries!B$2:B$120,"tbd",0)</f>
        <v>Middle/South America</v>
      </c>
      <c r="S78" s="7" t="s">
        <v>258</v>
      </c>
      <c r="T78" s="7">
        <v>14.0</v>
      </c>
      <c r="U78" s="7" t="s">
        <v>443</v>
      </c>
    </row>
    <row r="79">
      <c r="A79" s="7">
        <v>39.0</v>
      </c>
      <c r="B79" s="7" t="s">
        <v>6</v>
      </c>
      <c r="C79" s="7" t="s">
        <v>379</v>
      </c>
      <c r="D79" s="7" t="s">
        <v>202</v>
      </c>
      <c r="E79" s="7" t="s">
        <v>136</v>
      </c>
      <c r="F79" s="7" t="s">
        <v>136</v>
      </c>
      <c r="G79" s="7" t="s">
        <v>174</v>
      </c>
      <c r="I79" s="7" t="s">
        <v>136</v>
      </c>
      <c r="J79" s="7" t="s">
        <v>444</v>
      </c>
      <c r="K79" s="7" t="s">
        <v>139</v>
      </c>
      <c r="L79" s="7" t="s">
        <v>25</v>
      </c>
      <c r="O79" s="16" t="s">
        <v>275</v>
      </c>
      <c r="P79" s="7">
        <f t="shared" si="1"/>
        <v>3</v>
      </c>
      <c r="Q79" s="11" t="str">
        <f t="array" ref="Q79">XLOOKUP(O79,Countries!A$2:A$120,Countries!B$2:B$120,"tbd",0)</f>
        <v>associated countries</v>
      </c>
      <c r="S79" s="7" t="s">
        <v>263</v>
      </c>
      <c r="T79" s="7">
        <v>186.0</v>
      </c>
      <c r="U79" s="7" t="s">
        <v>443</v>
      </c>
      <c r="V79" s="16">
        <f>SUM(T78:T79)</f>
        <v>200</v>
      </c>
    </row>
    <row r="80">
      <c r="A80" s="7">
        <v>60.0</v>
      </c>
      <c r="B80" s="7" t="s">
        <v>6</v>
      </c>
      <c r="C80" s="7" t="s">
        <v>445</v>
      </c>
      <c r="D80" s="7" t="s">
        <v>134</v>
      </c>
      <c r="E80" s="7" t="s">
        <v>135</v>
      </c>
      <c r="F80" s="7" t="s">
        <v>136</v>
      </c>
      <c r="G80" s="7" t="s">
        <v>221</v>
      </c>
      <c r="I80" s="7" t="s">
        <v>135</v>
      </c>
      <c r="J80" s="7" t="s">
        <v>446</v>
      </c>
      <c r="K80" s="7" t="s">
        <v>139</v>
      </c>
      <c r="L80" s="7" t="s">
        <v>25</v>
      </c>
      <c r="O80" s="16" t="s">
        <v>337</v>
      </c>
      <c r="P80" s="7">
        <f t="shared" si="1"/>
        <v>2</v>
      </c>
      <c r="Q80" s="11" t="str">
        <f t="array" ref="Q80">XLOOKUP(O80,Countries!A$2:A$120,Countries!B$2:B$120,"tbd",0)</f>
        <v>Europe</v>
      </c>
      <c r="S80" s="138" t="s">
        <v>416</v>
      </c>
      <c r="T80" s="139">
        <v>31.0</v>
      </c>
      <c r="U80" s="139" t="s">
        <v>416</v>
      </c>
    </row>
    <row r="81">
      <c r="A81" s="7">
        <v>11.0</v>
      </c>
      <c r="B81" s="7" t="s">
        <v>6</v>
      </c>
      <c r="C81" s="7" t="s">
        <v>447</v>
      </c>
      <c r="D81" s="7" t="s">
        <v>213</v>
      </c>
      <c r="E81" s="7" t="s">
        <v>135</v>
      </c>
      <c r="F81" s="7" t="s">
        <v>135</v>
      </c>
      <c r="G81" s="133" t="s">
        <v>448</v>
      </c>
      <c r="H81" s="7" t="s">
        <v>449</v>
      </c>
      <c r="I81" s="7" t="s">
        <v>136</v>
      </c>
      <c r="J81" s="7" t="s">
        <v>450</v>
      </c>
      <c r="K81" s="7" t="s">
        <v>139</v>
      </c>
      <c r="L81" s="7" t="s">
        <v>25</v>
      </c>
      <c r="O81" s="16" t="s">
        <v>359</v>
      </c>
      <c r="P81" s="7">
        <f t="shared" si="1"/>
        <v>1</v>
      </c>
      <c r="Q81" s="11" t="str">
        <f t="array" ref="Q81">XLOOKUP(O81,Countries!A$2:A$120,Countries!B$2:B$120,"tbd",0)</f>
        <v>Europe</v>
      </c>
      <c r="S81" s="136" t="s">
        <v>238</v>
      </c>
      <c r="T81" s="136">
        <v>12.0</v>
      </c>
      <c r="U81" s="136" t="s">
        <v>451</v>
      </c>
    </row>
    <row r="82">
      <c r="A82" s="7">
        <v>24.0</v>
      </c>
      <c r="B82" s="7" t="s">
        <v>7</v>
      </c>
      <c r="C82" s="7" t="s">
        <v>250</v>
      </c>
      <c r="D82" s="7" t="s">
        <v>209</v>
      </c>
      <c r="E82" s="7" t="s">
        <v>135</v>
      </c>
      <c r="F82" s="7" t="s">
        <v>135</v>
      </c>
      <c r="G82" s="7" t="s">
        <v>221</v>
      </c>
      <c r="I82" s="7" t="s">
        <v>136</v>
      </c>
      <c r="J82" s="7" t="s">
        <v>452</v>
      </c>
      <c r="K82" s="7" t="s">
        <v>139</v>
      </c>
      <c r="L82" s="7" t="s">
        <v>25</v>
      </c>
      <c r="O82" s="16" t="s">
        <v>394</v>
      </c>
      <c r="P82" s="7">
        <f t="shared" si="1"/>
        <v>1</v>
      </c>
      <c r="Q82" s="11" t="str">
        <f t="array" ref="Q82">XLOOKUP(O82,Countries!A$2:A$120,Countries!B$2:B$120,"tbd",0)</f>
        <v>Middle East</v>
      </c>
      <c r="S82" s="136" t="s">
        <v>223</v>
      </c>
      <c r="T82" s="136">
        <v>23.0</v>
      </c>
      <c r="U82" s="136" t="s">
        <v>451</v>
      </c>
    </row>
    <row r="83">
      <c r="A83" s="7">
        <v>61.0</v>
      </c>
      <c r="B83" s="7" t="s">
        <v>7</v>
      </c>
      <c r="C83" s="7" t="s">
        <v>453</v>
      </c>
      <c r="D83" s="7" t="s">
        <v>248</v>
      </c>
      <c r="E83" s="7" t="s">
        <v>136</v>
      </c>
      <c r="F83" s="7" t="s">
        <v>136</v>
      </c>
      <c r="G83" s="7" t="s">
        <v>454</v>
      </c>
      <c r="H83" s="7" t="s">
        <v>455</v>
      </c>
      <c r="I83" s="7" t="s">
        <v>135</v>
      </c>
      <c r="J83" s="7" t="s">
        <v>456</v>
      </c>
      <c r="K83" s="7" t="s">
        <v>139</v>
      </c>
      <c r="L83" s="7" t="s">
        <v>25</v>
      </c>
      <c r="O83" s="16" t="s">
        <v>309</v>
      </c>
      <c r="P83" s="7">
        <f t="shared" si="1"/>
        <v>4</v>
      </c>
      <c r="Q83" s="11" t="str">
        <f t="array" ref="Q83">XLOOKUP(O83,Countries!A$2:A$120,Countries!B$2:B$120,"tbd",0)</f>
        <v>associated countries</v>
      </c>
      <c r="S83" s="7" t="s">
        <v>365</v>
      </c>
      <c r="T83" s="7">
        <v>1.0</v>
      </c>
      <c r="U83" s="7" t="s">
        <v>451</v>
      </c>
    </row>
    <row r="84">
      <c r="A84" s="7">
        <v>77.0</v>
      </c>
      <c r="B84" s="7" t="s">
        <v>6</v>
      </c>
      <c r="C84" s="7" t="s">
        <v>235</v>
      </c>
      <c r="D84" s="7" t="s">
        <v>164</v>
      </c>
      <c r="E84" s="7" t="s">
        <v>136</v>
      </c>
      <c r="F84" s="7" t="s">
        <v>136</v>
      </c>
      <c r="G84" s="7" t="s">
        <v>457</v>
      </c>
      <c r="I84" s="7" t="s">
        <v>136</v>
      </c>
      <c r="J84" s="7" t="s">
        <v>458</v>
      </c>
      <c r="K84" s="7" t="s">
        <v>139</v>
      </c>
      <c r="L84" s="7" t="s">
        <v>25</v>
      </c>
      <c r="O84" s="16" t="s">
        <v>432</v>
      </c>
      <c r="P84" s="7">
        <f t="shared" si="1"/>
        <v>1</v>
      </c>
      <c r="Q84" s="11" t="str">
        <f t="array" ref="Q84">XLOOKUP(O84,Countries!A$2:A$120,Countries!B$2:B$120,"tbd",0)</f>
        <v>Middle/South America</v>
      </c>
      <c r="S84" s="136" t="s">
        <v>383</v>
      </c>
      <c r="T84" s="136">
        <v>16.0</v>
      </c>
      <c r="U84" s="136" t="s">
        <v>451</v>
      </c>
    </row>
    <row r="85">
      <c r="A85" s="7">
        <v>51.0</v>
      </c>
      <c r="B85" s="7" t="s">
        <v>6</v>
      </c>
      <c r="C85" s="7" t="s">
        <v>459</v>
      </c>
      <c r="D85" s="7" t="s">
        <v>197</v>
      </c>
      <c r="E85" s="7" t="s">
        <v>136</v>
      </c>
      <c r="F85" s="7" t="s">
        <v>136</v>
      </c>
      <c r="G85" s="7" t="s">
        <v>460</v>
      </c>
      <c r="I85" s="7" t="s">
        <v>135</v>
      </c>
      <c r="J85" s="7" t="s">
        <v>461</v>
      </c>
      <c r="K85" s="7" t="s">
        <v>139</v>
      </c>
      <c r="L85" s="7" t="s">
        <v>25</v>
      </c>
      <c r="O85" s="16" t="s">
        <v>423</v>
      </c>
      <c r="P85" s="7">
        <f t="shared" si="1"/>
        <v>1</v>
      </c>
      <c r="Q85" s="11" t="str">
        <f t="array" ref="Q85">XLOOKUP(O85,Countries!A$2:A$120,Countries!B$2:B$120,"tbd",0)</f>
        <v>Middle/South America</v>
      </c>
      <c r="S85" s="7" t="s">
        <v>213</v>
      </c>
      <c r="T85" s="7">
        <v>86.0</v>
      </c>
      <c r="U85" s="7" t="s">
        <v>451</v>
      </c>
    </row>
    <row r="86">
      <c r="A86" s="7">
        <v>3.0</v>
      </c>
      <c r="B86" s="7" t="s">
        <v>7</v>
      </c>
      <c r="C86" s="7" t="s">
        <v>338</v>
      </c>
      <c r="D86" s="7" t="s">
        <v>143</v>
      </c>
      <c r="E86" s="7" t="s">
        <v>136</v>
      </c>
      <c r="F86" s="7" t="s">
        <v>136</v>
      </c>
      <c r="G86" s="7" t="s">
        <v>349</v>
      </c>
      <c r="I86" s="7" t="s">
        <v>135</v>
      </c>
      <c r="J86" s="7" t="s">
        <v>462</v>
      </c>
      <c r="K86" s="7" t="s">
        <v>139</v>
      </c>
      <c r="L86" s="7" t="s">
        <v>25</v>
      </c>
      <c r="O86" s="16" t="s">
        <v>426</v>
      </c>
      <c r="P86" s="7">
        <f t="shared" si="1"/>
        <v>5</v>
      </c>
      <c r="Q86" s="11" t="str">
        <f t="array" ref="Q86">XLOOKUP(O86,Countries!A$2:A$120,Countries!B$2:B$120,"tbd",0)</f>
        <v>Middle/South America</v>
      </c>
      <c r="S86" s="7" t="s">
        <v>352</v>
      </c>
      <c r="T86" s="7">
        <v>13.0</v>
      </c>
      <c r="U86" s="7" t="s">
        <v>451</v>
      </c>
    </row>
    <row r="87">
      <c r="A87" s="7">
        <v>66.0</v>
      </c>
      <c r="B87" s="7" t="s">
        <v>6</v>
      </c>
      <c r="C87" s="7" t="s">
        <v>463</v>
      </c>
      <c r="D87" s="7" t="s">
        <v>143</v>
      </c>
      <c r="E87" s="7" t="s">
        <v>136</v>
      </c>
      <c r="F87" s="7" t="s">
        <v>136</v>
      </c>
      <c r="G87" s="7" t="s">
        <v>457</v>
      </c>
      <c r="I87" s="7" t="s">
        <v>136</v>
      </c>
      <c r="J87" s="7" t="s">
        <v>464</v>
      </c>
      <c r="K87" s="7" t="s">
        <v>139</v>
      </c>
      <c r="L87" s="7" t="s">
        <v>25</v>
      </c>
      <c r="O87" s="16" t="s">
        <v>198</v>
      </c>
      <c r="P87" s="7">
        <f t="shared" si="1"/>
        <v>1</v>
      </c>
      <c r="Q87" s="11" t="str">
        <f t="array" ref="Q87">XLOOKUP(O87,Countries!A$2:A$120,Countries!B$2:B$120,"tbd",0)</f>
        <v>Africa</v>
      </c>
      <c r="S87" s="136" t="s">
        <v>274</v>
      </c>
      <c r="T87" s="136">
        <v>3.0</v>
      </c>
      <c r="U87" s="136" t="s">
        <v>451</v>
      </c>
    </row>
    <row r="88">
      <c r="A88" s="7">
        <v>82.0</v>
      </c>
      <c r="B88" s="7" t="s">
        <v>7</v>
      </c>
      <c r="C88" s="7" t="s">
        <v>315</v>
      </c>
      <c r="D88" s="7" t="s">
        <v>164</v>
      </c>
      <c r="E88" s="7" t="s">
        <v>135</v>
      </c>
      <c r="F88" s="7" t="s">
        <v>136</v>
      </c>
      <c r="G88" s="7" t="s">
        <v>185</v>
      </c>
      <c r="I88" s="7" t="s">
        <v>136</v>
      </c>
      <c r="J88" s="7" t="s">
        <v>465</v>
      </c>
      <c r="K88" s="7" t="s">
        <v>139</v>
      </c>
      <c r="L88" s="7" t="s">
        <v>25</v>
      </c>
      <c r="O88" s="16" t="s">
        <v>154</v>
      </c>
      <c r="P88" s="7">
        <f t="shared" si="1"/>
        <v>1</v>
      </c>
      <c r="Q88" s="11" t="str">
        <f t="array" ref="Q88">XLOOKUP(O88,Countries!A$2:A$120,Countries!B$2:B$120,"tbd",0)</f>
        <v>Africa</v>
      </c>
      <c r="S88" s="7" t="s">
        <v>228</v>
      </c>
      <c r="T88" s="7">
        <v>69.0</v>
      </c>
      <c r="U88" s="7" t="s">
        <v>451</v>
      </c>
    </row>
    <row r="89">
      <c r="A89" s="7">
        <v>64.0</v>
      </c>
      <c r="B89" s="7" t="s">
        <v>7</v>
      </c>
      <c r="C89" s="7" t="s">
        <v>466</v>
      </c>
      <c r="D89" s="7" t="s">
        <v>255</v>
      </c>
      <c r="E89" s="7" t="s">
        <v>135</v>
      </c>
      <c r="F89" s="7" t="s">
        <v>136</v>
      </c>
      <c r="G89" s="7" t="s">
        <v>467</v>
      </c>
      <c r="I89" s="7" t="s">
        <v>135</v>
      </c>
      <c r="J89" s="7" t="s">
        <v>468</v>
      </c>
      <c r="K89" s="7" t="s">
        <v>139</v>
      </c>
      <c r="L89" s="7" t="s">
        <v>25</v>
      </c>
      <c r="O89" s="16" t="s">
        <v>224</v>
      </c>
      <c r="P89" s="7">
        <f t="shared" si="1"/>
        <v>1</v>
      </c>
      <c r="Q89" s="11" t="str">
        <f t="array" ref="Q89">XLOOKUP(O89,Countries!A$2:A$120,Countries!B$2:B$120,"tbd",0)</f>
        <v>Asia</v>
      </c>
      <c r="S89" s="7" t="s">
        <v>233</v>
      </c>
      <c r="T89" s="7">
        <v>109.0</v>
      </c>
      <c r="U89" s="7" t="s">
        <v>451</v>
      </c>
    </row>
    <row r="90">
      <c r="A90" s="7">
        <v>90.0</v>
      </c>
      <c r="B90" s="7" t="s">
        <v>7</v>
      </c>
      <c r="C90" s="7" t="s">
        <v>469</v>
      </c>
      <c r="D90" s="7" t="s">
        <v>202</v>
      </c>
      <c r="E90" s="7" t="s">
        <v>136</v>
      </c>
      <c r="F90" s="7" t="s">
        <v>136</v>
      </c>
      <c r="G90" s="7" t="s">
        <v>150</v>
      </c>
      <c r="I90" s="7" t="s">
        <v>136</v>
      </c>
      <c r="J90" s="7" t="s">
        <v>470</v>
      </c>
      <c r="K90" s="7" t="s">
        <v>139</v>
      </c>
      <c r="L90" s="7" t="s">
        <v>25</v>
      </c>
      <c r="N90" s="140"/>
      <c r="O90" s="16" t="s">
        <v>171</v>
      </c>
      <c r="P90" s="7">
        <f t="shared" si="1"/>
        <v>1</v>
      </c>
      <c r="Q90" s="11" t="str">
        <f t="array" ref="Q90">XLOOKUP(O90,Countries!A$2:A$120,Countries!B$2:B$120,"tbd",0)</f>
        <v>Africa</v>
      </c>
      <c r="S90" s="7" t="s">
        <v>176</v>
      </c>
      <c r="T90" s="7">
        <v>43.0</v>
      </c>
      <c r="U90" s="7" t="s">
        <v>451</v>
      </c>
    </row>
    <row r="91">
      <c r="A91" s="7">
        <v>105.0</v>
      </c>
      <c r="B91" s="7" t="s">
        <v>6</v>
      </c>
      <c r="C91" s="7" t="s">
        <v>471</v>
      </c>
      <c r="D91" s="7" t="s">
        <v>243</v>
      </c>
      <c r="E91" s="7" t="s">
        <v>135</v>
      </c>
      <c r="F91" s="7" t="s">
        <v>135</v>
      </c>
      <c r="G91" s="7" t="s">
        <v>472</v>
      </c>
      <c r="H91" s="7" t="s">
        <v>473</v>
      </c>
      <c r="I91" s="7" t="s">
        <v>136</v>
      </c>
      <c r="J91" s="7" t="s">
        <v>474</v>
      </c>
      <c r="K91" s="7" t="s">
        <v>139</v>
      </c>
      <c r="L91" s="7" t="s">
        <v>146</v>
      </c>
      <c r="O91" s="141" t="s">
        <v>370</v>
      </c>
      <c r="P91" s="7">
        <f t="shared" si="1"/>
        <v>205</v>
      </c>
      <c r="Q91" s="11" t="str">
        <f t="array" ref="Q91">XLOOKUP(O91,Countries!A$2:A$120,Countries!B$2:B$120,"tbd",0)</f>
        <v>Europe</v>
      </c>
      <c r="S91" s="7" t="s">
        <v>398</v>
      </c>
      <c r="T91" s="7">
        <v>15.0</v>
      </c>
      <c r="U91" s="7" t="s">
        <v>451</v>
      </c>
      <c r="V91" s="16">
        <f>SUM(T81:T91)</f>
        <v>390</v>
      </c>
    </row>
    <row r="92">
      <c r="A92" s="7">
        <v>106.0</v>
      </c>
      <c r="B92" s="7" t="s">
        <v>7</v>
      </c>
      <c r="C92" s="7" t="s">
        <v>475</v>
      </c>
      <c r="D92" s="7" t="s">
        <v>258</v>
      </c>
      <c r="E92" s="7" t="s">
        <v>135</v>
      </c>
      <c r="F92" s="7" t="s">
        <v>136</v>
      </c>
      <c r="G92" s="142" t="s">
        <v>157</v>
      </c>
      <c r="I92" s="7" t="s">
        <v>136</v>
      </c>
      <c r="J92" s="7" t="s">
        <v>476</v>
      </c>
      <c r="K92" s="7" t="s">
        <v>139</v>
      </c>
      <c r="L92" s="7" t="s">
        <v>146</v>
      </c>
    </row>
    <row r="93">
      <c r="A93" s="7">
        <v>14.0</v>
      </c>
      <c r="B93" s="7" t="s">
        <v>7</v>
      </c>
      <c r="C93" s="7" t="s">
        <v>379</v>
      </c>
      <c r="D93" s="7" t="s">
        <v>202</v>
      </c>
      <c r="E93" s="7" t="s">
        <v>135</v>
      </c>
      <c r="F93" s="7" t="s">
        <v>136</v>
      </c>
      <c r="G93" s="142" t="s">
        <v>137</v>
      </c>
      <c r="I93" s="7" t="s">
        <v>136</v>
      </c>
      <c r="J93" s="7" t="s">
        <v>477</v>
      </c>
      <c r="K93" s="7" t="s">
        <v>139</v>
      </c>
      <c r="L93" s="7" t="s">
        <v>146</v>
      </c>
      <c r="P93" s="143"/>
      <c r="Q93" s="143"/>
      <c r="R93" s="143"/>
      <c r="S93" s="143"/>
      <c r="T93" s="143"/>
      <c r="U93" s="143"/>
      <c r="V93" s="143"/>
    </row>
    <row r="94">
      <c r="A94" s="7">
        <v>149.0</v>
      </c>
      <c r="B94" s="7" t="s">
        <v>6</v>
      </c>
      <c r="C94" s="7" t="s">
        <v>478</v>
      </c>
      <c r="D94" s="7" t="s">
        <v>153</v>
      </c>
      <c r="E94" s="7" t="s">
        <v>135</v>
      </c>
      <c r="F94" s="7" t="s">
        <v>135</v>
      </c>
      <c r="G94" s="7" t="s">
        <v>479</v>
      </c>
      <c r="I94" s="7" t="s">
        <v>136</v>
      </c>
      <c r="J94" s="7" t="s">
        <v>480</v>
      </c>
      <c r="K94" s="7" t="s">
        <v>139</v>
      </c>
      <c r="L94" s="7" t="s">
        <v>146</v>
      </c>
    </row>
    <row r="95">
      <c r="A95" s="7">
        <v>191.0</v>
      </c>
      <c r="B95" s="7" t="s">
        <v>6</v>
      </c>
      <c r="C95" s="7" t="s">
        <v>481</v>
      </c>
      <c r="D95" s="7" t="s">
        <v>193</v>
      </c>
      <c r="E95" s="7" t="s">
        <v>136</v>
      </c>
      <c r="F95" s="7" t="s">
        <v>136</v>
      </c>
      <c r="G95" s="7" t="s">
        <v>185</v>
      </c>
      <c r="H95" s="7" t="s">
        <v>482</v>
      </c>
      <c r="I95" s="7" t="s">
        <v>136</v>
      </c>
      <c r="J95" s="7" t="s">
        <v>483</v>
      </c>
      <c r="K95" s="7" t="s">
        <v>139</v>
      </c>
      <c r="L95" s="7" t="s">
        <v>146</v>
      </c>
    </row>
    <row r="96">
      <c r="A96" s="7">
        <v>62.0</v>
      </c>
      <c r="B96" s="7" t="s">
        <v>6</v>
      </c>
      <c r="C96" s="7" t="s">
        <v>484</v>
      </c>
      <c r="D96" s="7" t="s">
        <v>263</v>
      </c>
      <c r="E96" s="7" t="s">
        <v>135</v>
      </c>
      <c r="F96" s="7" t="s">
        <v>136</v>
      </c>
      <c r="G96" s="7" t="s">
        <v>157</v>
      </c>
      <c r="I96" s="7" t="s">
        <v>136</v>
      </c>
      <c r="J96" s="7" t="s">
        <v>485</v>
      </c>
      <c r="K96" s="7" t="s">
        <v>139</v>
      </c>
      <c r="L96" s="7" t="s">
        <v>146</v>
      </c>
    </row>
    <row r="97">
      <c r="A97" s="7">
        <v>212.0</v>
      </c>
      <c r="B97" s="7" t="s">
        <v>6</v>
      </c>
      <c r="C97" s="7" t="s">
        <v>486</v>
      </c>
      <c r="D97" s="7" t="s">
        <v>219</v>
      </c>
      <c r="E97" s="7" t="s">
        <v>135</v>
      </c>
      <c r="F97" s="7" t="s">
        <v>136</v>
      </c>
      <c r="G97" s="142" t="s">
        <v>150</v>
      </c>
      <c r="I97" s="7" t="s">
        <v>136</v>
      </c>
      <c r="J97" s="7" t="s">
        <v>487</v>
      </c>
      <c r="K97" s="7" t="s">
        <v>139</v>
      </c>
      <c r="L97" s="7" t="s">
        <v>146</v>
      </c>
    </row>
    <row r="98">
      <c r="A98" s="7">
        <v>6.0</v>
      </c>
      <c r="B98" s="7" t="s">
        <v>6</v>
      </c>
      <c r="C98" s="7" t="s">
        <v>488</v>
      </c>
      <c r="D98" s="7" t="s">
        <v>274</v>
      </c>
      <c r="E98" s="7" t="s">
        <v>136</v>
      </c>
      <c r="F98" s="7" t="s">
        <v>136</v>
      </c>
      <c r="G98" s="142" t="s">
        <v>489</v>
      </c>
      <c r="I98" s="7" t="s">
        <v>136</v>
      </c>
      <c r="J98" s="7" t="s">
        <v>490</v>
      </c>
      <c r="K98" s="7" t="s">
        <v>139</v>
      </c>
      <c r="L98" s="7" t="s">
        <v>146</v>
      </c>
    </row>
    <row r="99">
      <c r="A99" s="7">
        <v>11.0</v>
      </c>
      <c r="B99" s="7" t="s">
        <v>6</v>
      </c>
      <c r="C99" s="7" t="s">
        <v>491</v>
      </c>
      <c r="D99" s="7" t="s">
        <v>193</v>
      </c>
      <c r="E99" s="7" t="s">
        <v>135</v>
      </c>
      <c r="F99" s="7" t="s">
        <v>136</v>
      </c>
      <c r="G99" s="7" t="s">
        <v>137</v>
      </c>
      <c r="I99" s="7" t="s">
        <v>136</v>
      </c>
      <c r="J99" s="7" t="s">
        <v>492</v>
      </c>
      <c r="K99" s="7" t="s">
        <v>139</v>
      </c>
      <c r="L99" s="7" t="s">
        <v>146</v>
      </c>
    </row>
    <row r="100">
      <c r="A100" s="7">
        <v>96.0</v>
      </c>
      <c r="B100" s="7" t="s">
        <v>6</v>
      </c>
      <c r="C100" s="7" t="s">
        <v>493</v>
      </c>
      <c r="D100" s="7" t="s">
        <v>279</v>
      </c>
      <c r="E100" s="7" t="s">
        <v>135</v>
      </c>
      <c r="F100" s="7" t="s">
        <v>136</v>
      </c>
      <c r="G100" s="7" t="s">
        <v>185</v>
      </c>
      <c r="H100" s="142" t="s">
        <v>494</v>
      </c>
      <c r="I100" s="7" t="s">
        <v>136</v>
      </c>
      <c r="J100" s="7" t="s">
        <v>495</v>
      </c>
      <c r="K100" s="7" t="s">
        <v>139</v>
      </c>
      <c r="L100" s="7" t="s">
        <v>146</v>
      </c>
    </row>
    <row r="101">
      <c r="A101" s="7">
        <v>65.0</v>
      </c>
      <c r="B101" s="7" t="s">
        <v>6</v>
      </c>
      <c r="C101" s="7" t="s">
        <v>496</v>
      </c>
      <c r="D101" s="7" t="s">
        <v>243</v>
      </c>
      <c r="E101" s="7" t="s">
        <v>135</v>
      </c>
      <c r="F101" s="7" t="s">
        <v>135</v>
      </c>
      <c r="G101" s="7" t="s">
        <v>497</v>
      </c>
      <c r="I101" s="7" t="s">
        <v>136</v>
      </c>
      <c r="J101" s="7" t="s">
        <v>498</v>
      </c>
      <c r="K101" s="7" t="s">
        <v>139</v>
      </c>
      <c r="L101" s="7" t="s">
        <v>146</v>
      </c>
    </row>
    <row r="102">
      <c r="A102" s="7">
        <v>92.0</v>
      </c>
      <c r="B102" s="7" t="s">
        <v>6</v>
      </c>
      <c r="C102" s="7" t="s">
        <v>499</v>
      </c>
      <c r="D102" s="7" t="s">
        <v>284</v>
      </c>
      <c r="E102" s="7" t="s">
        <v>135</v>
      </c>
      <c r="F102" s="7" t="s">
        <v>135</v>
      </c>
      <c r="G102" s="7" t="s">
        <v>191</v>
      </c>
      <c r="I102" s="7" t="s">
        <v>136</v>
      </c>
      <c r="J102" s="7" t="s">
        <v>500</v>
      </c>
      <c r="K102" s="7" t="s">
        <v>139</v>
      </c>
      <c r="L102" s="7" t="s">
        <v>146</v>
      </c>
    </row>
    <row r="103">
      <c r="A103" s="7">
        <v>40.0</v>
      </c>
      <c r="B103" s="7" t="s">
        <v>6</v>
      </c>
      <c r="C103" s="7" t="s">
        <v>501</v>
      </c>
      <c r="D103" s="7" t="s">
        <v>243</v>
      </c>
      <c r="E103" s="7" t="s">
        <v>135</v>
      </c>
      <c r="F103" s="7" t="s">
        <v>135</v>
      </c>
      <c r="G103" s="7" t="s">
        <v>502</v>
      </c>
      <c r="H103" s="7" t="s">
        <v>503</v>
      </c>
      <c r="I103" s="7" t="s">
        <v>136</v>
      </c>
      <c r="J103" s="7" t="s">
        <v>504</v>
      </c>
      <c r="K103" s="7" t="s">
        <v>139</v>
      </c>
      <c r="L103" s="7" t="s">
        <v>146</v>
      </c>
    </row>
    <row r="104">
      <c r="A104" s="7">
        <v>53.0</v>
      </c>
      <c r="B104" s="7" t="s">
        <v>6</v>
      </c>
      <c r="C104" s="7" t="s">
        <v>505</v>
      </c>
      <c r="D104" s="7" t="s">
        <v>243</v>
      </c>
      <c r="E104" s="7" t="s">
        <v>135</v>
      </c>
      <c r="F104" s="7" t="s">
        <v>136</v>
      </c>
      <c r="G104" s="142" t="s">
        <v>363</v>
      </c>
      <c r="I104" s="7" t="s">
        <v>136</v>
      </c>
      <c r="J104" s="7" t="s">
        <v>506</v>
      </c>
      <c r="K104" s="7" t="s">
        <v>139</v>
      </c>
      <c r="L104" s="7" t="s">
        <v>146</v>
      </c>
    </row>
    <row r="105">
      <c r="A105" s="7">
        <v>175.0</v>
      </c>
      <c r="B105" s="7" t="s">
        <v>6</v>
      </c>
      <c r="C105" s="7" t="s">
        <v>507</v>
      </c>
      <c r="D105" s="7" t="s">
        <v>193</v>
      </c>
      <c r="E105" s="7" t="s">
        <v>135</v>
      </c>
      <c r="F105" s="7" t="s">
        <v>136</v>
      </c>
      <c r="G105" s="7" t="s">
        <v>137</v>
      </c>
      <c r="I105" s="7" t="s">
        <v>136</v>
      </c>
      <c r="J105" s="7" t="s">
        <v>508</v>
      </c>
      <c r="K105" s="7" t="s">
        <v>139</v>
      </c>
      <c r="L105" s="7" t="s">
        <v>146</v>
      </c>
    </row>
    <row r="106">
      <c r="A106" s="7">
        <v>167.0</v>
      </c>
      <c r="B106" s="7" t="s">
        <v>6</v>
      </c>
      <c r="C106" s="7" t="s">
        <v>509</v>
      </c>
      <c r="D106" s="7" t="s">
        <v>233</v>
      </c>
      <c r="E106" s="7" t="s">
        <v>136</v>
      </c>
      <c r="F106" s="7" t="s">
        <v>136</v>
      </c>
      <c r="G106" s="7" t="s">
        <v>180</v>
      </c>
      <c r="I106" s="7" t="s">
        <v>136</v>
      </c>
      <c r="J106" s="7" t="s">
        <v>510</v>
      </c>
      <c r="K106" s="7" t="s">
        <v>139</v>
      </c>
      <c r="L106" s="7" t="s">
        <v>146</v>
      </c>
    </row>
    <row r="107">
      <c r="A107" s="7">
        <v>64.0</v>
      </c>
      <c r="B107" s="7" t="s">
        <v>7</v>
      </c>
      <c r="C107" s="7" t="s">
        <v>511</v>
      </c>
      <c r="D107" s="7" t="s">
        <v>193</v>
      </c>
      <c r="E107" s="7" t="s">
        <v>135</v>
      </c>
      <c r="F107" s="7" t="s">
        <v>136</v>
      </c>
      <c r="G107" s="142" t="s">
        <v>292</v>
      </c>
      <c r="I107" s="7" t="s">
        <v>136</v>
      </c>
      <c r="J107" s="7" t="s">
        <v>512</v>
      </c>
      <c r="K107" s="7" t="s">
        <v>139</v>
      </c>
      <c r="L107" s="7" t="s">
        <v>146</v>
      </c>
    </row>
    <row r="108">
      <c r="A108" s="7">
        <v>71.0</v>
      </c>
      <c r="B108" s="7" t="s">
        <v>7</v>
      </c>
      <c r="C108" s="7" t="s">
        <v>513</v>
      </c>
      <c r="D108" s="7" t="s">
        <v>213</v>
      </c>
      <c r="E108" s="7" t="s">
        <v>135</v>
      </c>
      <c r="F108" s="7" t="s">
        <v>136</v>
      </c>
      <c r="G108" s="7" t="s">
        <v>157</v>
      </c>
      <c r="I108" s="7" t="s">
        <v>136</v>
      </c>
      <c r="J108" s="7" t="s">
        <v>514</v>
      </c>
      <c r="K108" s="7" t="s">
        <v>139</v>
      </c>
      <c r="L108" s="7" t="s">
        <v>146</v>
      </c>
    </row>
    <row r="109">
      <c r="A109" s="7">
        <v>132.0</v>
      </c>
      <c r="B109" s="7" t="s">
        <v>6</v>
      </c>
      <c r="C109" s="7" t="s">
        <v>515</v>
      </c>
      <c r="D109" s="7" t="s">
        <v>193</v>
      </c>
      <c r="E109" s="7" t="s">
        <v>136</v>
      </c>
      <c r="F109" s="7" t="s">
        <v>136</v>
      </c>
      <c r="G109" s="7" t="s">
        <v>185</v>
      </c>
      <c r="H109" s="142" t="s">
        <v>516</v>
      </c>
      <c r="I109" s="7" t="s">
        <v>136</v>
      </c>
      <c r="J109" s="7" t="s">
        <v>517</v>
      </c>
      <c r="K109" s="7" t="s">
        <v>139</v>
      </c>
      <c r="L109" s="7" t="s">
        <v>146</v>
      </c>
    </row>
    <row r="110">
      <c r="A110" s="7">
        <v>74.0</v>
      </c>
      <c r="B110" s="7" t="s">
        <v>6</v>
      </c>
      <c r="C110" s="7" t="s">
        <v>518</v>
      </c>
      <c r="D110" s="7" t="s">
        <v>243</v>
      </c>
      <c r="E110" s="7" t="s">
        <v>135</v>
      </c>
      <c r="F110" s="7" t="s">
        <v>136</v>
      </c>
      <c r="G110" s="7" t="s">
        <v>157</v>
      </c>
      <c r="H110" s="142" t="s">
        <v>519</v>
      </c>
      <c r="I110" s="7" t="s">
        <v>136</v>
      </c>
      <c r="J110" s="7" t="s">
        <v>520</v>
      </c>
      <c r="K110" s="7" t="s">
        <v>139</v>
      </c>
      <c r="L110" s="7" t="s">
        <v>146</v>
      </c>
    </row>
    <row r="111">
      <c r="A111" s="7">
        <v>16.0</v>
      </c>
      <c r="B111" s="7" t="s">
        <v>6</v>
      </c>
      <c r="C111" s="7" t="s">
        <v>133</v>
      </c>
      <c r="D111" s="7" t="s">
        <v>134</v>
      </c>
      <c r="E111" s="7" t="s">
        <v>135</v>
      </c>
      <c r="F111" s="7" t="s">
        <v>136</v>
      </c>
      <c r="G111" s="7" t="s">
        <v>137</v>
      </c>
      <c r="I111" s="7" t="s">
        <v>136</v>
      </c>
      <c r="J111" s="7" t="s">
        <v>521</v>
      </c>
      <c r="K111" s="7" t="s">
        <v>139</v>
      </c>
      <c r="L111" s="7" t="s">
        <v>146</v>
      </c>
    </row>
    <row r="112">
      <c r="A112" s="7">
        <v>222.0</v>
      </c>
      <c r="B112" s="7" t="s">
        <v>6</v>
      </c>
      <c r="C112" s="7" t="s">
        <v>522</v>
      </c>
      <c r="D112" s="7" t="s">
        <v>187</v>
      </c>
      <c r="E112" s="7" t="s">
        <v>136</v>
      </c>
      <c r="F112" s="7" t="s">
        <v>136</v>
      </c>
      <c r="G112" s="7" t="s">
        <v>479</v>
      </c>
      <c r="I112" s="7" t="s">
        <v>136</v>
      </c>
      <c r="J112" s="7" t="s">
        <v>523</v>
      </c>
      <c r="K112" s="7" t="s">
        <v>139</v>
      </c>
      <c r="L112" s="7" t="s">
        <v>146</v>
      </c>
    </row>
    <row r="113">
      <c r="A113" s="7">
        <v>235.0</v>
      </c>
      <c r="B113" s="7" t="s">
        <v>7</v>
      </c>
      <c r="C113" s="7" t="s">
        <v>513</v>
      </c>
      <c r="D113" s="7" t="s">
        <v>213</v>
      </c>
      <c r="E113" s="7" t="s">
        <v>135</v>
      </c>
      <c r="F113" s="7" t="s">
        <v>136</v>
      </c>
      <c r="G113" s="7" t="s">
        <v>157</v>
      </c>
      <c r="H113" s="7" t="s">
        <v>524</v>
      </c>
      <c r="I113" s="7" t="s">
        <v>136</v>
      </c>
      <c r="J113" s="7" t="s">
        <v>525</v>
      </c>
      <c r="K113" s="7" t="s">
        <v>139</v>
      </c>
      <c r="L113" s="7" t="s">
        <v>146</v>
      </c>
    </row>
    <row r="114">
      <c r="A114" s="7">
        <v>70.0</v>
      </c>
      <c r="B114" s="7" t="s">
        <v>6</v>
      </c>
      <c r="C114" s="7" t="s">
        <v>526</v>
      </c>
      <c r="D114" s="7" t="s">
        <v>143</v>
      </c>
      <c r="E114" s="7" t="s">
        <v>136</v>
      </c>
      <c r="F114" s="7" t="s">
        <v>136</v>
      </c>
      <c r="G114" s="7" t="s">
        <v>157</v>
      </c>
      <c r="I114" s="7" t="s">
        <v>136</v>
      </c>
      <c r="J114" s="7" t="s">
        <v>527</v>
      </c>
      <c r="K114" s="7" t="s">
        <v>139</v>
      </c>
      <c r="L114" s="7" t="s">
        <v>146</v>
      </c>
    </row>
    <row r="115">
      <c r="A115" s="7">
        <v>232.0</v>
      </c>
      <c r="B115" s="7" t="s">
        <v>6</v>
      </c>
      <c r="C115" s="7" t="s">
        <v>526</v>
      </c>
      <c r="D115" s="7" t="s">
        <v>143</v>
      </c>
      <c r="E115" s="7" t="s">
        <v>135</v>
      </c>
      <c r="F115" s="7" t="s">
        <v>136</v>
      </c>
      <c r="G115" s="7" t="s">
        <v>157</v>
      </c>
      <c r="I115" s="7" t="s">
        <v>136</v>
      </c>
      <c r="J115" s="7" t="s">
        <v>528</v>
      </c>
      <c r="K115" s="7" t="s">
        <v>139</v>
      </c>
      <c r="L115" s="7" t="s">
        <v>146</v>
      </c>
    </row>
    <row r="116">
      <c r="A116" s="7">
        <v>46.0</v>
      </c>
      <c r="B116" s="7" t="s">
        <v>6</v>
      </c>
      <c r="C116" s="7" t="s">
        <v>529</v>
      </c>
      <c r="D116" s="7" t="s">
        <v>290</v>
      </c>
      <c r="E116" s="7" t="s">
        <v>135</v>
      </c>
      <c r="F116" s="7" t="s">
        <v>136</v>
      </c>
      <c r="G116" s="7" t="s">
        <v>191</v>
      </c>
      <c r="I116" s="7" t="s">
        <v>136</v>
      </c>
      <c r="J116" s="7" t="s">
        <v>530</v>
      </c>
      <c r="K116" s="7" t="s">
        <v>139</v>
      </c>
      <c r="L116" s="7" t="s">
        <v>146</v>
      </c>
    </row>
    <row r="117">
      <c r="A117" s="7">
        <v>118.0</v>
      </c>
      <c r="B117" s="7" t="s">
        <v>6</v>
      </c>
      <c r="C117" s="7" t="s">
        <v>531</v>
      </c>
      <c r="D117" s="7" t="s">
        <v>296</v>
      </c>
      <c r="E117" s="7" t="s">
        <v>135</v>
      </c>
      <c r="F117" s="7" t="s">
        <v>136</v>
      </c>
      <c r="G117" s="7" t="s">
        <v>221</v>
      </c>
      <c r="I117" s="7" t="s">
        <v>136</v>
      </c>
      <c r="J117" s="7" t="s">
        <v>532</v>
      </c>
      <c r="K117" s="7" t="s">
        <v>139</v>
      </c>
      <c r="L117" s="7" t="s">
        <v>146</v>
      </c>
    </row>
    <row r="118">
      <c r="A118" s="7">
        <v>101.0</v>
      </c>
      <c r="B118" s="7" t="s">
        <v>6</v>
      </c>
      <c r="C118" s="7" t="s">
        <v>533</v>
      </c>
      <c r="D118" s="7" t="s">
        <v>243</v>
      </c>
      <c r="E118" s="7" t="s">
        <v>135</v>
      </c>
      <c r="F118" s="7" t="s">
        <v>135</v>
      </c>
      <c r="G118" s="7" t="s">
        <v>534</v>
      </c>
      <c r="I118" s="7" t="s">
        <v>136</v>
      </c>
      <c r="J118" s="7" t="s">
        <v>535</v>
      </c>
      <c r="K118" s="7" t="s">
        <v>139</v>
      </c>
      <c r="L118" s="7" t="s">
        <v>146</v>
      </c>
    </row>
    <row r="119">
      <c r="A119" s="7">
        <v>25.0</v>
      </c>
      <c r="B119" s="7" t="s">
        <v>6</v>
      </c>
      <c r="C119" s="7" t="s">
        <v>536</v>
      </c>
      <c r="D119" s="7" t="s">
        <v>193</v>
      </c>
      <c r="E119" s="7" t="s">
        <v>135</v>
      </c>
      <c r="F119" s="7" t="s">
        <v>136</v>
      </c>
      <c r="G119" s="7" t="s">
        <v>157</v>
      </c>
      <c r="I119" s="7" t="s">
        <v>136</v>
      </c>
      <c r="J119" s="7" t="s">
        <v>537</v>
      </c>
      <c r="K119" s="7" t="s">
        <v>139</v>
      </c>
      <c r="L119" s="7" t="s">
        <v>146</v>
      </c>
    </row>
    <row r="120">
      <c r="A120" s="7">
        <v>151.0</v>
      </c>
      <c r="B120" s="7" t="s">
        <v>6</v>
      </c>
      <c r="C120" s="7" t="s">
        <v>515</v>
      </c>
      <c r="D120" s="7" t="s">
        <v>193</v>
      </c>
      <c r="E120" s="7" t="s">
        <v>135</v>
      </c>
      <c r="F120" s="7" t="s">
        <v>136</v>
      </c>
      <c r="G120" s="142" t="s">
        <v>349</v>
      </c>
      <c r="I120" s="7" t="s">
        <v>136</v>
      </c>
      <c r="J120" s="7" t="s">
        <v>538</v>
      </c>
      <c r="K120" s="7" t="s">
        <v>139</v>
      </c>
      <c r="L120" s="7" t="s">
        <v>146</v>
      </c>
    </row>
    <row r="121">
      <c r="A121" s="7">
        <v>91.0</v>
      </c>
      <c r="B121" s="7" t="s">
        <v>6</v>
      </c>
      <c r="C121" s="7" t="s">
        <v>539</v>
      </c>
      <c r="D121" s="7" t="s">
        <v>290</v>
      </c>
      <c r="E121" s="7" t="s">
        <v>135</v>
      </c>
      <c r="F121" s="7" t="s">
        <v>136</v>
      </c>
      <c r="G121" s="7" t="s">
        <v>191</v>
      </c>
      <c r="I121" s="7" t="s">
        <v>136</v>
      </c>
      <c r="J121" s="7" t="s">
        <v>540</v>
      </c>
      <c r="K121" s="7" t="s">
        <v>139</v>
      </c>
      <c r="L121" s="7" t="s">
        <v>146</v>
      </c>
    </row>
    <row r="122">
      <c r="A122" s="7">
        <v>157.0</v>
      </c>
      <c r="B122" s="7" t="s">
        <v>6</v>
      </c>
      <c r="C122" s="7" t="s">
        <v>541</v>
      </c>
      <c r="D122" s="7" t="s">
        <v>301</v>
      </c>
      <c r="E122" s="7" t="s">
        <v>135</v>
      </c>
      <c r="F122" s="7" t="s">
        <v>135</v>
      </c>
      <c r="G122" s="7" t="s">
        <v>191</v>
      </c>
      <c r="I122" s="7" t="s">
        <v>136</v>
      </c>
      <c r="J122" s="7" t="s">
        <v>542</v>
      </c>
      <c r="K122" s="7" t="s">
        <v>139</v>
      </c>
      <c r="L122" s="7" t="s">
        <v>146</v>
      </c>
    </row>
    <row r="123">
      <c r="A123" s="7">
        <v>187.0</v>
      </c>
      <c r="B123" s="7" t="s">
        <v>6</v>
      </c>
      <c r="C123" s="7" t="s">
        <v>543</v>
      </c>
      <c r="D123" s="7" t="s">
        <v>243</v>
      </c>
      <c r="E123" s="7" t="s">
        <v>135</v>
      </c>
      <c r="F123" s="7" t="s">
        <v>135</v>
      </c>
      <c r="G123" s="7" t="s">
        <v>467</v>
      </c>
      <c r="H123" s="7" t="s">
        <v>544</v>
      </c>
      <c r="I123" s="7" t="s">
        <v>136</v>
      </c>
      <c r="J123" s="7" t="s">
        <v>545</v>
      </c>
      <c r="K123" s="7" t="s">
        <v>139</v>
      </c>
      <c r="L123" s="7" t="s">
        <v>146</v>
      </c>
    </row>
    <row r="124">
      <c r="A124" s="7">
        <v>121.0</v>
      </c>
      <c r="B124" s="7" t="s">
        <v>6</v>
      </c>
      <c r="C124" s="7" t="s">
        <v>546</v>
      </c>
      <c r="D124" s="7" t="s">
        <v>268</v>
      </c>
      <c r="E124" s="7" t="s">
        <v>136</v>
      </c>
      <c r="F124" s="7" t="s">
        <v>136</v>
      </c>
      <c r="G124" s="7" t="s">
        <v>157</v>
      </c>
      <c r="H124" s="7" t="s">
        <v>547</v>
      </c>
      <c r="I124" s="7" t="s">
        <v>136</v>
      </c>
      <c r="J124" s="7" t="s">
        <v>548</v>
      </c>
      <c r="K124" s="7" t="s">
        <v>139</v>
      </c>
      <c r="L124" s="7" t="s">
        <v>146</v>
      </c>
    </row>
    <row r="125">
      <c r="A125" s="7">
        <v>229.0</v>
      </c>
      <c r="B125" s="7" t="s">
        <v>7</v>
      </c>
      <c r="C125" s="7" t="s">
        <v>549</v>
      </c>
      <c r="D125" s="7" t="s">
        <v>244</v>
      </c>
      <c r="E125" s="7" t="s">
        <v>135</v>
      </c>
      <c r="F125" s="7" t="s">
        <v>136</v>
      </c>
      <c r="G125" s="7" t="s">
        <v>550</v>
      </c>
      <c r="H125" s="7" t="s">
        <v>551</v>
      </c>
      <c r="I125" s="7" t="s">
        <v>136</v>
      </c>
      <c r="J125" s="7" t="s">
        <v>552</v>
      </c>
      <c r="K125" s="7" t="s">
        <v>139</v>
      </c>
      <c r="L125" s="7" t="s">
        <v>146</v>
      </c>
    </row>
    <row r="126">
      <c r="A126" s="7">
        <v>144.0</v>
      </c>
      <c r="B126" s="7" t="s">
        <v>6</v>
      </c>
      <c r="C126" s="7" t="s">
        <v>553</v>
      </c>
      <c r="D126" s="7" t="s">
        <v>313</v>
      </c>
      <c r="E126" s="7" t="s">
        <v>136</v>
      </c>
      <c r="F126" s="7" t="s">
        <v>135</v>
      </c>
      <c r="G126" s="7" t="s">
        <v>554</v>
      </c>
      <c r="H126" s="142" t="s">
        <v>555</v>
      </c>
      <c r="I126" s="7" t="s">
        <v>136</v>
      </c>
      <c r="J126" s="7" t="s">
        <v>556</v>
      </c>
      <c r="K126" s="7" t="s">
        <v>139</v>
      </c>
      <c r="L126" s="7" t="s">
        <v>146</v>
      </c>
    </row>
    <row r="127">
      <c r="A127" s="7">
        <v>131.0</v>
      </c>
      <c r="B127" s="7" t="s">
        <v>7</v>
      </c>
      <c r="C127" s="7" t="s">
        <v>557</v>
      </c>
      <c r="D127" s="7" t="s">
        <v>318</v>
      </c>
      <c r="E127" s="7" t="s">
        <v>135</v>
      </c>
      <c r="F127" s="7" t="s">
        <v>136</v>
      </c>
      <c r="G127" s="7" t="s">
        <v>157</v>
      </c>
      <c r="I127" s="7" t="s">
        <v>136</v>
      </c>
      <c r="J127" s="7" t="s">
        <v>558</v>
      </c>
      <c r="K127" s="7" t="s">
        <v>139</v>
      </c>
      <c r="L127" s="7" t="s">
        <v>146</v>
      </c>
    </row>
    <row r="128">
      <c r="A128" s="7">
        <v>164.0</v>
      </c>
      <c r="B128" s="7" t="s">
        <v>7</v>
      </c>
      <c r="C128" s="7" t="s">
        <v>179</v>
      </c>
      <c r="D128" s="7" t="s">
        <v>153</v>
      </c>
      <c r="E128" s="7" t="s">
        <v>136</v>
      </c>
      <c r="F128" s="7" t="s">
        <v>136</v>
      </c>
      <c r="G128" s="7" t="s">
        <v>137</v>
      </c>
      <c r="I128" s="7" t="s">
        <v>136</v>
      </c>
      <c r="J128" s="7" t="s">
        <v>559</v>
      </c>
      <c r="K128" s="7" t="s">
        <v>139</v>
      </c>
      <c r="L128" s="7" t="s">
        <v>146</v>
      </c>
    </row>
    <row r="129">
      <c r="A129" s="7">
        <v>156.0</v>
      </c>
      <c r="B129" s="7" t="s">
        <v>6</v>
      </c>
      <c r="C129" s="7" t="s">
        <v>560</v>
      </c>
      <c r="D129" s="7" t="s">
        <v>213</v>
      </c>
      <c r="E129" s="7" t="s">
        <v>135</v>
      </c>
      <c r="F129" s="7" t="s">
        <v>136</v>
      </c>
      <c r="G129" s="7" t="s">
        <v>191</v>
      </c>
      <c r="I129" s="7" t="s">
        <v>136</v>
      </c>
      <c r="J129" s="7" t="s">
        <v>561</v>
      </c>
      <c r="K129" s="7" t="s">
        <v>139</v>
      </c>
      <c r="L129" s="7" t="s">
        <v>146</v>
      </c>
    </row>
    <row r="130">
      <c r="A130" s="7">
        <v>45.0</v>
      </c>
      <c r="B130" s="7" t="s">
        <v>6</v>
      </c>
      <c r="C130" s="7" t="s">
        <v>562</v>
      </c>
      <c r="D130" s="7" t="s">
        <v>153</v>
      </c>
      <c r="E130" s="7" t="s">
        <v>135</v>
      </c>
      <c r="F130" s="7" t="s">
        <v>136</v>
      </c>
      <c r="G130" s="7" t="s">
        <v>191</v>
      </c>
      <c r="I130" s="7" t="s">
        <v>136</v>
      </c>
      <c r="J130" s="7" t="s">
        <v>563</v>
      </c>
      <c r="K130" s="7" t="s">
        <v>139</v>
      </c>
      <c r="L130" s="7" t="s">
        <v>146</v>
      </c>
    </row>
    <row r="131">
      <c r="A131" s="7">
        <v>216.0</v>
      </c>
      <c r="B131" s="7" t="s">
        <v>7</v>
      </c>
      <c r="C131" s="7" t="s">
        <v>564</v>
      </c>
      <c r="D131" s="7" t="s">
        <v>268</v>
      </c>
      <c r="E131" s="7" t="s">
        <v>135</v>
      </c>
      <c r="F131" s="7" t="s">
        <v>136</v>
      </c>
      <c r="G131" s="142" t="s">
        <v>174</v>
      </c>
      <c r="I131" s="7" t="s">
        <v>136</v>
      </c>
      <c r="J131" s="7" t="s">
        <v>565</v>
      </c>
      <c r="K131" s="7" t="s">
        <v>139</v>
      </c>
      <c r="L131" s="7" t="s">
        <v>146</v>
      </c>
    </row>
    <row r="132">
      <c r="A132" s="7">
        <v>32.0</v>
      </c>
      <c r="B132" s="7" t="s">
        <v>6</v>
      </c>
      <c r="C132" s="7" t="s">
        <v>566</v>
      </c>
      <c r="D132" s="7" t="s">
        <v>203</v>
      </c>
      <c r="E132" s="7" t="s">
        <v>136</v>
      </c>
      <c r="F132" s="7" t="s">
        <v>136</v>
      </c>
      <c r="G132" s="7" t="s">
        <v>185</v>
      </c>
      <c r="H132" s="7" t="s">
        <v>567</v>
      </c>
      <c r="I132" s="7" t="s">
        <v>136</v>
      </c>
      <c r="J132" s="7" t="s">
        <v>568</v>
      </c>
      <c r="K132" s="7" t="s">
        <v>139</v>
      </c>
      <c r="L132" s="7" t="s">
        <v>146</v>
      </c>
    </row>
    <row r="133">
      <c r="A133" s="7">
        <v>227.0</v>
      </c>
      <c r="B133" s="7" t="s">
        <v>7</v>
      </c>
      <c r="C133" s="7" t="s">
        <v>569</v>
      </c>
      <c r="D133" s="7" t="s">
        <v>244</v>
      </c>
      <c r="E133" s="7" t="s">
        <v>136</v>
      </c>
      <c r="F133" s="7" t="s">
        <v>135</v>
      </c>
      <c r="G133" s="7" t="s">
        <v>185</v>
      </c>
      <c r="H133" s="7" t="s">
        <v>570</v>
      </c>
      <c r="I133" s="7" t="s">
        <v>136</v>
      </c>
      <c r="J133" s="7" t="s">
        <v>571</v>
      </c>
      <c r="K133" s="7" t="s">
        <v>139</v>
      </c>
      <c r="L133" s="7" t="s">
        <v>146</v>
      </c>
    </row>
    <row r="134">
      <c r="A134" s="7">
        <v>72.0</v>
      </c>
      <c r="B134" s="7" t="s">
        <v>6</v>
      </c>
      <c r="C134" s="7" t="s">
        <v>572</v>
      </c>
      <c r="D134" s="7" t="s">
        <v>233</v>
      </c>
      <c r="E134" s="7" t="s">
        <v>135</v>
      </c>
      <c r="F134" s="7" t="s">
        <v>136</v>
      </c>
      <c r="G134" s="7" t="s">
        <v>157</v>
      </c>
      <c r="H134" s="7" t="s">
        <v>573</v>
      </c>
      <c r="I134" s="7" t="s">
        <v>136</v>
      </c>
      <c r="J134" s="7" t="s">
        <v>574</v>
      </c>
      <c r="K134" s="7" t="s">
        <v>139</v>
      </c>
      <c r="L134" s="7" t="s">
        <v>146</v>
      </c>
    </row>
    <row r="135">
      <c r="A135" s="7">
        <v>27.0</v>
      </c>
      <c r="B135" s="7" t="s">
        <v>6</v>
      </c>
      <c r="C135" s="7" t="s">
        <v>515</v>
      </c>
      <c r="D135" s="7" t="s">
        <v>193</v>
      </c>
      <c r="E135" s="7" t="s">
        <v>136</v>
      </c>
      <c r="F135" s="7" t="s">
        <v>135</v>
      </c>
      <c r="G135" s="7" t="s">
        <v>157</v>
      </c>
      <c r="I135" s="7" t="s">
        <v>136</v>
      </c>
      <c r="J135" s="7" t="s">
        <v>575</v>
      </c>
      <c r="K135" s="7" t="s">
        <v>139</v>
      </c>
      <c r="L135" s="7" t="s">
        <v>146</v>
      </c>
    </row>
    <row r="136">
      <c r="A136" s="7">
        <v>134.0</v>
      </c>
      <c r="B136" s="7" t="s">
        <v>7</v>
      </c>
      <c r="C136" s="7" t="s">
        <v>576</v>
      </c>
      <c r="D136" s="7" t="s">
        <v>244</v>
      </c>
      <c r="E136" s="7" t="s">
        <v>135</v>
      </c>
      <c r="F136" s="7" t="s">
        <v>136</v>
      </c>
      <c r="G136" s="7" t="s">
        <v>185</v>
      </c>
      <c r="H136" s="7" t="s">
        <v>577</v>
      </c>
      <c r="I136" s="7" t="s">
        <v>136</v>
      </c>
      <c r="J136" s="7" t="s">
        <v>578</v>
      </c>
      <c r="K136" s="7" t="s">
        <v>139</v>
      </c>
      <c r="L136" s="7" t="s">
        <v>146</v>
      </c>
    </row>
    <row r="137">
      <c r="A137" s="7">
        <v>1.0</v>
      </c>
      <c r="B137" s="7" t="s">
        <v>7</v>
      </c>
      <c r="C137" s="7" t="s">
        <v>195</v>
      </c>
      <c r="D137" s="7" t="s">
        <v>164</v>
      </c>
      <c r="G137" s="7" t="s">
        <v>185</v>
      </c>
      <c r="H137" s="7" t="s">
        <v>579</v>
      </c>
      <c r="I137" s="7" t="s">
        <v>136</v>
      </c>
      <c r="J137" s="7" t="s">
        <v>580</v>
      </c>
      <c r="K137" s="7" t="s">
        <v>139</v>
      </c>
      <c r="L137" s="7" t="s">
        <v>146</v>
      </c>
    </row>
    <row r="138">
      <c r="A138" s="7">
        <v>123.0</v>
      </c>
      <c r="B138" s="7" t="s">
        <v>6</v>
      </c>
      <c r="C138" s="7" t="s">
        <v>581</v>
      </c>
      <c r="D138" s="7" t="s">
        <v>314</v>
      </c>
      <c r="E138" s="7" t="s">
        <v>136</v>
      </c>
      <c r="F138" s="7" t="s">
        <v>136</v>
      </c>
      <c r="G138" s="7" t="s">
        <v>582</v>
      </c>
      <c r="H138" s="7" t="s">
        <v>583</v>
      </c>
      <c r="I138" s="7" t="s">
        <v>136</v>
      </c>
      <c r="J138" s="7" t="s">
        <v>584</v>
      </c>
      <c r="K138" s="7" t="s">
        <v>139</v>
      </c>
      <c r="L138" s="7" t="s">
        <v>146</v>
      </c>
    </row>
    <row r="139">
      <c r="A139" s="7">
        <v>84.0</v>
      </c>
      <c r="B139" s="7" t="s">
        <v>7</v>
      </c>
      <c r="C139" s="7" t="s">
        <v>515</v>
      </c>
      <c r="D139" s="7" t="s">
        <v>193</v>
      </c>
      <c r="E139" s="7" t="s">
        <v>135</v>
      </c>
      <c r="F139" s="7" t="s">
        <v>136</v>
      </c>
      <c r="G139" s="7" t="s">
        <v>479</v>
      </c>
      <c r="I139" s="7" t="s">
        <v>136</v>
      </c>
      <c r="J139" s="7" t="s">
        <v>585</v>
      </c>
      <c r="K139" s="7" t="s">
        <v>139</v>
      </c>
      <c r="L139" s="7" t="s">
        <v>146</v>
      </c>
    </row>
    <row r="140">
      <c r="A140" s="7">
        <v>12.0</v>
      </c>
      <c r="B140" s="7" t="s">
        <v>7</v>
      </c>
      <c r="C140" s="7" t="s">
        <v>200</v>
      </c>
      <c r="D140" s="7" t="s">
        <v>143</v>
      </c>
      <c r="E140" s="7" t="s">
        <v>136</v>
      </c>
      <c r="F140" s="7" t="s">
        <v>136</v>
      </c>
      <c r="G140" s="7" t="s">
        <v>174</v>
      </c>
      <c r="I140" s="7" t="s">
        <v>136</v>
      </c>
      <c r="J140" s="7" t="s">
        <v>586</v>
      </c>
      <c r="K140" s="7" t="s">
        <v>139</v>
      </c>
      <c r="L140" s="7" t="s">
        <v>146</v>
      </c>
    </row>
    <row r="141">
      <c r="A141" s="7">
        <v>161.0</v>
      </c>
      <c r="B141" s="7" t="s">
        <v>7</v>
      </c>
      <c r="C141" s="7" t="s">
        <v>587</v>
      </c>
      <c r="D141" s="7" t="s">
        <v>176</v>
      </c>
      <c r="E141" s="7" t="s">
        <v>135</v>
      </c>
      <c r="F141" s="7" t="s">
        <v>136</v>
      </c>
      <c r="G141" s="7" t="s">
        <v>191</v>
      </c>
      <c r="I141" s="7" t="s">
        <v>136</v>
      </c>
      <c r="J141" s="7" t="s">
        <v>588</v>
      </c>
      <c r="K141" s="7" t="s">
        <v>139</v>
      </c>
      <c r="L141" s="7" t="s">
        <v>146</v>
      </c>
    </row>
    <row r="142">
      <c r="A142" s="7">
        <v>179.0</v>
      </c>
      <c r="B142" s="7" t="s">
        <v>6</v>
      </c>
      <c r="C142" s="7" t="s">
        <v>589</v>
      </c>
      <c r="D142" s="7" t="s">
        <v>233</v>
      </c>
      <c r="E142" s="7" t="s">
        <v>136</v>
      </c>
      <c r="F142" s="7" t="s">
        <v>136</v>
      </c>
      <c r="G142" s="7" t="s">
        <v>137</v>
      </c>
      <c r="I142" s="7" t="s">
        <v>136</v>
      </c>
      <c r="J142" s="7" t="s">
        <v>590</v>
      </c>
      <c r="K142" s="7" t="s">
        <v>139</v>
      </c>
      <c r="L142" s="7" t="s">
        <v>146</v>
      </c>
    </row>
    <row r="143">
      <c r="A143" s="7">
        <v>63.0</v>
      </c>
      <c r="B143" s="7" t="s">
        <v>6</v>
      </c>
      <c r="C143" s="7" t="s">
        <v>591</v>
      </c>
      <c r="D143" s="7" t="s">
        <v>166</v>
      </c>
      <c r="E143" s="7" t="s">
        <v>135</v>
      </c>
      <c r="F143" s="7" t="s">
        <v>136</v>
      </c>
      <c r="G143" s="7" t="s">
        <v>157</v>
      </c>
      <c r="I143" s="7" t="s">
        <v>136</v>
      </c>
      <c r="J143" s="7" t="s">
        <v>592</v>
      </c>
      <c r="K143" s="7" t="s">
        <v>139</v>
      </c>
      <c r="L143" s="7" t="s">
        <v>146</v>
      </c>
    </row>
    <row r="144">
      <c r="A144" s="7">
        <v>51.0</v>
      </c>
      <c r="B144" s="7" t="s">
        <v>6</v>
      </c>
      <c r="C144" s="7" t="s">
        <v>593</v>
      </c>
      <c r="D144" s="7" t="s">
        <v>290</v>
      </c>
      <c r="E144" s="7" t="s">
        <v>135</v>
      </c>
      <c r="F144" s="7" t="s">
        <v>135</v>
      </c>
      <c r="G144" s="7" t="s">
        <v>594</v>
      </c>
      <c r="I144" s="7" t="s">
        <v>136</v>
      </c>
      <c r="J144" s="7" t="s">
        <v>595</v>
      </c>
      <c r="K144" s="7" t="s">
        <v>139</v>
      </c>
      <c r="L144" s="7" t="s">
        <v>146</v>
      </c>
    </row>
    <row r="145">
      <c r="A145" s="7">
        <v>36.0</v>
      </c>
      <c r="B145" s="7" t="s">
        <v>6</v>
      </c>
      <c r="C145" s="7" t="s">
        <v>515</v>
      </c>
      <c r="D145" s="7" t="s">
        <v>193</v>
      </c>
      <c r="E145" s="7" t="s">
        <v>135</v>
      </c>
      <c r="F145" s="7" t="s">
        <v>135</v>
      </c>
      <c r="G145" s="142" t="s">
        <v>596</v>
      </c>
      <c r="I145" s="7" t="s">
        <v>136</v>
      </c>
      <c r="J145" s="7" t="s">
        <v>597</v>
      </c>
      <c r="K145" s="7" t="s">
        <v>139</v>
      </c>
      <c r="L145" s="7" t="s">
        <v>146</v>
      </c>
    </row>
    <row r="146">
      <c r="A146" s="7">
        <v>100.0</v>
      </c>
      <c r="B146" s="7" t="s">
        <v>7</v>
      </c>
      <c r="C146" s="7" t="s">
        <v>598</v>
      </c>
      <c r="D146" s="7" t="s">
        <v>193</v>
      </c>
      <c r="E146" s="7" t="s">
        <v>135</v>
      </c>
      <c r="F146" s="7" t="s">
        <v>136</v>
      </c>
      <c r="G146" s="7" t="s">
        <v>599</v>
      </c>
      <c r="H146" s="7" t="s">
        <v>600</v>
      </c>
      <c r="I146" s="7" t="s">
        <v>136</v>
      </c>
      <c r="J146" s="7" t="s">
        <v>601</v>
      </c>
      <c r="K146" s="7" t="s">
        <v>139</v>
      </c>
      <c r="L146" s="7" t="s">
        <v>146</v>
      </c>
    </row>
    <row r="147">
      <c r="A147" s="7">
        <v>54.0</v>
      </c>
      <c r="B147" s="7" t="s">
        <v>6</v>
      </c>
      <c r="C147" s="7" t="s">
        <v>602</v>
      </c>
      <c r="D147" s="7" t="s">
        <v>143</v>
      </c>
      <c r="E147" s="7" t="s">
        <v>136</v>
      </c>
      <c r="F147" s="7" t="s">
        <v>136</v>
      </c>
      <c r="G147" s="7" t="s">
        <v>603</v>
      </c>
      <c r="I147" s="7" t="s">
        <v>136</v>
      </c>
      <c r="J147" s="7" t="s">
        <v>604</v>
      </c>
      <c r="K147" s="7" t="s">
        <v>139</v>
      </c>
      <c r="L147" s="7" t="s">
        <v>146</v>
      </c>
    </row>
    <row r="148">
      <c r="A148" s="7">
        <v>165.0</v>
      </c>
      <c r="B148" s="7" t="s">
        <v>6</v>
      </c>
      <c r="C148" s="7" t="s">
        <v>605</v>
      </c>
      <c r="D148" s="7" t="s">
        <v>143</v>
      </c>
      <c r="E148" s="7" t="s">
        <v>136</v>
      </c>
      <c r="F148" s="7" t="s">
        <v>136</v>
      </c>
      <c r="G148" s="7" t="s">
        <v>606</v>
      </c>
      <c r="I148" s="7" t="s">
        <v>136</v>
      </c>
      <c r="J148" s="7" t="s">
        <v>607</v>
      </c>
      <c r="K148" s="7" t="s">
        <v>139</v>
      </c>
      <c r="L148" s="7" t="s">
        <v>146</v>
      </c>
    </row>
    <row r="149">
      <c r="A149" s="7">
        <v>186.0</v>
      </c>
      <c r="B149" s="7" t="s">
        <v>7</v>
      </c>
      <c r="C149" s="7" t="s">
        <v>608</v>
      </c>
      <c r="D149" s="7" t="s">
        <v>193</v>
      </c>
      <c r="E149" s="7" t="s">
        <v>136</v>
      </c>
      <c r="F149" s="7" t="s">
        <v>135</v>
      </c>
      <c r="G149" s="7" t="s">
        <v>292</v>
      </c>
      <c r="I149" s="7" t="s">
        <v>136</v>
      </c>
      <c r="J149" s="7" t="s">
        <v>609</v>
      </c>
      <c r="K149" s="7" t="s">
        <v>139</v>
      </c>
      <c r="L149" s="7" t="s">
        <v>146</v>
      </c>
    </row>
    <row r="150">
      <c r="A150" s="7">
        <v>48.0</v>
      </c>
      <c r="B150" s="7" t="s">
        <v>7</v>
      </c>
      <c r="C150" s="7" t="s">
        <v>610</v>
      </c>
      <c r="D150" s="7" t="s">
        <v>258</v>
      </c>
      <c r="E150" s="7" t="s">
        <v>135</v>
      </c>
      <c r="F150" s="7" t="s">
        <v>135</v>
      </c>
      <c r="G150" s="7" t="s">
        <v>157</v>
      </c>
      <c r="I150" s="7" t="s">
        <v>136</v>
      </c>
      <c r="J150" s="7" t="s">
        <v>611</v>
      </c>
      <c r="K150" s="7" t="s">
        <v>139</v>
      </c>
      <c r="L150" s="7" t="s">
        <v>146</v>
      </c>
    </row>
    <row r="151">
      <c r="A151" s="7">
        <v>201.0</v>
      </c>
      <c r="B151" s="7" t="s">
        <v>7</v>
      </c>
      <c r="C151" s="7" t="s">
        <v>610</v>
      </c>
      <c r="D151" s="7" t="s">
        <v>258</v>
      </c>
      <c r="E151" s="7" t="s">
        <v>135</v>
      </c>
      <c r="F151" s="7" t="s">
        <v>135</v>
      </c>
      <c r="G151" s="7" t="s">
        <v>157</v>
      </c>
      <c r="I151" s="7" t="s">
        <v>136</v>
      </c>
      <c r="J151" s="7" t="s">
        <v>612</v>
      </c>
      <c r="K151" s="7" t="s">
        <v>139</v>
      </c>
      <c r="L151" s="7" t="s">
        <v>146</v>
      </c>
    </row>
    <row r="152">
      <c r="A152" s="7">
        <v>173.0</v>
      </c>
      <c r="B152" s="7" t="s">
        <v>7</v>
      </c>
      <c r="C152" s="7" t="s">
        <v>453</v>
      </c>
      <c r="D152" s="7" t="s">
        <v>248</v>
      </c>
      <c r="E152" s="7" t="s">
        <v>135</v>
      </c>
      <c r="F152" s="7" t="s">
        <v>136</v>
      </c>
      <c r="G152" s="7" t="s">
        <v>613</v>
      </c>
      <c r="I152" s="7" t="s">
        <v>136</v>
      </c>
      <c r="J152" s="7" t="s">
        <v>614</v>
      </c>
      <c r="K152" s="7" t="s">
        <v>139</v>
      </c>
      <c r="L152" s="7" t="s">
        <v>146</v>
      </c>
    </row>
    <row r="153">
      <c r="A153" s="7">
        <v>154.0</v>
      </c>
      <c r="B153" s="7" t="s">
        <v>6</v>
      </c>
      <c r="C153" s="7" t="s">
        <v>615</v>
      </c>
      <c r="D153" s="7" t="s">
        <v>239</v>
      </c>
      <c r="E153" s="7" t="s">
        <v>136</v>
      </c>
      <c r="F153" s="7" t="s">
        <v>136</v>
      </c>
      <c r="G153" s="7" t="s">
        <v>157</v>
      </c>
      <c r="I153" s="7" t="s">
        <v>136</v>
      </c>
      <c r="J153" s="7" t="s">
        <v>616</v>
      </c>
      <c r="K153" s="7" t="s">
        <v>139</v>
      </c>
      <c r="L153" s="7" t="s">
        <v>146</v>
      </c>
    </row>
    <row r="154">
      <c r="A154" s="7">
        <v>136.0</v>
      </c>
      <c r="B154" s="7" t="s">
        <v>6</v>
      </c>
      <c r="C154" s="7" t="s">
        <v>617</v>
      </c>
      <c r="D154" s="7" t="s">
        <v>290</v>
      </c>
      <c r="E154" s="7" t="s">
        <v>136</v>
      </c>
      <c r="F154" s="7" t="s">
        <v>135</v>
      </c>
      <c r="G154" s="7" t="s">
        <v>618</v>
      </c>
      <c r="H154" s="7" t="s">
        <v>619</v>
      </c>
      <c r="I154" s="7" t="s">
        <v>136</v>
      </c>
      <c r="J154" s="7" t="s">
        <v>620</v>
      </c>
      <c r="K154" s="7" t="s">
        <v>139</v>
      </c>
      <c r="L154" s="7" t="s">
        <v>146</v>
      </c>
    </row>
    <row r="155">
      <c r="A155" s="7">
        <v>108.0</v>
      </c>
      <c r="B155" s="7" t="s">
        <v>6</v>
      </c>
      <c r="C155" s="7" t="s">
        <v>621</v>
      </c>
      <c r="D155" s="7" t="s">
        <v>296</v>
      </c>
      <c r="E155" s="7" t="s">
        <v>136</v>
      </c>
      <c r="F155" s="7" t="s">
        <v>136</v>
      </c>
      <c r="G155" s="7" t="s">
        <v>596</v>
      </c>
      <c r="I155" s="7" t="s">
        <v>136</v>
      </c>
      <c r="J155" s="7" t="s">
        <v>622</v>
      </c>
      <c r="K155" s="7" t="s">
        <v>139</v>
      </c>
      <c r="L155" s="7" t="s">
        <v>146</v>
      </c>
    </row>
    <row r="156">
      <c r="A156" s="7">
        <v>117.0</v>
      </c>
      <c r="B156" s="7" t="s">
        <v>6</v>
      </c>
      <c r="C156" s="7" t="s">
        <v>623</v>
      </c>
      <c r="D156" s="7" t="s">
        <v>143</v>
      </c>
      <c r="E156" s="7" t="s">
        <v>135</v>
      </c>
      <c r="F156" s="7" t="s">
        <v>136</v>
      </c>
      <c r="G156" s="7" t="s">
        <v>606</v>
      </c>
      <c r="I156" s="7" t="s">
        <v>136</v>
      </c>
      <c r="J156" s="7" t="s">
        <v>624</v>
      </c>
      <c r="K156" s="7" t="s">
        <v>139</v>
      </c>
      <c r="L156" s="7" t="s">
        <v>146</v>
      </c>
    </row>
    <row r="157">
      <c r="A157" s="7">
        <v>196.0</v>
      </c>
      <c r="B157" s="7" t="s">
        <v>7</v>
      </c>
      <c r="C157" s="7" t="s">
        <v>243</v>
      </c>
      <c r="D157" s="7" t="s">
        <v>243</v>
      </c>
      <c r="E157" s="7" t="s">
        <v>135</v>
      </c>
      <c r="F157" s="7" t="s">
        <v>135</v>
      </c>
      <c r="G157" s="7" t="s">
        <v>185</v>
      </c>
      <c r="I157" s="7" t="s">
        <v>135</v>
      </c>
      <c r="J157" s="7" t="s">
        <v>625</v>
      </c>
      <c r="K157" s="7" t="s">
        <v>139</v>
      </c>
      <c r="L157" s="7" t="s">
        <v>146</v>
      </c>
    </row>
    <row r="158">
      <c r="A158" s="7">
        <v>130.0</v>
      </c>
      <c r="B158" s="7" t="s">
        <v>6</v>
      </c>
      <c r="C158" s="7" t="s">
        <v>557</v>
      </c>
      <c r="D158" s="7" t="s">
        <v>318</v>
      </c>
      <c r="E158" s="7" t="s">
        <v>135</v>
      </c>
      <c r="F158" s="7" t="s">
        <v>136</v>
      </c>
      <c r="G158" s="7" t="s">
        <v>191</v>
      </c>
      <c r="H158" s="7" t="s">
        <v>626</v>
      </c>
      <c r="I158" s="7" t="s">
        <v>136</v>
      </c>
      <c r="J158" s="7" t="s">
        <v>627</v>
      </c>
      <c r="K158" s="7" t="s">
        <v>139</v>
      </c>
      <c r="L158" s="7" t="s">
        <v>146</v>
      </c>
    </row>
    <row r="159">
      <c r="A159" s="7">
        <v>155.0</v>
      </c>
      <c r="B159" s="7" t="s">
        <v>6</v>
      </c>
      <c r="C159" s="7" t="s">
        <v>628</v>
      </c>
      <c r="D159" s="7" t="s">
        <v>243</v>
      </c>
      <c r="E159" s="7" t="s">
        <v>135</v>
      </c>
      <c r="F159" s="7" t="s">
        <v>136</v>
      </c>
      <c r="G159" s="7" t="s">
        <v>157</v>
      </c>
      <c r="I159" s="7" t="s">
        <v>136</v>
      </c>
      <c r="J159" s="7" t="s">
        <v>629</v>
      </c>
      <c r="K159" s="7" t="s">
        <v>139</v>
      </c>
      <c r="L159" s="7" t="s">
        <v>146</v>
      </c>
    </row>
    <row r="160">
      <c r="A160" s="7">
        <v>236.0</v>
      </c>
      <c r="B160" s="7" t="s">
        <v>7</v>
      </c>
      <c r="C160" s="7" t="s">
        <v>630</v>
      </c>
      <c r="D160" s="7" t="s">
        <v>243</v>
      </c>
      <c r="E160" s="7" t="s">
        <v>135</v>
      </c>
      <c r="F160" s="7" t="s">
        <v>136</v>
      </c>
      <c r="G160" s="7" t="s">
        <v>180</v>
      </c>
      <c r="H160" s="7" t="s">
        <v>631</v>
      </c>
      <c r="I160" s="7" t="s">
        <v>136</v>
      </c>
      <c r="J160" s="7" t="s">
        <v>632</v>
      </c>
      <c r="K160" s="7" t="s">
        <v>139</v>
      </c>
      <c r="L160" s="7" t="s">
        <v>146</v>
      </c>
    </row>
    <row r="161">
      <c r="A161" s="7">
        <v>23.0</v>
      </c>
      <c r="B161" s="7" t="s">
        <v>7</v>
      </c>
      <c r="C161" s="7" t="s">
        <v>633</v>
      </c>
      <c r="D161" s="7" t="s">
        <v>164</v>
      </c>
      <c r="E161" s="7" t="s">
        <v>135</v>
      </c>
      <c r="F161" s="7" t="s">
        <v>136</v>
      </c>
      <c r="G161" s="7" t="s">
        <v>137</v>
      </c>
      <c r="H161" s="7" t="s">
        <v>634</v>
      </c>
      <c r="I161" s="7" t="s">
        <v>136</v>
      </c>
      <c r="J161" s="7" t="s">
        <v>635</v>
      </c>
      <c r="K161" s="7" t="s">
        <v>139</v>
      </c>
      <c r="L161" s="7" t="s">
        <v>146</v>
      </c>
    </row>
    <row r="162">
      <c r="A162" s="7">
        <v>58.0</v>
      </c>
      <c r="B162" s="7" t="s">
        <v>6</v>
      </c>
      <c r="C162" s="7" t="s">
        <v>636</v>
      </c>
      <c r="D162" s="7" t="s">
        <v>263</v>
      </c>
      <c r="E162" s="7" t="s">
        <v>136</v>
      </c>
      <c r="F162" s="7" t="s">
        <v>136</v>
      </c>
      <c r="G162" s="7" t="s">
        <v>271</v>
      </c>
      <c r="I162" s="7" t="s">
        <v>136</v>
      </c>
      <c r="J162" s="7" t="s">
        <v>637</v>
      </c>
      <c r="K162" s="7" t="s">
        <v>139</v>
      </c>
      <c r="L162" s="7" t="s">
        <v>146</v>
      </c>
    </row>
    <row r="163">
      <c r="A163" s="7">
        <v>198.0</v>
      </c>
      <c r="B163" s="7" t="s">
        <v>7</v>
      </c>
      <c r="C163" s="7" t="s">
        <v>515</v>
      </c>
      <c r="D163" s="7" t="s">
        <v>193</v>
      </c>
      <c r="E163" s="7" t="s">
        <v>136</v>
      </c>
      <c r="F163" s="7" t="s">
        <v>136</v>
      </c>
      <c r="G163" s="7" t="s">
        <v>335</v>
      </c>
      <c r="I163" s="7" t="s">
        <v>136</v>
      </c>
      <c r="J163" s="7" t="s">
        <v>638</v>
      </c>
      <c r="K163" s="7" t="s">
        <v>139</v>
      </c>
      <c r="L163" s="7" t="s">
        <v>146</v>
      </c>
    </row>
    <row r="164">
      <c r="A164" s="7">
        <v>97.0</v>
      </c>
      <c r="B164" s="7" t="s">
        <v>7</v>
      </c>
      <c r="C164" s="7" t="s">
        <v>639</v>
      </c>
      <c r="D164" s="7" t="s">
        <v>244</v>
      </c>
      <c r="E164" s="7" t="s">
        <v>135</v>
      </c>
      <c r="F164" s="7" t="s">
        <v>136</v>
      </c>
      <c r="G164" s="7" t="s">
        <v>168</v>
      </c>
      <c r="I164" s="7" t="s">
        <v>136</v>
      </c>
      <c r="J164" s="7" t="s">
        <v>640</v>
      </c>
      <c r="K164" s="7" t="s">
        <v>139</v>
      </c>
      <c r="L164" s="7" t="s">
        <v>146</v>
      </c>
    </row>
    <row r="165">
      <c r="A165" s="7">
        <v>193.0</v>
      </c>
      <c r="B165" s="7" t="s">
        <v>6</v>
      </c>
      <c r="C165" s="7" t="s">
        <v>641</v>
      </c>
      <c r="D165" s="7" t="s">
        <v>218</v>
      </c>
      <c r="E165" s="7" t="s">
        <v>135</v>
      </c>
      <c r="F165" s="7" t="s">
        <v>136</v>
      </c>
      <c r="G165" s="7" t="s">
        <v>642</v>
      </c>
      <c r="I165" s="7" t="s">
        <v>136</v>
      </c>
      <c r="J165" s="7" t="s">
        <v>643</v>
      </c>
      <c r="K165" s="7" t="s">
        <v>139</v>
      </c>
      <c r="L165" s="7" t="s">
        <v>146</v>
      </c>
    </row>
    <row r="166">
      <c r="A166" s="7">
        <v>95.0</v>
      </c>
      <c r="B166" s="7" t="s">
        <v>6</v>
      </c>
      <c r="C166" s="7" t="s">
        <v>644</v>
      </c>
      <c r="D166" s="7" t="s">
        <v>193</v>
      </c>
      <c r="E166" s="7" t="s">
        <v>135</v>
      </c>
      <c r="F166" s="7" t="s">
        <v>136</v>
      </c>
      <c r="G166" s="7" t="s">
        <v>157</v>
      </c>
      <c r="I166" s="7" t="s">
        <v>136</v>
      </c>
      <c r="J166" s="7" t="s">
        <v>645</v>
      </c>
      <c r="K166" s="7" t="s">
        <v>139</v>
      </c>
      <c r="L166" s="7" t="s">
        <v>146</v>
      </c>
    </row>
    <row r="167">
      <c r="A167" s="7">
        <v>66.0</v>
      </c>
      <c r="B167" s="7" t="s">
        <v>6</v>
      </c>
      <c r="C167" s="7" t="s">
        <v>646</v>
      </c>
      <c r="D167" s="7" t="s">
        <v>229</v>
      </c>
      <c r="E167" s="7" t="s">
        <v>135</v>
      </c>
      <c r="F167" s="7" t="s">
        <v>135</v>
      </c>
      <c r="G167" s="7" t="s">
        <v>157</v>
      </c>
      <c r="H167" s="7" t="s">
        <v>647</v>
      </c>
      <c r="I167" s="7" t="s">
        <v>136</v>
      </c>
      <c r="J167" s="7" t="s">
        <v>648</v>
      </c>
      <c r="K167" s="7" t="s">
        <v>139</v>
      </c>
      <c r="L167" s="7" t="s">
        <v>146</v>
      </c>
    </row>
    <row r="168">
      <c r="A168" s="7">
        <v>67.0</v>
      </c>
      <c r="B168" s="7" t="s">
        <v>6</v>
      </c>
      <c r="C168" s="7" t="s">
        <v>649</v>
      </c>
      <c r="D168" s="7" t="s">
        <v>214</v>
      </c>
      <c r="E168" s="7" t="s">
        <v>135</v>
      </c>
      <c r="F168" s="7" t="s">
        <v>136</v>
      </c>
      <c r="G168" s="7" t="s">
        <v>650</v>
      </c>
      <c r="I168" s="7" t="s">
        <v>136</v>
      </c>
      <c r="J168" s="7" t="s">
        <v>651</v>
      </c>
      <c r="K168" s="7" t="s">
        <v>139</v>
      </c>
      <c r="L168" s="7" t="s">
        <v>146</v>
      </c>
    </row>
    <row r="169">
      <c r="A169" s="7">
        <v>128.0</v>
      </c>
      <c r="B169" s="7" t="s">
        <v>6</v>
      </c>
      <c r="C169" s="7" t="s">
        <v>652</v>
      </c>
      <c r="D169" s="7" t="s">
        <v>143</v>
      </c>
      <c r="E169" s="7" t="s">
        <v>135</v>
      </c>
      <c r="F169" s="7" t="s">
        <v>136</v>
      </c>
      <c r="G169" s="7" t="s">
        <v>157</v>
      </c>
      <c r="I169" s="7" t="s">
        <v>136</v>
      </c>
      <c r="J169" s="7" t="s">
        <v>653</v>
      </c>
      <c r="K169" s="7" t="s">
        <v>139</v>
      </c>
      <c r="L169" s="7" t="s">
        <v>146</v>
      </c>
    </row>
    <row r="170">
      <c r="A170" s="7">
        <v>230.0</v>
      </c>
      <c r="B170" s="7" t="s">
        <v>6</v>
      </c>
      <c r="C170" s="7" t="s">
        <v>654</v>
      </c>
      <c r="D170" s="7" t="s">
        <v>285</v>
      </c>
      <c r="E170" s="7" t="s">
        <v>135</v>
      </c>
      <c r="F170" s="7" t="s">
        <v>136</v>
      </c>
      <c r="G170" s="7" t="s">
        <v>594</v>
      </c>
      <c r="H170" s="7" t="s">
        <v>655</v>
      </c>
      <c r="I170" s="7" t="s">
        <v>136</v>
      </c>
      <c r="J170" s="7" t="s">
        <v>656</v>
      </c>
      <c r="K170" s="7" t="s">
        <v>139</v>
      </c>
      <c r="L170" s="7" t="s">
        <v>146</v>
      </c>
    </row>
    <row r="171">
      <c r="A171" s="7">
        <v>233.0</v>
      </c>
      <c r="B171" s="7" t="s">
        <v>7</v>
      </c>
      <c r="C171" s="7" t="s">
        <v>200</v>
      </c>
      <c r="D171" s="7" t="s">
        <v>143</v>
      </c>
      <c r="E171" s="7" t="s">
        <v>135</v>
      </c>
      <c r="F171" s="7" t="s">
        <v>136</v>
      </c>
      <c r="G171" s="7" t="s">
        <v>596</v>
      </c>
      <c r="I171" s="7" t="s">
        <v>136</v>
      </c>
      <c r="J171" s="7" t="s">
        <v>657</v>
      </c>
      <c r="K171" s="7" t="s">
        <v>139</v>
      </c>
      <c r="L171" s="7" t="s">
        <v>146</v>
      </c>
    </row>
    <row r="172">
      <c r="A172" s="7">
        <v>78.0</v>
      </c>
      <c r="B172" s="7" t="s">
        <v>7</v>
      </c>
      <c r="C172" s="7" t="s">
        <v>515</v>
      </c>
      <c r="D172" s="7" t="s">
        <v>193</v>
      </c>
      <c r="E172" s="7" t="s">
        <v>136</v>
      </c>
      <c r="F172" s="7" t="s">
        <v>135</v>
      </c>
      <c r="G172" s="7" t="s">
        <v>157</v>
      </c>
      <c r="H172" s="7" t="s">
        <v>658</v>
      </c>
      <c r="I172" s="7" t="s">
        <v>136</v>
      </c>
      <c r="J172" s="7" t="s">
        <v>659</v>
      </c>
      <c r="K172" s="7" t="s">
        <v>139</v>
      </c>
      <c r="L172" s="7" t="s">
        <v>146</v>
      </c>
    </row>
    <row r="173">
      <c r="A173" s="7">
        <v>35.0</v>
      </c>
      <c r="B173" s="7" t="s">
        <v>6</v>
      </c>
      <c r="C173" s="7" t="s">
        <v>515</v>
      </c>
      <c r="D173" s="7" t="s">
        <v>193</v>
      </c>
      <c r="E173" s="7" t="s">
        <v>135</v>
      </c>
      <c r="F173" s="7" t="s">
        <v>136</v>
      </c>
      <c r="G173" s="7" t="s">
        <v>157</v>
      </c>
      <c r="H173" s="7" t="s">
        <v>660</v>
      </c>
      <c r="I173" s="7" t="s">
        <v>136</v>
      </c>
      <c r="J173" s="7" t="s">
        <v>661</v>
      </c>
      <c r="K173" s="7" t="s">
        <v>139</v>
      </c>
      <c r="L173" s="7" t="s">
        <v>146</v>
      </c>
    </row>
    <row r="174">
      <c r="A174" s="7">
        <v>126.0</v>
      </c>
      <c r="B174" s="7" t="s">
        <v>6</v>
      </c>
      <c r="C174" s="7" t="s">
        <v>602</v>
      </c>
      <c r="D174" s="7" t="s">
        <v>341</v>
      </c>
      <c r="E174" s="7" t="s">
        <v>135</v>
      </c>
      <c r="F174" s="7" t="s">
        <v>136</v>
      </c>
      <c r="G174" s="7" t="s">
        <v>271</v>
      </c>
      <c r="I174" s="7" t="s">
        <v>136</v>
      </c>
      <c r="J174" s="7" t="s">
        <v>662</v>
      </c>
      <c r="K174" s="7" t="s">
        <v>139</v>
      </c>
      <c r="L174" s="7" t="s">
        <v>146</v>
      </c>
    </row>
    <row r="175">
      <c r="A175" s="7">
        <v>55.0</v>
      </c>
      <c r="B175" s="7" t="s">
        <v>6</v>
      </c>
      <c r="C175" s="7" t="s">
        <v>484</v>
      </c>
      <c r="D175" s="7" t="s">
        <v>263</v>
      </c>
      <c r="E175" s="7" t="s">
        <v>135</v>
      </c>
      <c r="F175" s="7" t="s">
        <v>136</v>
      </c>
      <c r="G175" s="7" t="s">
        <v>663</v>
      </c>
      <c r="H175" s="7" t="s">
        <v>664</v>
      </c>
      <c r="I175" s="7" t="s">
        <v>136</v>
      </c>
      <c r="J175" s="7" t="s">
        <v>665</v>
      </c>
      <c r="K175" s="7" t="s">
        <v>139</v>
      </c>
      <c r="L175" s="7" t="s">
        <v>146</v>
      </c>
    </row>
    <row r="176">
      <c r="A176" s="7">
        <v>15.0</v>
      </c>
      <c r="B176" s="7" t="s">
        <v>6</v>
      </c>
      <c r="C176" s="7" t="s">
        <v>270</v>
      </c>
      <c r="D176" s="7" t="s">
        <v>134</v>
      </c>
      <c r="E176" s="7" t="s">
        <v>135</v>
      </c>
      <c r="F176" s="7" t="s">
        <v>136</v>
      </c>
      <c r="G176" s="7" t="s">
        <v>271</v>
      </c>
      <c r="I176" s="7" t="s">
        <v>136</v>
      </c>
      <c r="J176" s="7" t="s">
        <v>666</v>
      </c>
      <c r="K176" s="7" t="s">
        <v>139</v>
      </c>
      <c r="L176" s="7" t="s">
        <v>146</v>
      </c>
    </row>
    <row r="177">
      <c r="A177" s="7">
        <v>33.0</v>
      </c>
      <c r="B177" s="7" t="s">
        <v>7</v>
      </c>
      <c r="C177" s="7" t="s">
        <v>276</v>
      </c>
      <c r="D177" s="7" t="s">
        <v>218</v>
      </c>
      <c r="E177" s="7" t="s">
        <v>135</v>
      </c>
      <c r="F177" s="7" t="s">
        <v>136</v>
      </c>
      <c r="G177" s="7" t="s">
        <v>221</v>
      </c>
      <c r="I177" s="7" t="s">
        <v>136</v>
      </c>
      <c r="J177" s="7" t="s">
        <v>667</v>
      </c>
      <c r="K177" s="7" t="s">
        <v>139</v>
      </c>
      <c r="L177" s="7" t="s">
        <v>146</v>
      </c>
    </row>
    <row r="178">
      <c r="A178" s="7">
        <v>171.0</v>
      </c>
      <c r="B178" s="7" t="s">
        <v>6</v>
      </c>
      <c r="C178" s="7" t="s">
        <v>668</v>
      </c>
      <c r="D178" s="7" t="s">
        <v>143</v>
      </c>
      <c r="E178" s="7" t="s">
        <v>135</v>
      </c>
      <c r="F178" s="7" t="s">
        <v>136</v>
      </c>
      <c r="G178" s="7" t="s">
        <v>157</v>
      </c>
      <c r="I178" s="7" t="s">
        <v>136</v>
      </c>
      <c r="J178" s="7" t="s">
        <v>669</v>
      </c>
      <c r="K178" s="7" t="s">
        <v>139</v>
      </c>
      <c r="L178" s="7" t="s">
        <v>146</v>
      </c>
    </row>
    <row r="179">
      <c r="A179" s="7">
        <v>86.0</v>
      </c>
      <c r="B179" s="7" t="s">
        <v>7</v>
      </c>
      <c r="C179" s="7" t="s">
        <v>670</v>
      </c>
      <c r="D179" s="7" t="s">
        <v>193</v>
      </c>
      <c r="E179" s="7" t="s">
        <v>135</v>
      </c>
      <c r="F179" s="7" t="s">
        <v>136</v>
      </c>
      <c r="G179" s="7" t="s">
        <v>671</v>
      </c>
      <c r="H179" s="7" t="s">
        <v>672</v>
      </c>
      <c r="I179" s="7" t="s">
        <v>136</v>
      </c>
      <c r="J179" s="7" t="s">
        <v>673</v>
      </c>
      <c r="K179" s="7" t="s">
        <v>139</v>
      </c>
      <c r="L179" s="7" t="s">
        <v>146</v>
      </c>
    </row>
    <row r="180">
      <c r="A180" s="7">
        <v>150.0</v>
      </c>
      <c r="B180" s="7" t="s">
        <v>7</v>
      </c>
      <c r="C180" s="7" t="s">
        <v>674</v>
      </c>
      <c r="D180" s="7" t="s">
        <v>153</v>
      </c>
      <c r="E180" s="7" t="s">
        <v>135</v>
      </c>
      <c r="F180" s="7" t="s">
        <v>136</v>
      </c>
      <c r="G180" s="7" t="s">
        <v>157</v>
      </c>
      <c r="H180" s="7" t="s">
        <v>675</v>
      </c>
      <c r="I180" s="7" t="s">
        <v>136</v>
      </c>
      <c r="J180" s="7" t="s">
        <v>676</v>
      </c>
      <c r="K180" s="7" t="s">
        <v>139</v>
      </c>
      <c r="L180" s="7" t="s">
        <v>146</v>
      </c>
    </row>
    <row r="181">
      <c r="A181" s="7">
        <v>107.0</v>
      </c>
      <c r="B181" s="7" t="s">
        <v>6</v>
      </c>
      <c r="C181" s="7" t="s">
        <v>677</v>
      </c>
      <c r="D181" s="7" t="s">
        <v>290</v>
      </c>
      <c r="E181" s="7" t="s">
        <v>135</v>
      </c>
      <c r="F181" s="7" t="s">
        <v>135</v>
      </c>
      <c r="G181" s="7" t="s">
        <v>678</v>
      </c>
      <c r="H181" s="7" t="s">
        <v>658</v>
      </c>
      <c r="I181" s="7" t="s">
        <v>136</v>
      </c>
      <c r="J181" s="7" t="s">
        <v>679</v>
      </c>
      <c r="K181" s="7" t="s">
        <v>139</v>
      </c>
      <c r="L181" s="7" t="s">
        <v>146</v>
      </c>
    </row>
    <row r="182">
      <c r="A182" s="7">
        <v>49.0</v>
      </c>
      <c r="B182" s="7" t="s">
        <v>6</v>
      </c>
      <c r="C182" s="7" t="s">
        <v>680</v>
      </c>
      <c r="D182" s="7" t="s">
        <v>193</v>
      </c>
      <c r="E182" s="7" t="s">
        <v>135</v>
      </c>
      <c r="F182" s="7" t="s">
        <v>135</v>
      </c>
      <c r="G182" s="7" t="s">
        <v>157</v>
      </c>
      <c r="I182" s="7" t="s">
        <v>136</v>
      </c>
      <c r="J182" s="7" t="s">
        <v>681</v>
      </c>
      <c r="K182" s="7" t="s">
        <v>139</v>
      </c>
      <c r="L182" s="7" t="s">
        <v>146</v>
      </c>
    </row>
    <row r="183">
      <c r="A183" s="7">
        <v>146.0</v>
      </c>
      <c r="B183" s="7" t="s">
        <v>6</v>
      </c>
      <c r="C183" s="7" t="s">
        <v>682</v>
      </c>
      <c r="D183" s="7" t="s">
        <v>263</v>
      </c>
      <c r="E183" s="7" t="s">
        <v>135</v>
      </c>
      <c r="F183" s="7" t="s">
        <v>136</v>
      </c>
      <c r="G183" s="7" t="s">
        <v>157</v>
      </c>
      <c r="I183" s="7" t="s">
        <v>136</v>
      </c>
      <c r="J183" s="7" t="s">
        <v>683</v>
      </c>
      <c r="K183" s="7" t="s">
        <v>139</v>
      </c>
      <c r="L183" s="7" t="s">
        <v>146</v>
      </c>
    </row>
    <row r="184">
      <c r="A184" s="7">
        <v>211.0</v>
      </c>
      <c r="B184" s="7" t="s">
        <v>6</v>
      </c>
      <c r="C184" s="7" t="s">
        <v>684</v>
      </c>
      <c r="D184" s="7" t="s">
        <v>193</v>
      </c>
      <c r="E184" s="7" t="s">
        <v>135</v>
      </c>
      <c r="F184" s="7" t="s">
        <v>136</v>
      </c>
      <c r="G184" s="7" t="s">
        <v>150</v>
      </c>
      <c r="H184" s="142" t="s">
        <v>685</v>
      </c>
      <c r="I184" s="7" t="s">
        <v>136</v>
      </c>
      <c r="J184" s="7" t="s">
        <v>686</v>
      </c>
      <c r="K184" s="7" t="s">
        <v>139</v>
      </c>
      <c r="L184" s="7" t="s">
        <v>146</v>
      </c>
    </row>
    <row r="185">
      <c r="A185" s="7">
        <v>60.0</v>
      </c>
      <c r="B185" s="7" t="s">
        <v>6</v>
      </c>
      <c r="C185" s="7" t="s">
        <v>687</v>
      </c>
      <c r="D185" s="7" t="s">
        <v>263</v>
      </c>
      <c r="E185" s="7" t="s">
        <v>136</v>
      </c>
      <c r="F185" s="7" t="s">
        <v>136</v>
      </c>
      <c r="G185" s="7" t="s">
        <v>479</v>
      </c>
      <c r="I185" s="7" t="s">
        <v>136</v>
      </c>
      <c r="J185" s="7" t="s">
        <v>688</v>
      </c>
      <c r="K185" s="7" t="s">
        <v>139</v>
      </c>
      <c r="L185" s="7" t="s">
        <v>146</v>
      </c>
    </row>
    <row r="186">
      <c r="A186" s="7">
        <v>41.0</v>
      </c>
      <c r="B186" s="7" t="s">
        <v>6</v>
      </c>
      <c r="C186" s="7" t="s">
        <v>689</v>
      </c>
      <c r="D186" s="7" t="s">
        <v>134</v>
      </c>
      <c r="E186" s="7" t="s">
        <v>135</v>
      </c>
      <c r="F186" s="7" t="s">
        <v>136</v>
      </c>
      <c r="G186" s="7" t="s">
        <v>271</v>
      </c>
      <c r="I186" s="7" t="s">
        <v>136</v>
      </c>
      <c r="J186" s="7" t="s">
        <v>690</v>
      </c>
      <c r="K186" s="7" t="s">
        <v>139</v>
      </c>
      <c r="L186" s="7" t="s">
        <v>146</v>
      </c>
    </row>
    <row r="187">
      <c r="A187" s="7">
        <v>141.0</v>
      </c>
      <c r="B187" s="7" t="s">
        <v>6</v>
      </c>
      <c r="C187" s="7" t="s">
        <v>691</v>
      </c>
      <c r="D187" s="7" t="s">
        <v>193</v>
      </c>
      <c r="E187" s="7" t="s">
        <v>136</v>
      </c>
      <c r="F187" s="7" t="s">
        <v>135</v>
      </c>
      <c r="G187" s="7" t="s">
        <v>271</v>
      </c>
      <c r="I187" s="7" t="s">
        <v>136</v>
      </c>
      <c r="J187" s="7" t="s">
        <v>692</v>
      </c>
      <c r="K187" s="7" t="s">
        <v>139</v>
      </c>
      <c r="L187" s="7" t="s">
        <v>146</v>
      </c>
    </row>
    <row r="188">
      <c r="A188" s="7">
        <v>79.0</v>
      </c>
      <c r="B188" s="7" t="s">
        <v>7</v>
      </c>
      <c r="C188" s="7" t="s">
        <v>693</v>
      </c>
      <c r="D188" s="7" t="s">
        <v>193</v>
      </c>
      <c r="E188" s="7" t="s">
        <v>135</v>
      </c>
      <c r="F188" s="7" t="s">
        <v>136</v>
      </c>
      <c r="G188" s="7" t="s">
        <v>185</v>
      </c>
      <c r="H188" s="7" t="s">
        <v>694</v>
      </c>
      <c r="I188" s="7" t="s">
        <v>136</v>
      </c>
      <c r="J188" s="7" t="s">
        <v>695</v>
      </c>
      <c r="K188" s="7" t="s">
        <v>139</v>
      </c>
      <c r="L188" s="7" t="s">
        <v>146</v>
      </c>
    </row>
    <row r="189">
      <c r="A189" s="7">
        <v>88.0</v>
      </c>
      <c r="B189" s="7" t="s">
        <v>7</v>
      </c>
      <c r="C189" s="7" t="s">
        <v>696</v>
      </c>
      <c r="D189" s="7" t="s">
        <v>263</v>
      </c>
      <c r="E189" s="7" t="s">
        <v>135</v>
      </c>
      <c r="F189" s="7" t="s">
        <v>136</v>
      </c>
      <c r="G189" s="7" t="s">
        <v>185</v>
      </c>
      <c r="H189" s="142" t="s">
        <v>697</v>
      </c>
      <c r="I189" s="7" t="s">
        <v>136</v>
      </c>
      <c r="J189" s="7" t="s">
        <v>698</v>
      </c>
      <c r="K189" s="7" t="s">
        <v>139</v>
      </c>
      <c r="L189" s="7" t="s">
        <v>146</v>
      </c>
    </row>
    <row r="190">
      <c r="A190" s="7">
        <v>159.0</v>
      </c>
      <c r="B190" s="7" t="s">
        <v>6</v>
      </c>
      <c r="C190" s="7" t="s">
        <v>699</v>
      </c>
      <c r="D190" s="7" t="s">
        <v>290</v>
      </c>
      <c r="E190" s="7" t="s">
        <v>135</v>
      </c>
      <c r="F190" s="7" t="s">
        <v>136</v>
      </c>
      <c r="G190" s="7" t="s">
        <v>599</v>
      </c>
      <c r="H190" s="7" t="s">
        <v>700</v>
      </c>
      <c r="I190" s="7" t="s">
        <v>136</v>
      </c>
      <c r="J190" s="7" t="s">
        <v>701</v>
      </c>
      <c r="K190" s="7" t="s">
        <v>139</v>
      </c>
      <c r="L190" s="7" t="s">
        <v>146</v>
      </c>
    </row>
    <row r="191">
      <c r="A191" s="7">
        <v>29.0</v>
      </c>
      <c r="B191" s="7" t="s">
        <v>7</v>
      </c>
      <c r="C191" s="7" t="s">
        <v>702</v>
      </c>
      <c r="D191" s="7" t="s">
        <v>193</v>
      </c>
      <c r="E191" s="7" t="s">
        <v>135</v>
      </c>
      <c r="F191" s="7" t="s">
        <v>135</v>
      </c>
      <c r="G191" s="142" t="s">
        <v>454</v>
      </c>
      <c r="I191" s="7" t="s">
        <v>136</v>
      </c>
      <c r="J191" s="7" t="s">
        <v>703</v>
      </c>
      <c r="K191" s="7" t="s">
        <v>139</v>
      </c>
      <c r="L191" s="7" t="s">
        <v>146</v>
      </c>
    </row>
    <row r="192">
      <c r="A192" s="7">
        <v>120.0</v>
      </c>
      <c r="B192" s="7" t="s">
        <v>6</v>
      </c>
      <c r="C192" s="7" t="s">
        <v>704</v>
      </c>
      <c r="D192" s="7" t="s">
        <v>263</v>
      </c>
      <c r="E192" s="7" t="s">
        <v>136</v>
      </c>
      <c r="F192" s="7" t="s">
        <v>135</v>
      </c>
      <c r="G192" s="7" t="s">
        <v>185</v>
      </c>
      <c r="H192" s="142" t="s">
        <v>705</v>
      </c>
      <c r="I192" s="7" t="s">
        <v>136</v>
      </c>
      <c r="J192" s="7" t="s">
        <v>706</v>
      </c>
      <c r="K192" s="7" t="s">
        <v>139</v>
      </c>
      <c r="L192" s="7" t="s">
        <v>146</v>
      </c>
    </row>
    <row r="193">
      <c r="A193" s="7">
        <v>57.0</v>
      </c>
      <c r="B193" s="7" t="s">
        <v>6</v>
      </c>
      <c r="C193" s="7" t="s">
        <v>707</v>
      </c>
      <c r="D193" s="7" t="s">
        <v>219</v>
      </c>
      <c r="E193" s="7" t="s">
        <v>135</v>
      </c>
      <c r="F193" s="7" t="s">
        <v>136</v>
      </c>
      <c r="G193" s="7" t="s">
        <v>708</v>
      </c>
      <c r="I193" s="7" t="s">
        <v>136</v>
      </c>
      <c r="J193" s="7" t="s">
        <v>709</v>
      </c>
      <c r="K193" s="7" t="s">
        <v>139</v>
      </c>
      <c r="L193" s="7" t="s">
        <v>146</v>
      </c>
    </row>
    <row r="194">
      <c r="A194" s="7">
        <v>68.0</v>
      </c>
      <c r="B194" s="7" t="s">
        <v>6</v>
      </c>
      <c r="C194" s="7" t="s">
        <v>710</v>
      </c>
      <c r="D194" s="7" t="s">
        <v>290</v>
      </c>
      <c r="E194" s="7" t="s">
        <v>135</v>
      </c>
      <c r="F194" s="7" t="s">
        <v>135</v>
      </c>
      <c r="G194" s="7" t="s">
        <v>191</v>
      </c>
      <c r="H194" s="142" t="s">
        <v>711</v>
      </c>
      <c r="I194" s="7" t="s">
        <v>136</v>
      </c>
      <c r="J194" s="7" t="s">
        <v>712</v>
      </c>
      <c r="K194" s="7" t="s">
        <v>139</v>
      </c>
      <c r="L194" s="7" t="s">
        <v>146</v>
      </c>
    </row>
    <row r="195">
      <c r="A195" s="7">
        <v>137.0</v>
      </c>
      <c r="B195" s="7" t="s">
        <v>6</v>
      </c>
      <c r="C195" s="7" t="s">
        <v>713</v>
      </c>
      <c r="D195" s="7" t="s">
        <v>290</v>
      </c>
      <c r="E195" s="7" t="s">
        <v>135</v>
      </c>
      <c r="F195" s="7" t="s">
        <v>135</v>
      </c>
      <c r="G195" s="7" t="s">
        <v>191</v>
      </c>
      <c r="I195" s="7" t="s">
        <v>136</v>
      </c>
      <c r="J195" s="7" t="s">
        <v>714</v>
      </c>
      <c r="K195" s="7" t="s">
        <v>139</v>
      </c>
      <c r="L195" s="7" t="s">
        <v>146</v>
      </c>
    </row>
    <row r="196">
      <c r="A196" s="7">
        <v>231.0</v>
      </c>
      <c r="B196" s="7" t="s">
        <v>7</v>
      </c>
      <c r="C196" s="7" t="s">
        <v>715</v>
      </c>
      <c r="D196" s="7" t="s">
        <v>194</v>
      </c>
      <c r="E196" s="7" t="s">
        <v>136</v>
      </c>
      <c r="F196" s="7" t="s">
        <v>135</v>
      </c>
      <c r="G196" s="7" t="s">
        <v>157</v>
      </c>
      <c r="I196" s="7" t="s">
        <v>136</v>
      </c>
      <c r="J196" s="7" t="s">
        <v>716</v>
      </c>
      <c r="K196" s="7" t="s">
        <v>139</v>
      </c>
      <c r="L196" s="7" t="s">
        <v>146</v>
      </c>
    </row>
    <row r="197">
      <c r="A197" s="7">
        <v>127.0</v>
      </c>
      <c r="B197" s="7" t="s">
        <v>6</v>
      </c>
      <c r="C197" s="7" t="s">
        <v>717</v>
      </c>
      <c r="D197" s="7" t="s">
        <v>301</v>
      </c>
      <c r="E197" s="7" t="s">
        <v>135</v>
      </c>
      <c r="F197" s="7" t="s">
        <v>136</v>
      </c>
      <c r="G197" s="7" t="s">
        <v>157</v>
      </c>
      <c r="I197" s="7" t="s">
        <v>136</v>
      </c>
      <c r="J197" s="7" t="s">
        <v>718</v>
      </c>
      <c r="K197" s="7" t="s">
        <v>139</v>
      </c>
      <c r="L197" s="7" t="s">
        <v>146</v>
      </c>
    </row>
    <row r="198">
      <c r="A198" s="7">
        <v>30.0</v>
      </c>
      <c r="B198" s="7" t="s">
        <v>6</v>
      </c>
      <c r="C198" s="7" t="s">
        <v>719</v>
      </c>
      <c r="D198" s="7" t="s">
        <v>143</v>
      </c>
      <c r="E198" s="7" t="s">
        <v>135</v>
      </c>
      <c r="F198" s="7" t="s">
        <v>136</v>
      </c>
      <c r="G198" s="7" t="s">
        <v>271</v>
      </c>
      <c r="I198" s="7" t="s">
        <v>136</v>
      </c>
      <c r="J198" s="7" t="s">
        <v>720</v>
      </c>
      <c r="K198" s="7" t="s">
        <v>139</v>
      </c>
      <c r="L198" s="7" t="s">
        <v>146</v>
      </c>
    </row>
    <row r="199">
      <c r="A199" s="7">
        <v>93.0</v>
      </c>
      <c r="B199" s="7" t="s">
        <v>6</v>
      </c>
      <c r="C199" s="7" t="s">
        <v>721</v>
      </c>
      <c r="D199" s="7" t="s">
        <v>243</v>
      </c>
      <c r="E199" s="7" t="s">
        <v>136</v>
      </c>
      <c r="F199" s="7" t="s">
        <v>135</v>
      </c>
      <c r="G199" s="7" t="s">
        <v>479</v>
      </c>
      <c r="H199" s="7" t="s">
        <v>722</v>
      </c>
      <c r="I199" s="7" t="s">
        <v>136</v>
      </c>
      <c r="J199" s="7" t="s">
        <v>723</v>
      </c>
      <c r="K199" s="7" t="s">
        <v>139</v>
      </c>
      <c r="L199" s="7" t="s">
        <v>146</v>
      </c>
    </row>
    <row r="200">
      <c r="A200" s="7">
        <v>83.0</v>
      </c>
      <c r="B200" s="7" t="s">
        <v>6</v>
      </c>
      <c r="C200" s="7" t="s">
        <v>724</v>
      </c>
      <c r="D200" s="7" t="s">
        <v>290</v>
      </c>
      <c r="E200" s="7" t="s">
        <v>135</v>
      </c>
      <c r="F200" s="7" t="s">
        <v>136</v>
      </c>
      <c r="G200" s="7" t="s">
        <v>185</v>
      </c>
      <c r="H200" s="7" t="s">
        <v>725</v>
      </c>
      <c r="I200" s="7" t="s">
        <v>136</v>
      </c>
      <c r="J200" s="7" t="s">
        <v>726</v>
      </c>
      <c r="K200" s="7" t="s">
        <v>139</v>
      </c>
      <c r="L200" s="7" t="s">
        <v>146</v>
      </c>
    </row>
    <row r="201">
      <c r="A201" s="7">
        <v>47.0</v>
      </c>
      <c r="B201" s="7" t="s">
        <v>6</v>
      </c>
      <c r="C201" s="7" t="s">
        <v>727</v>
      </c>
      <c r="D201" s="7" t="s">
        <v>290</v>
      </c>
      <c r="E201" s="7" t="s">
        <v>135</v>
      </c>
      <c r="F201" s="7" t="s">
        <v>136</v>
      </c>
      <c r="G201" s="7" t="s">
        <v>157</v>
      </c>
      <c r="I201" s="7" t="s">
        <v>136</v>
      </c>
      <c r="J201" s="7" t="s">
        <v>728</v>
      </c>
      <c r="K201" s="7" t="s">
        <v>139</v>
      </c>
      <c r="L201" s="7" t="s">
        <v>146</v>
      </c>
    </row>
    <row r="202">
      <c r="A202" s="7">
        <v>43.0</v>
      </c>
      <c r="B202" s="7" t="s">
        <v>6</v>
      </c>
      <c r="C202" s="7" t="s">
        <v>729</v>
      </c>
      <c r="D202" s="7" t="s">
        <v>301</v>
      </c>
      <c r="E202" s="7" t="s">
        <v>135</v>
      </c>
      <c r="F202" s="7" t="s">
        <v>135</v>
      </c>
      <c r="G202" s="7" t="s">
        <v>157</v>
      </c>
      <c r="I202" s="7" t="s">
        <v>136</v>
      </c>
      <c r="J202" s="7" t="s">
        <v>730</v>
      </c>
      <c r="K202" s="7" t="s">
        <v>139</v>
      </c>
      <c r="L202" s="7" t="s">
        <v>146</v>
      </c>
    </row>
    <row r="203">
      <c r="A203" s="7">
        <v>185.0</v>
      </c>
      <c r="B203" s="7" t="s">
        <v>7</v>
      </c>
      <c r="C203" s="7" t="s">
        <v>731</v>
      </c>
      <c r="D203" s="7" t="s">
        <v>219</v>
      </c>
      <c r="E203" s="7" t="s">
        <v>135</v>
      </c>
      <c r="F203" s="7" t="s">
        <v>136</v>
      </c>
      <c r="G203" s="7" t="s">
        <v>732</v>
      </c>
      <c r="I203" s="7" t="s">
        <v>136</v>
      </c>
      <c r="J203" s="7" t="s">
        <v>733</v>
      </c>
      <c r="K203" s="7" t="s">
        <v>139</v>
      </c>
      <c r="L203" s="7" t="s">
        <v>146</v>
      </c>
    </row>
    <row r="204">
      <c r="A204" s="7">
        <v>192.0</v>
      </c>
      <c r="B204" s="7" t="s">
        <v>6</v>
      </c>
      <c r="C204" s="7" t="s">
        <v>734</v>
      </c>
      <c r="D204" s="7" t="s">
        <v>290</v>
      </c>
      <c r="E204" s="7" t="s">
        <v>135</v>
      </c>
      <c r="F204" s="7" t="s">
        <v>135</v>
      </c>
      <c r="G204" s="7" t="s">
        <v>191</v>
      </c>
      <c r="I204" s="7" t="s">
        <v>136</v>
      </c>
      <c r="J204" s="7" t="s">
        <v>735</v>
      </c>
      <c r="K204" s="7" t="s">
        <v>139</v>
      </c>
      <c r="L204" s="7" t="s">
        <v>146</v>
      </c>
    </row>
    <row r="205">
      <c r="A205" s="7">
        <v>9.0</v>
      </c>
      <c r="B205" s="7" t="s">
        <v>7</v>
      </c>
      <c r="C205" s="7" t="s">
        <v>235</v>
      </c>
      <c r="D205" s="7" t="s">
        <v>164</v>
      </c>
      <c r="E205" s="7" t="s">
        <v>135</v>
      </c>
      <c r="F205" s="7" t="s">
        <v>136</v>
      </c>
      <c r="G205" s="7" t="s">
        <v>736</v>
      </c>
      <c r="I205" s="7" t="s">
        <v>136</v>
      </c>
      <c r="J205" s="7" t="s">
        <v>737</v>
      </c>
      <c r="K205" s="7" t="s">
        <v>139</v>
      </c>
      <c r="L205" s="7" t="s">
        <v>146</v>
      </c>
    </row>
    <row r="206">
      <c r="A206" s="7">
        <v>160.0</v>
      </c>
      <c r="B206" s="7" t="s">
        <v>7</v>
      </c>
      <c r="C206" s="7" t="s">
        <v>738</v>
      </c>
      <c r="D206" s="7" t="s">
        <v>219</v>
      </c>
      <c r="E206" s="7" t="s">
        <v>135</v>
      </c>
      <c r="F206" s="7" t="s">
        <v>136</v>
      </c>
      <c r="G206" s="7" t="s">
        <v>606</v>
      </c>
      <c r="I206" s="7" t="s">
        <v>136</v>
      </c>
      <c r="J206" s="7" t="s">
        <v>739</v>
      </c>
      <c r="K206" s="7" t="s">
        <v>139</v>
      </c>
      <c r="L206" s="7" t="s">
        <v>146</v>
      </c>
    </row>
    <row r="207">
      <c r="A207" s="7">
        <v>111.0</v>
      </c>
      <c r="B207" s="7" t="s">
        <v>6</v>
      </c>
      <c r="C207" s="7" t="s">
        <v>740</v>
      </c>
      <c r="D207" s="7" t="s">
        <v>203</v>
      </c>
      <c r="E207" s="7" t="s">
        <v>135</v>
      </c>
      <c r="F207" s="7" t="s">
        <v>136</v>
      </c>
      <c r="G207" s="7" t="s">
        <v>741</v>
      </c>
      <c r="I207" s="7" t="s">
        <v>136</v>
      </c>
      <c r="J207" s="7" t="s">
        <v>742</v>
      </c>
      <c r="K207" s="7" t="s">
        <v>139</v>
      </c>
      <c r="L207" s="7" t="s">
        <v>146</v>
      </c>
    </row>
    <row r="208">
      <c r="A208" s="7">
        <v>162.0</v>
      </c>
      <c r="B208" s="7" t="s">
        <v>6</v>
      </c>
      <c r="C208" s="7" t="s">
        <v>536</v>
      </c>
      <c r="D208" s="7" t="s">
        <v>193</v>
      </c>
      <c r="E208" s="7" t="s">
        <v>135</v>
      </c>
      <c r="F208" s="7" t="s">
        <v>136</v>
      </c>
      <c r="G208" s="7" t="s">
        <v>185</v>
      </c>
      <c r="I208" s="7" t="s">
        <v>136</v>
      </c>
      <c r="J208" s="7" t="s">
        <v>743</v>
      </c>
      <c r="K208" s="7" t="s">
        <v>139</v>
      </c>
      <c r="L208" s="7" t="s">
        <v>146</v>
      </c>
    </row>
    <row r="209">
      <c r="A209" s="7">
        <v>182.0</v>
      </c>
      <c r="B209" s="7" t="s">
        <v>6</v>
      </c>
      <c r="C209" s="7" t="s">
        <v>342</v>
      </c>
      <c r="D209" s="7" t="s">
        <v>218</v>
      </c>
      <c r="E209" s="7" t="s">
        <v>136</v>
      </c>
      <c r="F209" s="7" t="s">
        <v>136</v>
      </c>
      <c r="G209" s="7" t="s">
        <v>479</v>
      </c>
      <c r="H209" s="7" t="s">
        <v>744</v>
      </c>
      <c r="I209" s="7" t="s">
        <v>136</v>
      </c>
      <c r="J209" s="7" t="s">
        <v>745</v>
      </c>
      <c r="K209" s="7" t="s">
        <v>139</v>
      </c>
      <c r="L209" s="7" t="s">
        <v>146</v>
      </c>
    </row>
    <row r="210">
      <c r="A210" s="7">
        <v>153.0</v>
      </c>
      <c r="B210" s="7" t="s">
        <v>6</v>
      </c>
      <c r="C210" s="7" t="s">
        <v>746</v>
      </c>
      <c r="D210" s="7" t="s">
        <v>239</v>
      </c>
      <c r="E210" s="7" t="s">
        <v>136</v>
      </c>
      <c r="F210" s="7" t="s">
        <v>136</v>
      </c>
      <c r="G210" s="7" t="s">
        <v>157</v>
      </c>
      <c r="H210" s="7" t="s">
        <v>747</v>
      </c>
      <c r="I210" s="7" t="s">
        <v>136</v>
      </c>
      <c r="J210" s="7" t="s">
        <v>748</v>
      </c>
      <c r="K210" s="7" t="s">
        <v>139</v>
      </c>
      <c r="L210" s="7" t="s">
        <v>146</v>
      </c>
    </row>
    <row r="211">
      <c r="A211" s="7">
        <v>98.0</v>
      </c>
      <c r="B211" s="7" t="s">
        <v>7</v>
      </c>
      <c r="C211" s="7" t="s">
        <v>628</v>
      </c>
      <c r="D211" s="7" t="s">
        <v>243</v>
      </c>
      <c r="E211" s="7" t="s">
        <v>135</v>
      </c>
      <c r="F211" s="7" t="s">
        <v>135</v>
      </c>
      <c r="G211" s="7" t="s">
        <v>157</v>
      </c>
      <c r="I211" s="7" t="s">
        <v>136</v>
      </c>
      <c r="J211" s="7" t="s">
        <v>749</v>
      </c>
      <c r="K211" s="7" t="s">
        <v>139</v>
      </c>
      <c r="L211" s="7" t="s">
        <v>146</v>
      </c>
    </row>
    <row r="212">
      <c r="A212" s="7">
        <v>181.0</v>
      </c>
      <c r="B212" s="7" t="s">
        <v>7</v>
      </c>
      <c r="C212" s="7" t="s">
        <v>342</v>
      </c>
      <c r="D212" s="7" t="s">
        <v>218</v>
      </c>
      <c r="E212" s="7" t="s">
        <v>136</v>
      </c>
      <c r="F212" s="7" t="s">
        <v>136</v>
      </c>
      <c r="G212" s="7" t="s">
        <v>750</v>
      </c>
      <c r="I212" s="7" t="s">
        <v>136</v>
      </c>
      <c r="J212" s="7" t="s">
        <v>751</v>
      </c>
      <c r="K212" s="7" t="s">
        <v>139</v>
      </c>
      <c r="L212" s="7" t="s">
        <v>146</v>
      </c>
    </row>
    <row r="213">
      <c r="A213" s="7">
        <v>18.0</v>
      </c>
      <c r="B213" s="7" t="s">
        <v>6</v>
      </c>
      <c r="C213" s="7" t="s">
        <v>356</v>
      </c>
      <c r="D213" s="7" t="s">
        <v>228</v>
      </c>
      <c r="E213" s="7" t="s">
        <v>135</v>
      </c>
      <c r="F213" s="7" t="s">
        <v>136</v>
      </c>
      <c r="G213" s="7" t="s">
        <v>271</v>
      </c>
      <c r="I213" s="7" t="s">
        <v>136</v>
      </c>
      <c r="J213" s="7" t="s">
        <v>752</v>
      </c>
      <c r="K213" s="7" t="s">
        <v>139</v>
      </c>
      <c r="L213" s="7" t="s">
        <v>146</v>
      </c>
    </row>
    <row r="214">
      <c r="A214" s="7">
        <v>81.0</v>
      </c>
      <c r="B214" s="7" t="s">
        <v>7</v>
      </c>
      <c r="C214" s="7" t="s">
        <v>576</v>
      </c>
      <c r="D214" s="7" t="s">
        <v>244</v>
      </c>
      <c r="E214" s="7" t="s">
        <v>135</v>
      </c>
      <c r="F214" s="7" t="s">
        <v>136</v>
      </c>
      <c r="G214" s="7" t="s">
        <v>185</v>
      </c>
      <c r="H214" s="7" t="s">
        <v>753</v>
      </c>
      <c r="I214" s="7" t="s">
        <v>136</v>
      </c>
      <c r="J214" s="7" t="s">
        <v>754</v>
      </c>
      <c r="K214" s="7" t="s">
        <v>139</v>
      </c>
      <c r="L214" s="7" t="s">
        <v>146</v>
      </c>
    </row>
    <row r="215">
      <c r="A215" s="7">
        <v>215.0</v>
      </c>
      <c r="B215" s="7" t="s">
        <v>6</v>
      </c>
      <c r="C215" s="7" t="s">
        <v>755</v>
      </c>
      <c r="D215" s="7" t="s">
        <v>143</v>
      </c>
      <c r="E215" s="7" t="s">
        <v>135</v>
      </c>
      <c r="F215" s="7" t="s">
        <v>136</v>
      </c>
      <c r="G215" s="7" t="s">
        <v>157</v>
      </c>
      <c r="I215" s="7" t="s">
        <v>136</v>
      </c>
      <c r="J215" s="7" t="s">
        <v>756</v>
      </c>
      <c r="K215" s="7" t="s">
        <v>139</v>
      </c>
      <c r="L215" s="7" t="s">
        <v>146</v>
      </c>
    </row>
    <row r="216">
      <c r="A216" s="7">
        <v>73.0</v>
      </c>
      <c r="B216" s="7" t="s">
        <v>7</v>
      </c>
      <c r="C216" s="7" t="s">
        <v>572</v>
      </c>
      <c r="D216" s="7" t="s">
        <v>233</v>
      </c>
      <c r="E216" s="7" t="s">
        <v>135</v>
      </c>
      <c r="F216" s="7" t="s">
        <v>136</v>
      </c>
      <c r="G216" s="7" t="s">
        <v>157</v>
      </c>
      <c r="H216" s="7" t="s">
        <v>757</v>
      </c>
      <c r="I216" s="7" t="s">
        <v>136</v>
      </c>
      <c r="J216" s="7" t="s">
        <v>758</v>
      </c>
      <c r="K216" s="7" t="s">
        <v>139</v>
      </c>
      <c r="L216" s="7" t="s">
        <v>146</v>
      </c>
    </row>
    <row r="217">
      <c r="A217" s="7">
        <v>50.0</v>
      </c>
      <c r="B217" s="7" t="s">
        <v>6</v>
      </c>
      <c r="C217" s="7" t="s">
        <v>759</v>
      </c>
      <c r="D217" s="7" t="s">
        <v>243</v>
      </c>
      <c r="E217" s="7" t="s">
        <v>135</v>
      </c>
      <c r="F217" s="7" t="s">
        <v>136</v>
      </c>
      <c r="G217" s="7" t="s">
        <v>760</v>
      </c>
      <c r="H217" s="7" t="s">
        <v>761</v>
      </c>
      <c r="I217" s="7" t="s">
        <v>136</v>
      </c>
      <c r="J217" s="7" t="s">
        <v>762</v>
      </c>
      <c r="K217" s="7" t="s">
        <v>139</v>
      </c>
      <c r="L217" s="7" t="s">
        <v>146</v>
      </c>
    </row>
    <row r="218">
      <c r="A218" s="7">
        <v>234.0</v>
      </c>
      <c r="B218" s="7" t="s">
        <v>6</v>
      </c>
      <c r="C218" s="7" t="s">
        <v>628</v>
      </c>
      <c r="D218" s="7" t="s">
        <v>243</v>
      </c>
      <c r="E218" s="7" t="s">
        <v>135</v>
      </c>
      <c r="F218" s="7" t="s">
        <v>135</v>
      </c>
      <c r="G218" s="7" t="s">
        <v>157</v>
      </c>
      <c r="I218" s="7" t="s">
        <v>136</v>
      </c>
      <c r="J218" s="7" t="s">
        <v>763</v>
      </c>
      <c r="K218" s="7" t="s">
        <v>139</v>
      </c>
      <c r="L218" s="7" t="s">
        <v>146</v>
      </c>
    </row>
    <row r="219">
      <c r="A219" s="7">
        <v>59.0</v>
      </c>
      <c r="B219" s="7" t="s">
        <v>7</v>
      </c>
      <c r="C219" s="7" t="s">
        <v>764</v>
      </c>
      <c r="D219" s="7" t="s">
        <v>243</v>
      </c>
      <c r="E219" s="7" t="s">
        <v>135</v>
      </c>
      <c r="F219" s="7" t="s">
        <v>136</v>
      </c>
      <c r="G219" s="7" t="s">
        <v>191</v>
      </c>
      <c r="I219" s="7" t="s">
        <v>136</v>
      </c>
      <c r="J219" s="7" t="s">
        <v>765</v>
      </c>
      <c r="K219" s="7" t="s">
        <v>139</v>
      </c>
      <c r="L219" s="7" t="s">
        <v>146</v>
      </c>
    </row>
    <row r="220">
      <c r="A220" s="7">
        <v>103.0</v>
      </c>
      <c r="B220" s="7" t="s">
        <v>7</v>
      </c>
      <c r="C220" s="7" t="s">
        <v>766</v>
      </c>
      <c r="D220" s="7" t="s">
        <v>244</v>
      </c>
      <c r="E220" s="7" t="s">
        <v>135</v>
      </c>
      <c r="F220" s="7" t="s">
        <v>136</v>
      </c>
      <c r="G220" s="7" t="s">
        <v>767</v>
      </c>
      <c r="I220" s="7" t="s">
        <v>136</v>
      </c>
      <c r="J220" s="7" t="s">
        <v>768</v>
      </c>
      <c r="K220" s="7" t="s">
        <v>139</v>
      </c>
      <c r="L220" s="7" t="s">
        <v>146</v>
      </c>
    </row>
    <row r="221">
      <c r="A221" s="7">
        <v>214.0</v>
      </c>
      <c r="B221" s="7" t="s">
        <v>6</v>
      </c>
      <c r="C221" s="7" t="s">
        <v>769</v>
      </c>
      <c r="D221" s="7" t="s">
        <v>243</v>
      </c>
      <c r="E221" s="7" t="s">
        <v>135</v>
      </c>
      <c r="F221" s="7" t="s">
        <v>135</v>
      </c>
      <c r="G221" s="7" t="s">
        <v>157</v>
      </c>
      <c r="I221" s="7" t="s">
        <v>136</v>
      </c>
      <c r="J221" s="7" t="s">
        <v>770</v>
      </c>
      <c r="K221" s="7" t="s">
        <v>139</v>
      </c>
      <c r="L221" s="7" t="s">
        <v>146</v>
      </c>
    </row>
    <row r="222">
      <c r="A222" s="7">
        <v>116.0</v>
      </c>
      <c r="B222" s="7" t="s">
        <v>6</v>
      </c>
      <c r="C222" s="7" t="s">
        <v>771</v>
      </c>
      <c r="D222" s="7" t="s">
        <v>263</v>
      </c>
      <c r="E222" s="7" t="s">
        <v>135</v>
      </c>
      <c r="F222" s="7" t="s">
        <v>136</v>
      </c>
      <c r="G222" s="7" t="s">
        <v>599</v>
      </c>
      <c r="H222" s="142" t="s">
        <v>772</v>
      </c>
      <c r="I222" s="7" t="s">
        <v>136</v>
      </c>
      <c r="J222" s="7" t="s">
        <v>773</v>
      </c>
      <c r="K222" s="7" t="s">
        <v>139</v>
      </c>
      <c r="L222" s="7" t="s">
        <v>146</v>
      </c>
    </row>
    <row r="223">
      <c r="A223" s="7">
        <v>170.0</v>
      </c>
      <c r="B223" s="7" t="s">
        <v>6</v>
      </c>
      <c r="C223" s="7" t="s">
        <v>774</v>
      </c>
      <c r="D223" s="7" t="s">
        <v>243</v>
      </c>
      <c r="E223" s="7" t="s">
        <v>135</v>
      </c>
      <c r="F223" s="7" t="s">
        <v>136</v>
      </c>
      <c r="G223" s="7" t="s">
        <v>191</v>
      </c>
      <c r="H223" s="7" t="s">
        <v>775</v>
      </c>
      <c r="I223" s="7" t="s">
        <v>136</v>
      </c>
      <c r="J223" s="7" t="s">
        <v>776</v>
      </c>
      <c r="K223" s="7" t="s">
        <v>139</v>
      </c>
      <c r="L223" s="7" t="s">
        <v>146</v>
      </c>
    </row>
    <row r="224">
      <c r="A224" s="7">
        <v>220.0</v>
      </c>
      <c r="B224" s="7" t="s">
        <v>6</v>
      </c>
      <c r="C224" s="7" t="s">
        <v>777</v>
      </c>
      <c r="D224" s="7" t="s">
        <v>143</v>
      </c>
      <c r="E224" s="7" t="s">
        <v>135</v>
      </c>
      <c r="F224" s="7" t="s">
        <v>136</v>
      </c>
      <c r="G224" s="7" t="s">
        <v>191</v>
      </c>
      <c r="I224" s="7" t="s">
        <v>136</v>
      </c>
      <c r="J224" s="7" t="s">
        <v>778</v>
      </c>
      <c r="K224" s="7" t="s">
        <v>139</v>
      </c>
      <c r="L224" s="7" t="s">
        <v>146</v>
      </c>
    </row>
    <row r="225">
      <c r="A225" s="7">
        <v>20.0</v>
      </c>
      <c r="B225" s="7" t="s">
        <v>7</v>
      </c>
      <c r="C225" s="7" t="s">
        <v>379</v>
      </c>
      <c r="D225" s="7" t="s">
        <v>202</v>
      </c>
      <c r="E225" s="7" t="s">
        <v>136</v>
      </c>
      <c r="F225" s="7" t="s">
        <v>136</v>
      </c>
      <c r="G225" s="7" t="s">
        <v>221</v>
      </c>
      <c r="I225" s="7" t="s">
        <v>136</v>
      </c>
      <c r="J225" s="7" t="s">
        <v>779</v>
      </c>
      <c r="K225" s="7" t="s">
        <v>139</v>
      </c>
      <c r="L225" s="7" t="s">
        <v>146</v>
      </c>
    </row>
    <row r="226">
      <c r="A226" s="7">
        <v>140.0</v>
      </c>
      <c r="B226" s="7" t="s">
        <v>6</v>
      </c>
      <c r="C226" s="7" t="s">
        <v>511</v>
      </c>
      <c r="D226" s="7" t="s">
        <v>209</v>
      </c>
      <c r="E226" s="7" t="s">
        <v>135</v>
      </c>
      <c r="F226" s="7" t="s">
        <v>136</v>
      </c>
      <c r="G226" s="7" t="s">
        <v>157</v>
      </c>
      <c r="I226" s="7" t="s">
        <v>136</v>
      </c>
      <c r="J226" s="7" t="s">
        <v>780</v>
      </c>
      <c r="K226" s="7" t="s">
        <v>139</v>
      </c>
      <c r="L226" s="7" t="s">
        <v>146</v>
      </c>
    </row>
    <row r="227">
      <c r="A227" s="7">
        <v>69.0</v>
      </c>
      <c r="B227" s="7" t="s">
        <v>6</v>
      </c>
      <c r="C227" s="7" t="s">
        <v>755</v>
      </c>
      <c r="D227" s="7" t="s">
        <v>143</v>
      </c>
      <c r="E227" s="7" t="s">
        <v>135</v>
      </c>
      <c r="F227" s="7" t="s">
        <v>135</v>
      </c>
      <c r="G227" s="7" t="s">
        <v>157</v>
      </c>
      <c r="I227" s="7" t="s">
        <v>136</v>
      </c>
      <c r="J227" s="7" t="s">
        <v>781</v>
      </c>
      <c r="K227" s="7" t="s">
        <v>139</v>
      </c>
      <c r="L227" s="7" t="s">
        <v>146</v>
      </c>
    </row>
    <row r="228">
      <c r="A228" s="7">
        <v>104.0</v>
      </c>
      <c r="B228" s="7" t="s">
        <v>7</v>
      </c>
      <c r="C228" s="7" t="s">
        <v>782</v>
      </c>
      <c r="D228" s="7" t="s">
        <v>194</v>
      </c>
      <c r="E228" s="7" t="s">
        <v>135</v>
      </c>
      <c r="F228" s="7" t="s">
        <v>135</v>
      </c>
      <c r="G228" s="7" t="s">
        <v>157</v>
      </c>
      <c r="I228" s="7" t="s">
        <v>136</v>
      </c>
      <c r="J228" s="7" t="s">
        <v>783</v>
      </c>
      <c r="K228" s="7" t="s">
        <v>139</v>
      </c>
      <c r="L228" s="7" t="s">
        <v>146</v>
      </c>
    </row>
    <row r="229">
      <c r="A229" s="7">
        <v>218.0</v>
      </c>
      <c r="B229" s="7" t="s">
        <v>7</v>
      </c>
      <c r="C229" s="7" t="s">
        <v>384</v>
      </c>
      <c r="D229" s="7" t="s">
        <v>143</v>
      </c>
      <c r="E229" s="7" t="s">
        <v>136</v>
      </c>
      <c r="F229" s="7" t="s">
        <v>136</v>
      </c>
      <c r="G229" s="7" t="s">
        <v>767</v>
      </c>
      <c r="I229" s="7" t="s">
        <v>136</v>
      </c>
      <c r="J229" s="7" t="s">
        <v>784</v>
      </c>
      <c r="K229" s="7" t="s">
        <v>139</v>
      </c>
      <c r="L229" s="7" t="s">
        <v>146</v>
      </c>
    </row>
    <row r="230">
      <c r="A230" s="7">
        <v>19.0</v>
      </c>
      <c r="B230" s="7" t="s">
        <v>7</v>
      </c>
      <c r="C230" s="7" t="s">
        <v>785</v>
      </c>
      <c r="D230" s="7" t="s">
        <v>202</v>
      </c>
      <c r="E230" s="7" t="s">
        <v>135</v>
      </c>
      <c r="F230" s="7" t="s">
        <v>136</v>
      </c>
      <c r="G230" s="7" t="s">
        <v>191</v>
      </c>
      <c r="I230" s="7" t="s">
        <v>136</v>
      </c>
      <c r="J230" s="7" t="s">
        <v>786</v>
      </c>
      <c r="K230" s="7" t="s">
        <v>139</v>
      </c>
      <c r="L230" s="7" t="s">
        <v>146</v>
      </c>
    </row>
    <row r="231">
      <c r="A231" s="7">
        <v>26.0</v>
      </c>
      <c r="B231" s="7" t="s">
        <v>7</v>
      </c>
      <c r="C231" s="7" t="s">
        <v>787</v>
      </c>
      <c r="D231" s="7" t="s">
        <v>164</v>
      </c>
      <c r="E231" s="7" t="s">
        <v>135</v>
      </c>
      <c r="F231" s="7" t="s">
        <v>136</v>
      </c>
      <c r="G231" s="7" t="s">
        <v>271</v>
      </c>
      <c r="I231" s="7" t="s">
        <v>136</v>
      </c>
      <c r="J231" s="7" t="s">
        <v>788</v>
      </c>
      <c r="K231" s="7" t="s">
        <v>139</v>
      </c>
      <c r="L231" s="7" t="s">
        <v>146</v>
      </c>
    </row>
    <row r="232">
      <c r="A232" s="7">
        <v>172.0</v>
      </c>
      <c r="B232" s="7" t="s">
        <v>6</v>
      </c>
      <c r="C232" s="7" t="s">
        <v>789</v>
      </c>
      <c r="D232" s="7" t="s">
        <v>143</v>
      </c>
      <c r="E232" s="7" t="s">
        <v>135</v>
      </c>
      <c r="F232" s="7" t="s">
        <v>136</v>
      </c>
      <c r="G232" s="7" t="s">
        <v>157</v>
      </c>
      <c r="I232" s="7" t="s">
        <v>136</v>
      </c>
      <c r="J232" s="7" t="s">
        <v>790</v>
      </c>
      <c r="K232" s="7" t="s">
        <v>139</v>
      </c>
      <c r="L232" s="7" t="s">
        <v>146</v>
      </c>
    </row>
    <row r="233">
      <c r="A233" s="7">
        <v>224.0</v>
      </c>
      <c r="B233" s="7" t="s">
        <v>6</v>
      </c>
      <c r="C233" s="7" t="s">
        <v>791</v>
      </c>
      <c r="D233" s="7" t="s">
        <v>285</v>
      </c>
      <c r="E233" s="7" t="s">
        <v>136</v>
      </c>
      <c r="F233" s="7" t="s">
        <v>136</v>
      </c>
      <c r="G233" s="7" t="s">
        <v>320</v>
      </c>
      <c r="I233" s="7" t="s">
        <v>136</v>
      </c>
      <c r="J233" s="7" t="s">
        <v>792</v>
      </c>
      <c r="K233" s="7" t="s">
        <v>139</v>
      </c>
      <c r="L233" s="7" t="s">
        <v>146</v>
      </c>
    </row>
    <row r="234">
      <c r="A234" s="7">
        <v>199.0</v>
      </c>
      <c r="B234" s="7" t="s">
        <v>6</v>
      </c>
      <c r="C234" s="7" t="s">
        <v>793</v>
      </c>
      <c r="D234" s="7" t="s">
        <v>193</v>
      </c>
      <c r="E234" s="7" t="s">
        <v>136</v>
      </c>
      <c r="F234" s="7" t="s">
        <v>136</v>
      </c>
      <c r="G234" s="7" t="s">
        <v>185</v>
      </c>
      <c r="H234" s="142" t="s">
        <v>794</v>
      </c>
      <c r="I234" s="7" t="s">
        <v>136</v>
      </c>
      <c r="J234" s="7" t="s">
        <v>795</v>
      </c>
      <c r="K234" s="7" t="s">
        <v>139</v>
      </c>
      <c r="L234" s="7" t="s">
        <v>146</v>
      </c>
    </row>
    <row r="235">
      <c r="A235" s="7">
        <v>17.0</v>
      </c>
      <c r="B235" s="7" t="s">
        <v>6</v>
      </c>
      <c r="C235" s="7" t="s">
        <v>796</v>
      </c>
      <c r="D235" s="7" t="s">
        <v>243</v>
      </c>
      <c r="E235" s="7" t="s">
        <v>135</v>
      </c>
      <c r="F235" s="7" t="s">
        <v>135</v>
      </c>
      <c r="G235" s="7" t="s">
        <v>191</v>
      </c>
      <c r="I235" s="7" t="s">
        <v>136</v>
      </c>
      <c r="J235" s="7" t="s">
        <v>797</v>
      </c>
      <c r="K235" s="7" t="s">
        <v>139</v>
      </c>
      <c r="L235" s="7" t="s">
        <v>146</v>
      </c>
    </row>
    <row r="236">
      <c r="A236" s="7">
        <v>22.0</v>
      </c>
      <c r="B236" s="7" t="s">
        <v>6</v>
      </c>
      <c r="C236" s="7" t="s">
        <v>235</v>
      </c>
      <c r="D236" s="7" t="s">
        <v>164</v>
      </c>
      <c r="E236" s="7" t="s">
        <v>135</v>
      </c>
      <c r="F236" s="7" t="s">
        <v>136</v>
      </c>
      <c r="G236" s="7" t="s">
        <v>798</v>
      </c>
      <c r="H236" s="7" t="s">
        <v>799</v>
      </c>
      <c r="I236" s="7" t="s">
        <v>136</v>
      </c>
      <c r="J236" s="7" t="s">
        <v>800</v>
      </c>
      <c r="K236" s="7" t="s">
        <v>139</v>
      </c>
      <c r="L236" s="7" t="s">
        <v>146</v>
      </c>
    </row>
    <row r="237">
      <c r="A237" s="7">
        <v>202.0</v>
      </c>
      <c r="B237" s="7" t="s">
        <v>7</v>
      </c>
      <c r="C237" s="7" t="s">
        <v>801</v>
      </c>
      <c r="D237" s="7" t="s">
        <v>193</v>
      </c>
      <c r="E237" s="7" t="s">
        <v>136</v>
      </c>
      <c r="F237" s="7" t="s">
        <v>136</v>
      </c>
      <c r="G237" s="7" t="s">
        <v>185</v>
      </c>
      <c r="H237" s="142" t="s">
        <v>802</v>
      </c>
      <c r="I237" s="7" t="s">
        <v>136</v>
      </c>
      <c r="J237" s="7" t="s">
        <v>803</v>
      </c>
      <c r="K237" s="7" t="s">
        <v>139</v>
      </c>
      <c r="L237" s="7" t="s">
        <v>146</v>
      </c>
    </row>
    <row r="238">
      <c r="A238" s="7">
        <v>169.0</v>
      </c>
      <c r="B238" s="7" t="s">
        <v>6</v>
      </c>
      <c r="C238" s="7" t="s">
        <v>804</v>
      </c>
      <c r="D238" s="7" t="s">
        <v>239</v>
      </c>
      <c r="E238" s="7" t="s">
        <v>136</v>
      </c>
      <c r="F238" s="7" t="s">
        <v>136</v>
      </c>
      <c r="G238" s="7" t="s">
        <v>157</v>
      </c>
      <c r="I238" s="7" t="s">
        <v>136</v>
      </c>
      <c r="J238" s="7" t="s">
        <v>805</v>
      </c>
      <c r="K238" s="7" t="s">
        <v>139</v>
      </c>
      <c r="L238" s="7" t="s">
        <v>146</v>
      </c>
    </row>
    <row r="239">
      <c r="A239" s="7">
        <v>102.0</v>
      </c>
      <c r="B239" s="7" t="s">
        <v>7</v>
      </c>
      <c r="C239" s="7" t="s">
        <v>806</v>
      </c>
      <c r="D239" s="7" t="s">
        <v>193</v>
      </c>
      <c r="E239" s="7" t="s">
        <v>136</v>
      </c>
      <c r="F239" s="7" t="s">
        <v>136</v>
      </c>
      <c r="G239" s="7" t="s">
        <v>157</v>
      </c>
      <c r="I239" s="7" t="s">
        <v>136</v>
      </c>
      <c r="J239" s="7" t="s">
        <v>807</v>
      </c>
      <c r="K239" s="7" t="s">
        <v>139</v>
      </c>
      <c r="L239" s="7" t="s">
        <v>146</v>
      </c>
    </row>
    <row r="240">
      <c r="A240" s="7">
        <v>148.0</v>
      </c>
      <c r="B240" s="7" t="s">
        <v>6</v>
      </c>
      <c r="C240" s="7" t="s">
        <v>808</v>
      </c>
      <c r="D240" s="7" t="s">
        <v>153</v>
      </c>
      <c r="E240" s="7" t="s">
        <v>135</v>
      </c>
      <c r="F240" s="7" t="s">
        <v>136</v>
      </c>
      <c r="G240" s="7" t="s">
        <v>479</v>
      </c>
      <c r="I240" s="7" t="s">
        <v>136</v>
      </c>
      <c r="J240" s="7" t="s">
        <v>809</v>
      </c>
      <c r="K240" s="7" t="s">
        <v>139</v>
      </c>
      <c r="L240" s="7" t="s">
        <v>146</v>
      </c>
    </row>
    <row r="241">
      <c r="A241" s="7">
        <v>174.0</v>
      </c>
      <c r="B241" s="7" t="s">
        <v>7</v>
      </c>
      <c r="C241" s="7" t="s">
        <v>810</v>
      </c>
      <c r="D241" s="7" t="s">
        <v>153</v>
      </c>
      <c r="E241" s="7" t="s">
        <v>135</v>
      </c>
      <c r="F241" s="7" t="s">
        <v>135</v>
      </c>
      <c r="G241" s="7" t="s">
        <v>811</v>
      </c>
      <c r="I241" s="7" t="s">
        <v>136</v>
      </c>
      <c r="J241" s="7" t="s">
        <v>812</v>
      </c>
      <c r="K241" s="7" t="s">
        <v>139</v>
      </c>
      <c r="L241" s="7" t="s">
        <v>146</v>
      </c>
    </row>
    <row r="242">
      <c r="A242" s="7">
        <v>163.0</v>
      </c>
      <c r="B242" s="7" t="s">
        <v>6</v>
      </c>
      <c r="C242" s="7" t="s">
        <v>813</v>
      </c>
      <c r="D242" s="7" t="s">
        <v>202</v>
      </c>
      <c r="E242" s="7" t="s">
        <v>135</v>
      </c>
      <c r="F242" s="7" t="s">
        <v>136</v>
      </c>
      <c r="G242" s="7" t="s">
        <v>814</v>
      </c>
      <c r="I242" s="7" t="s">
        <v>136</v>
      </c>
      <c r="J242" s="7" t="s">
        <v>815</v>
      </c>
      <c r="K242" s="7" t="s">
        <v>139</v>
      </c>
      <c r="L242" s="7" t="s">
        <v>146</v>
      </c>
    </row>
    <row r="243">
      <c r="A243" s="7">
        <v>135.0</v>
      </c>
      <c r="B243" s="7" t="s">
        <v>7</v>
      </c>
      <c r="C243" s="7" t="s">
        <v>617</v>
      </c>
      <c r="D243" s="7" t="s">
        <v>193</v>
      </c>
      <c r="E243" s="7" t="s">
        <v>136</v>
      </c>
      <c r="F243" s="7" t="s">
        <v>135</v>
      </c>
      <c r="G243" s="7" t="s">
        <v>191</v>
      </c>
      <c r="H243" s="7" t="s">
        <v>816</v>
      </c>
      <c r="I243" s="7" t="s">
        <v>136</v>
      </c>
      <c r="J243" s="7" t="s">
        <v>817</v>
      </c>
      <c r="K243" s="7" t="s">
        <v>139</v>
      </c>
      <c r="L243" s="7" t="s">
        <v>146</v>
      </c>
    </row>
    <row r="244">
      <c r="A244" s="7">
        <v>87.0</v>
      </c>
      <c r="B244" s="7" t="s">
        <v>7</v>
      </c>
      <c r="C244" s="7" t="s">
        <v>818</v>
      </c>
      <c r="D244" s="7" t="s">
        <v>193</v>
      </c>
      <c r="E244" s="7" t="s">
        <v>135</v>
      </c>
      <c r="F244" s="7" t="s">
        <v>135</v>
      </c>
      <c r="G244" s="7" t="s">
        <v>671</v>
      </c>
      <c r="H244" s="7" t="s">
        <v>819</v>
      </c>
      <c r="I244" s="7" t="s">
        <v>136</v>
      </c>
      <c r="J244" s="7" t="s">
        <v>820</v>
      </c>
      <c r="K244" s="7" t="s">
        <v>139</v>
      </c>
      <c r="L244" s="7" t="s">
        <v>146</v>
      </c>
    </row>
    <row r="245">
      <c r="A245" s="7">
        <v>166.0</v>
      </c>
      <c r="B245" s="7" t="s">
        <v>7</v>
      </c>
      <c r="C245" s="7" t="s">
        <v>821</v>
      </c>
      <c r="D245" s="7" t="s">
        <v>238</v>
      </c>
      <c r="E245" s="7" t="s">
        <v>136</v>
      </c>
      <c r="F245" s="7" t="s">
        <v>136</v>
      </c>
      <c r="G245" s="7" t="s">
        <v>822</v>
      </c>
      <c r="H245" s="7" t="s">
        <v>411</v>
      </c>
      <c r="I245" s="7" t="s">
        <v>136</v>
      </c>
      <c r="J245" s="7" t="s">
        <v>823</v>
      </c>
      <c r="K245" s="7" t="s">
        <v>139</v>
      </c>
      <c r="L245" s="7" t="s">
        <v>146</v>
      </c>
    </row>
    <row r="246">
      <c r="A246" s="7">
        <v>221.0</v>
      </c>
      <c r="B246" s="7" t="s">
        <v>6</v>
      </c>
      <c r="C246" s="7" t="s">
        <v>824</v>
      </c>
      <c r="D246" s="7" t="s">
        <v>347</v>
      </c>
      <c r="E246" s="7" t="s">
        <v>136</v>
      </c>
      <c r="F246" s="7" t="s">
        <v>136</v>
      </c>
      <c r="G246" s="7" t="s">
        <v>157</v>
      </c>
      <c r="I246" s="7" t="s">
        <v>136</v>
      </c>
      <c r="J246" s="7" t="s">
        <v>825</v>
      </c>
      <c r="K246" s="7" t="s">
        <v>139</v>
      </c>
      <c r="L246" s="7" t="s">
        <v>146</v>
      </c>
    </row>
    <row r="247">
      <c r="A247" s="7">
        <v>145.0</v>
      </c>
      <c r="B247" s="7" t="s">
        <v>7</v>
      </c>
      <c r="C247" s="7" t="s">
        <v>826</v>
      </c>
      <c r="D247" s="7" t="s">
        <v>313</v>
      </c>
      <c r="E247" s="7" t="s">
        <v>135</v>
      </c>
      <c r="F247" s="7" t="s">
        <v>136</v>
      </c>
      <c r="G247" s="7" t="s">
        <v>191</v>
      </c>
      <c r="I247" s="7" t="s">
        <v>136</v>
      </c>
      <c r="J247" s="7" t="s">
        <v>827</v>
      </c>
      <c r="K247" s="7" t="s">
        <v>139</v>
      </c>
      <c r="L247" s="7" t="s">
        <v>146</v>
      </c>
    </row>
    <row r="248">
      <c r="A248" s="7">
        <v>190.0</v>
      </c>
      <c r="B248" s="7" t="s">
        <v>6</v>
      </c>
      <c r="C248" s="7" t="s">
        <v>828</v>
      </c>
      <c r="D248" s="7" t="s">
        <v>239</v>
      </c>
      <c r="E248" s="7" t="s">
        <v>136</v>
      </c>
      <c r="F248" s="7" t="s">
        <v>135</v>
      </c>
      <c r="G248" s="7" t="s">
        <v>157</v>
      </c>
      <c r="I248" s="7" t="s">
        <v>136</v>
      </c>
      <c r="J248" s="7" t="s">
        <v>829</v>
      </c>
      <c r="K248" s="7" t="s">
        <v>139</v>
      </c>
      <c r="L248" s="7" t="s">
        <v>146</v>
      </c>
    </row>
    <row r="249">
      <c r="A249" s="7">
        <v>176.0</v>
      </c>
      <c r="B249" s="7" t="s">
        <v>6</v>
      </c>
      <c r="C249" s="7" t="s">
        <v>830</v>
      </c>
      <c r="D249" s="7" t="s">
        <v>134</v>
      </c>
      <c r="E249" s="7" t="s">
        <v>136</v>
      </c>
      <c r="F249" s="7" t="s">
        <v>135</v>
      </c>
      <c r="G249" s="7" t="s">
        <v>157</v>
      </c>
      <c r="I249" s="7" t="s">
        <v>136</v>
      </c>
      <c r="J249" s="7" t="s">
        <v>831</v>
      </c>
      <c r="K249" s="7" t="s">
        <v>139</v>
      </c>
      <c r="L249" s="7" t="s">
        <v>146</v>
      </c>
    </row>
    <row r="250">
      <c r="A250" s="7">
        <v>112.0</v>
      </c>
      <c r="B250" s="7" t="s">
        <v>6</v>
      </c>
      <c r="C250" s="7" t="s">
        <v>832</v>
      </c>
      <c r="D250" s="7" t="s">
        <v>263</v>
      </c>
      <c r="E250" s="7" t="s">
        <v>136</v>
      </c>
      <c r="F250" s="7" t="s">
        <v>135</v>
      </c>
      <c r="G250" s="7" t="s">
        <v>157</v>
      </c>
      <c r="I250" s="7" t="s">
        <v>136</v>
      </c>
      <c r="J250" s="7" t="s">
        <v>833</v>
      </c>
      <c r="K250" s="7" t="s">
        <v>139</v>
      </c>
      <c r="L250" s="7" t="s">
        <v>146</v>
      </c>
    </row>
    <row r="251">
      <c r="A251" s="7">
        <v>237.0</v>
      </c>
      <c r="B251" s="7" t="s">
        <v>6</v>
      </c>
      <c r="C251" s="7" t="s">
        <v>617</v>
      </c>
      <c r="D251" s="7" t="s">
        <v>290</v>
      </c>
      <c r="E251" s="7" t="s">
        <v>136</v>
      </c>
      <c r="F251" s="7" t="s">
        <v>135</v>
      </c>
      <c r="G251" s="7" t="s">
        <v>157</v>
      </c>
      <c r="I251" s="7" t="s">
        <v>136</v>
      </c>
      <c r="J251" s="7" t="s">
        <v>834</v>
      </c>
      <c r="K251" s="7" t="s">
        <v>139</v>
      </c>
      <c r="L251" s="7" t="s">
        <v>146</v>
      </c>
    </row>
    <row r="252">
      <c r="A252" s="7">
        <v>133.0</v>
      </c>
      <c r="B252" s="7" t="s">
        <v>6</v>
      </c>
      <c r="C252" s="7" t="s">
        <v>835</v>
      </c>
      <c r="D252" s="7" t="s">
        <v>219</v>
      </c>
      <c r="E252" s="7" t="s">
        <v>135</v>
      </c>
      <c r="F252" s="7" t="s">
        <v>136</v>
      </c>
      <c r="G252" s="7" t="s">
        <v>732</v>
      </c>
      <c r="I252" s="7" t="s">
        <v>136</v>
      </c>
      <c r="J252" s="7" t="s">
        <v>836</v>
      </c>
      <c r="K252" s="7" t="s">
        <v>139</v>
      </c>
      <c r="L252" s="7" t="s">
        <v>146</v>
      </c>
    </row>
    <row r="253">
      <c r="A253" s="7">
        <v>38.0</v>
      </c>
      <c r="B253" s="7" t="s">
        <v>7</v>
      </c>
      <c r="C253" s="7" t="s">
        <v>837</v>
      </c>
      <c r="D253" s="7" t="s">
        <v>352</v>
      </c>
      <c r="E253" s="7" t="s">
        <v>135</v>
      </c>
      <c r="F253" s="7" t="s">
        <v>136</v>
      </c>
      <c r="G253" s="7" t="s">
        <v>838</v>
      </c>
      <c r="I253" s="7" t="s">
        <v>136</v>
      </c>
      <c r="J253" s="7" t="s">
        <v>839</v>
      </c>
      <c r="K253" s="7" t="s">
        <v>139</v>
      </c>
      <c r="L253" s="7" t="s">
        <v>146</v>
      </c>
    </row>
    <row r="254">
      <c r="A254" s="7">
        <v>158.0</v>
      </c>
      <c r="B254" s="7" t="s">
        <v>6</v>
      </c>
      <c r="C254" s="7" t="s">
        <v>840</v>
      </c>
      <c r="D254" s="7" t="s">
        <v>143</v>
      </c>
      <c r="E254" s="7" t="s">
        <v>135</v>
      </c>
      <c r="F254" s="7" t="s">
        <v>136</v>
      </c>
      <c r="G254" s="7" t="s">
        <v>841</v>
      </c>
      <c r="H254" s="7" t="s">
        <v>842</v>
      </c>
      <c r="I254" s="7" t="s">
        <v>136</v>
      </c>
      <c r="J254" s="7" t="s">
        <v>843</v>
      </c>
      <c r="K254" s="7" t="s">
        <v>139</v>
      </c>
      <c r="L254" s="7" t="s">
        <v>146</v>
      </c>
    </row>
    <row r="255">
      <c r="A255" s="7">
        <v>238.0</v>
      </c>
      <c r="B255" s="7" t="s">
        <v>6</v>
      </c>
      <c r="C255" s="7" t="s">
        <v>844</v>
      </c>
      <c r="D255" s="7" t="s">
        <v>243</v>
      </c>
      <c r="E255" s="7" t="s">
        <v>135</v>
      </c>
      <c r="F255" s="7" t="s">
        <v>136</v>
      </c>
      <c r="G255" s="7" t="s">
        <v>497</v>
      </c>
      <c r="I255" s="7" t="s">
        <v>136</v>
      </c>
      <c r="J255" s="7" t="s">
        <v>845</v>
      </c>
      <c r="K255" s="7" t="s">
        <v>139</v>
      </c>
      <c r="L255" s="7" t="s">
        <v>146</v>
      </c>
    </row>
    <row r="256">
      <c r="A256" s="7">
        <v>90.0</v>
      </c>
      <c r="B256" s="7" t="s">
        <v>6</v>
      </c>
      <c r="C256" s="7" t="s">
        <v>846</v>
      </c>
      <c r="D256" s="7" t="s">
        <v>243</v>
      </c>
      <c r="E256" s="7" t="s">
        <v>135</v>
      </c>
      <c r="F256" s="7" t="s">
        <v>136</v>
      </c>
      <c r="G256" s="7" t="s">
        <v>191</v>
      </c>
      <c r="I256" s="7" t="s">
        <v>136</v>
      </c>
      <c r="J256" s="7" t="s">
        <v>847</v>
      </c>
      <c r="K256" s="7" t="s">
        <v>139</v>
      </c>
      <c r="L256" s="7" t="s">
        <v>146</v>
      </c>
    </row>
    <row r="257">
      <c r="A257" s="7">
        <v>61.0</v>
      </c>
      <c r="B257" s="7" t="s">
        <v>7</v>
      </c>
      <c r="C257" s="7" t="s">
        <v>848</v>
      </c>
      <c r="D257" s="7" t="s">
        <v>243</v>
      </c>
      <c r="E257" s="7" t="s">
        <v>135</v>
      </c>
      <c r="F257" s="7" t="s">
        <v>135</v>
      </c>
      <c r="G257" s="7" t="s">
        <v>157</v>
      </c>
      <c r="I257" s="7" t="s">
        <v>136</v>
      </c>
      <c r="J257" s="7" t="s">
        <v>849</v>
      </c>
      <c r="K257" s="7" t="s">
        <v>139</v>
      </c>
      <c r="L257" s="7" t="s">
        <v>146</v>
      </c>
    </row>
    <row r="258">
      <c r="A258" s="7">
        <v>178.0</v>
      </c>
      <c r="B258" s="7" t="s">
        <v>7</v>
      </c>
      <c r="C258" s="7" t="s">
        <v>850</v>
      </c>
      <c r="D258" s="7" t="s">
        <v>284</v>
      </c>
      <c r="E258" s="7" t="s">
        <v>135</v>
      </c>
      <c r="F258" s="7" t="s">
        <v>136</v>
      </c>
      <c r="G258" s="7" t="s">
        <v>798</v>
      </c>
      <c r="H258" s="7" t="s">
        <v>851</v>
      </c>
      <c r="I258" s="7" t="s">
        <v>136</v>
      </c>
      <c r="J258" s="7" t="s">
        <v>852</v>
      </c>
      <c r="K258" s="7" t="s">
        <v>139</v>
      </c>
      <c r="L258" s="7" t="s">
        <v>146</v>
      </c>
    </row>
    <row r="259">
      <c r="A259" s="7">
        <v>77.0</v>
      </c>
      <c r="B259" s="7" t="s">
        <v>7</v>
      </c>
      <c r="C259" s="7" t="s">
        <v>853</v>
      </c>
      <c r="D259" s="7" t="s">
        <v>213</v>
      </c>
      <c r="E259" s="7" t="s">
        <v>136</v>
      </c>
      <c r="F259" s="7" t="s">
        <v>136</v>
      </c>
      <c r="G259" s="7" t="s">
        <v>157</v>
      </c>
      <c r="I259" s="7" t="s">
        <v>136</v>
      </c>
      <c r="J259" s="7" t="s">
        <v>854</v>
      </c>
      <c r="K259" s="7" t="s">
        <v>139</v>
      </c>
      <c r="L259" s="7" t="s">
        <v>146</v>
      </c>
    </row>
    <row r="260">
      <c r="A260" s="7">
        <v>189.0</v>
      </c>
      <c r="B260" s="7" t="s">
        <v>7</v>
      </c>
      <c r="C260" s="7" t="s">
        <v>342</v>
      </c>
      <c r="D260" s="7" t="s">
        <v>218</v>
      </c>
      <c r="E260" s="7" t="s">
        <v>135</v>
      </c>
      <c r="F260" s="7" t="s">
        <v>135</v>
      </c>
      <c r="G260" s="7" t="s">
        <v>479</v>
      </c>
      <c r="I260" s="7" t="s">
        <v>136</v>
      </c>
      <c r="J260" s="7" t="s">
        <v>855</v>
      </c>
      <c r="K260" s="7" t="s">
        <v>139</v>
      </c>
      <c r="L260" s="7" t="s">
        <v>146</v>
      </c>
    </row>
    <row r="261">
      <c r="A261" s="7">
        <v>42.0</v>
      </c>
      <c r="B261" s="7" t="s">
        <v>6</v>
      </c>
      <c r="C261" s="7" t="s">
        <v>856</v>
      </c>
      <c r="D261" s="7" t="s">
        <v>143</v>
      </c>
      <c r="E261" s="7" t="s">
        <v>135</v>
      </c>
      <c r="F261" s="7" t="s">
        <v>136</v>
      </c>
      <c r="G261" s="7" t="s">
        <v>479</v>
      </c>
      <c r="I261" s="7" t="s">
        <v>136</v>
      </c>
      <c r="J261" s="7" t="s">
        <v>857</v>
      </c>
      <c r="K261" s="7" t="s">
        <v>139</v>
      </c>
      <c r="L261" s="7" t="s">
        <v>146</v>
      </c>
    </row>
    <row r="262">
      <c r="A262" s="7">
        <v>240.0</v>
      </c>
      <c r="B262" s="7" t="s">
        <v>6</v>
      </c>
      <c r="C262" s="7" t="s">
        <v>858</v>
      </c>
      <c r="D262" s="7" t="s">
        <v>290</v>
      </c>
      <c r="E262" s="7" t="s">
        <v>135</v>
      </c>
      <c r="F262" s="7" t="s">
        <v>136</v>
      </c>
      <c r="G262" s="7" t="s">
        <v>157</v>
      </c>
      <c r="I262" s="7" t="s">
        <v>136</v>
      </c>
      <c r="J262" s="7" t="s">
        <v>859</v>
      </c>
      <c r="K262" s="7" t="s">
        <v>139</v>
      </c>
      <c r="L262" s="7" t="s">
        <v>146</v>
      </c>
    </row>
    <row r="263">
      <c r="A263" s="7">
        <v>184.0</v>
      </c>
      <c r="B263" s="7" t="s">
        <v>6</v>
      </c>
      <c r="C263" s="7" t="s">
        <v>769</v>
      </c>
      <c r="D263" s="7" t="s">
        <v>243</v>
      </c>
      <c r="E263" s="7" t="s">
        <v>135</v>
      </c>
      <c r="F263" s="7" t="s">
        <v>136</v>
      </c>
      <c r="G263" s="7" t="s">
        <v>205</v>
      </c>
      <c r="I263" s="7" t="s">
        <v>136</v>
      </c>
      <c r="J263" s="7" t="s">
        <v>860</v>
      </c>
      <c r="K263" s="7" t="s">
        <v>139</v>
      </c>
      <c r="L263" s="7" t="s">
        <v>146</v>
      </c>
    </row>
    <row r="264">
      <c r="A264" s="7">
        <v>195.0</v>
      </c>
      <c r="B264" s="7" t="s">
        <v>7</v>
      </c>
      <c r="C264" s="7" t="s">
        <v>243</v>
      </c>
      <c r="D264" s="7" t="s">
        <v>243</v>
      </c>
      <c r="E264" s="7" t="s">
        <v>135</v>
      </c>
      <c r="F264" s="7" t="s">
        <v>135</v>
      </c>
      <c r="G264" s="7" t="s">
        <v>185</v>
      </c>
      <c r="I264" s="7" t="s">
        <v>135</v>
      </c>
      <c r="J264" s="7" t="s">
        <v>861</v>
      </c>
      <c r="K264" s="7" t="s">
        <v>139</v>
      </c>
      <c r="L264" s="7" t="s">
        <v>146</v>
      </c>
    </row>
    <row r="265">
      <c r="A265" s="7">
        <v>7.0</v>
      </c>
      <c r="B265" s="7" t="s">
        <v>6</v>
      </c>
      <c r="C265" s="7" t="s">
        <v>204</v>
      </c>
      <c r="D265" s="7" t="s">
        <v>170</v>
      </c>
      <c r="E265" s="7" t="s">
        <v>135</v>
      </c>
      <c r="F265" s="7" t="s">
        <v>136</v>
      </c>
      <c r="G265" s="7" t="s">
        <v>137</v>
      </c>
      <c r="I265" s="7" t="s">
        <v>136</v>
      </c>
      <c r="J265" s="7" t="s">
        <v>862</v>
      </c>
      <c r="K265" s="7" t="s">
        <v>139</v>
      </c>
      <c r="L265" s="7" t="s">
        <v>146</v>
      </c>
    </row>
    <row r="266">
      <c r="A266" s="7">
        <v>197.0</v>
      </c>
      <c r="B266" s="7" t="s">
        <v>6</v>
      </c>
      <c r="C266" s="7" t="s">
        <v>813</v>
      </c>
      <c r="D266" s="7" t="s">
        <v>243</v>
      </c>
      <c r="E266" s="7" t="s">
        <v>135</v>
      </c>
      <c r="F266" s="7" t="s">
        <v>136</v>
      </c>
      <c r="G266" s="7" t="s">
        <v>231</v>
      </c>
      <c r="I266" s="7" t="s">
        <v>136</v>
      </c>
      <c r="J266" s="7" t="s">
        <v>863</v>
      </c>
      <c r="K266" s="7" t="s">
        <v>139</v>
      </c>
      <c r="L266" s="7" t="s">
        <v>146</v>
      </c>
    </row>
    <row r="267">
      <c r="A267" s="7">
        <v>207.0</v>
      </c>
      <c r="B267" s="7" t="s">
        <v>7</v>
      </c>
      <c r="C267" s="7" t="s">
        <v>617</v>
      </c>
      <c r="D267" s="7" t="s">
        <v>290</v>
      </c>
      <c r="E267" s="7" t="s">
        <v>136</v>
      </c>
      <c r="F267" s="7" t="s">
        <v>135</v>
      </c>
      <c r="G267" s="7" t="s">
        <v>741</v>
      </c>
      <c r="I267" s="7" t="s">
        <v>136</v>
      </c>
      <c r="J267" s="7" t="s">
        <v>864</v>
      </c>
      <c r="K267" s="7" t="s">
        <v>139</v>
      </c>
      <c r="L267" s="7" t="s">
        <v>146</v>
      </c>
    </row>
    <row r="268">
      <c r="A268" s="7">
        <v>75.0</v>
      </c>
      <c r="B268" s="7" t="s">
        <v>6</v>
      </c>
      <c r="C268" s="7" t="s">
        <v>865</v>
      </c>
      <c r="D268" s="7" t="s">
        <v>193</v>
      </c>
      <c r="E268" s="7" t="s">
        <v>135</v>
      </c>
      <c r="F268" s="7" t="s">
        <v>136</v>
      </c>
      <c r="G268" s="7" t="s">
        <v>157</v>
      </c>
      <c r="I268" s="7" t="s">
        <v>136</v>
      </c>
      <c r="J268" s="7" t="s">
        <v>866</v>
      </c>
      <c r="K268" s="7" t="s">
        <v>139</v>
      </c>
      <c r="L268" s="7" t="s">
        <v>146</v>
      </c>
    </row>
    <row r="269">
      <c r="A269" s="7">
        <v>115.0</v>
      </c>
      <c r="B269" s="7" t="s">
        <v>6</v>
      </c>
      <c r="C269" s="7" t="s">
        <v>867</v>
      </c>
      <c r="D269" s="7" t="s">
        <v>243</v>
      </c>
      <c r="E269" s="7" t="s">
        <v>136</v>
      </c>
      <c r="F269" s="7" t="s">
        <v>135</v>
      </c>
      <c r="G269" s="7" t="s">
        <v>868</v>
      </c>
      <c r="I269" s="7" t="s">
        <v>136</v>
      </c>
      <c r="J269" s="7" t="s">
        <v>869</v>
      </c>
      <c r="K269" s="7" t="s">
        <v>139</v>
      </c>
      <c r="L269" s="7" t="s">
        <v>146</v>
      </c>
    </row>
    <row r="270">
      <c r="A270" s="7">
        <v>124.0</v>
      </c>
      <c r="B270" s="7" t="s">
        <v>6</v>
      </c>
      <c r="C270" s="7" t="s">
        <v>870</v>
      </c>
      <c r="D270" s="7" t="s">
        <v>243</v>
      </c>
      <c r="E270" s="7" t="s">
        <v>135</v>
      </c>
      <c r="F270" s="7" t="s">
        <v>136</v>
      </c>
      <c r="G270" s="7" t="s">
        <v>157</v>
      </c>
      <c r="I270" s="7" t="s">
        <v>136</v>
      </c>
      <c r="J270" s="7" t="s">
        <v>871</v>
      </c>
      <c r="K270" s="7" t="s">
        <v>139</v>
      </c>
      <c r="L270" s="7" t="s">
        <v>146</v>
      </c>
    </row>
    <row r="271">
      <c r="A271" s="7">
        <v>113.0</v>
      </c>
      <c r="B271" s="7" t="s">
        <v>7</v>
      </c>
      <c r="C271" s="7" t="s">
        <v>872</v>
      </c>
      <c r="D271" s="7" t="s">
        <v>302</v>
      </c>
      <c r="E271" s="7" t="s">
        <v>136</v>
      </c>
      <c r="F271" s="7" t="s">
        <v>136</v>
      </c>
      <c r="G271" s="7" t="s">
        <v>271</v>
      </c>
      <c r="I271" s="7" t="s">
        <v>136</v>
      </c>
      <c r="J271" s="7" t="s">
        <v>873</v>
      </c>
      <c r="K271" s="7" t="s">
        <v>139</v>
      </c>
      <c r="L271" s="7" t="s">
        <v>146</v>
      </c>
    </row>
    <row r="272">
      <c r="A272" s="7">
        <v>217.0</v>
      </c>
      <c r="B272" s="7" t="s">
        <v>7</v>
      </c>
      <c r="C272" s="7" t="s">
        <v>430</v>
      </c>
      <c r="D272" s="7" t="s">
        <v>143</v>
      </c>
      <c r="E272" s="7" t="s">
        <v>135</v>
      </c>
      <c r="F272" s="7" t="s">
        <v>136</v>
      </c>
      <c r="G272" s="142" t="s">
        <v>385</v>
      </c>
      <c r="I272" s="7" t="s">
        <v>136</v>
      </c>
      <c r="J272" s="7" t="s">
        <v>874</v>
      </c>
      <c r="K272" s="7" t="s">
        <v>139</v>
      </c>
      <c r="L272" s="7" t="s">
        <v>146</v>
      </c>
    </row>
    <row r="273">
      <c r="A273" s="7">
        <v>226.0</v>
      </c>
      <c r="B273" s="7" t="s">
        <v>7</v>
      </c>
      <c r="C273" s="7" t="s">
        <v>875</v>
      </c>
      <c r="D273" s="7" t="s">
        <v>244</v>
      </c>
      <c r="E273" s="7" t="s">
        <v>135</v>
      </c>
      <c r="F273" s="7" t="s">
        <v>135</v>
      </c>
      <c r="G273" s="7" t="s">
        <v>479</v>
      </c>
      <c r="I273" s="7" t="s">
        <v>136</v>
      </c>
      <c r="J273" s="7" t="s">
        <v>876</v>
      </c>
      <c r="K273" s="7" t="s">
        <v>139</v>
      </c>
      <c r="L273" s="7" t="s">
        <v>146</v>
      </c>
    </row>
    <row r="274">
      <c r="A274" s="7">
        <v>206.0</v>
      </c>
      <c r="B274" s="7" t="s">
        <v>7</v>
      </c>
      <c r="C274" s="7" t="s">
        <v>877</v>
      </c>
      <c r="D274" s="7" t="s">
        <v>290</v>
      </c>
      <c r="E274" s="7" t="s">
        <v>135</v>
      </c>
      <c r="F274" s="7" t="s">
        <v>135</v>
      </c>
      <c r="G274" s="7" t="s">
        <v>292</v>
      </c>
      <c r="I274" s="7" t="s">
        <v>136</v>
      </c>
      <c r="J274" s="7" t="s">
        <v>878</v>
      </c>
      <c r="K274" s="7" t="s">
        <v>139</v>
      </c>
      <c r="L274" s="7" t="s">
        <v>146</v>
      </c>
    </row>
    <row r="275">
      <c r="A275" s="7">
        <v>52.0</v>
      </c>
      <c r="B275" s="7" t="s">
        <v>6</v>
      </c>
      <c r="C275" s="7" t="s">
        <v>879</v>
      </c>
      <c r="D275" s="7" t="s">
        <v>263</v>
      </c>
      <c r="E275" s="7" t="s">
        <v>135</v>
      </c>
      <c r="F275" s="7" t="s">
        <v>135</v>
      </c>
      <c r="G275" s="7" t="s">
        <v>157</v>
      </c>
      <c r="I275" s="7" t="s">
        <v>136</v>
      </c>
      <c r="J275" s="7" t="s">
        <v>880</v>
      </c>
      <c r="K275" s="7" t="s">
        <v>139</v>
      </c>
      <c r="L275" s="7" t="s">
        <v>146</v>
      </c>
    </row>
    <row r="276">
      <c r="A276" s="7">
        <v>94.0</v>
      </c>
      <c r="B276" s="7" t="s">
        <v>6</v>
      </c>
      <c r="C276" s="7" t="s">
        <v>881</v>
      </c>
      <c r="D276" s="7" t="s">
        <v>243</v>
      </c>
      <c r="E276" s="7" t="s">
        <v>136</v>
      </c>
      <c r="F276" s="7" t="s">
        <v>135</v>
      </c>
      <c r="G276" s="7" t="s">
        <v>231</v>
      </c>
      <c r="I276" s="7" t="s">
        <v>136</v>
      </c>
      <c r="J276" s="7" t="s">
        <v>882</v>
      </c>
      <c r="K276" s="7" t="s">
        <v>139</v>
      </c>
      <c r="L276" s="7" t="s">
        <v>146</v>
      </c>
    </row>
    <row r="277">
      <c r="A277" s="7">
        <v>56.0</v>
      </c>
      <c r="B277" s="7" t="s">
        <v>7</v>
      </c>
      <c r="C277" s="7" t="s">
        <v>883</v>
      </c>
      <c r="D277" s="7" t="s">
        <v>153</v>
      </c>
      <c r="E277" s="7" t="s">
        <v>135</v>
      </c>
      <c r="F277" s="7" t="s">
        <v>135</v>
      </c>
      <c r="G277" s="7" t="s">
        <v>157</v>
      </c>
      <c r="I277" s="7" t="s">
        <v>136</v>
      </c>
      <c r="J277" s="7" t="s">
        <v>884</v>
      </c>
      <c r="K277" s="7" t="s">
        <v>139</v>
      </c>
      <c r="L277" s="7" t="s">
        <v>146</v>
      </c>
    </row>
    <row r="278">
      <c r="A278" s="7">
        <v>76.0</v>
      </c>
      <c r="B278" s="7" t="s">
        <v>6</v>
      </c>
      <c r="C278" s="7" t="s">
        <v>885</v>
      </c>
      <c r="D278" s="7" t="s">
        <v>202</v>
      </c>
      <c r="E278" s="7" t="s">
        <v>135</v>
      </c>
      <c r="F278" s="7" t="s">
        <v>136</v>
      </c>
      <c r="G278" s="7" t="s">
        <v>150</v>
      </c>
      <c r="I278" s="7" t="s">
        <v>136</v>
      </c>
      <c r="J278" s="7" t="s">
        <v>886</v>
      </c>
      <c r="K278" s="7" t="s">
        <v>139</v>
      </c>
      <c r="L278" s="7" t="s">
        <v>146</v>
      </c>
    </row>
    <row r="279">
      <c r="A279" s="7">
        <v>203.0</v>
      </c>
      <c r="B279" s="7" t="s">
        <v>7</v>
      </c>
      <c r="C279" s="7" t="s">
        <v>887</v>
      </c>
      <c r="D279" s="7" t="s">
        <v>153</v>
      </c>
      <c r="E279" s="7" t="s">
        <v>135</v>
      </c>
      <c r="F279" s="7" t="s">
        <v>136</v>
      </c>
      <c r="G279" s="7" t="s">
        <v>157</v>
      </c>
      <c r="I279" s="7" t="s">
        <v>136</v>
      </c>
      <c r="J279" s="7" t="s">
        <v>888</v>
      </c>
      <c r="K279" s="7" t="s">
        <v>139</v>
      </c>
      <c r="L279" s="7" t="s">
        <v>146</v>
      </c>
    </row>
    <row r="280">
      <c r="A280" s="7">
        <v>34.0</v>
      </c>
      <c r="B280" s="7" t="s">
        <v>7</v>
      </c>
      <c r="C280" s="7" t="s">
        <v>889</v>
      </c>
      <c r="D280" s="7" t="s">
        <v>284</v>
      </c>
      <c r="E280" s="7" t="s">
        <v>135</v>
      </c>
      <c r="F280" s="7" t="s">
        <v>136</v>
      </c>
      <c r="G280" s="7" t="s">
        <v>256</v>
      </c>
      <c r="H280" s="142" t="s">
        <v>890</v>
      </c>
      <c r="I280" s="7" t="s">
        <v>136</v>
      </c>
      <c r="J280" s="7" t="s">
        <v>891</v>
      </c>
      <c r="K280" s="7" t="s">
        <v>139</v>
      </c>
      <c r="L280" s="7" t="s">
        <v>146</v>
      </c>
    </row>
    <row r="281">
      <c r="A281" s="7">
        <v>180.0</v>
      </c>
      <c r="B281" s="7" t="s">
        <v>6</v>
      </c>
      <c r="C281" s="7" t="s">
        <v>518</v>
      </c>
      <c r="D281" s="7" t="s">
        <v>243</v>
      </c>
      <c r="E281" s="7" t="s">
        <v>135</v>
      </c>
      <c r="F281" s="7" t="s">
        <v>136</v>
      </c>
      <c r="G281" s="7" t="s">
        <v>479</v>
      </c>
      <c r="H281" s="7" t="s">
        <v>892</v>
      </c>
      <c r="I281" s="7" t="s">
        <v>136</v>
      </c>
      <c r="J281" s="7" t="s">
        <v>893</v>
      </c>
      <c r="K281" s="7" t="s">
        <v>139</v>
      </c>
      <c r="L281" s="7" t="s">
        <v>146</v>
      </c>
    </row>
    <row r="282">
      <c r="A282" s="7">
        <v>143.0</v>
      </c>
      <c r="B282" s="7" t="s">
        <v>6</v>
      </c>
      <c r="C282" s="7" t="s">
        <v>894</v>
      </c>
      <c r="D282" s="7" t="s">
        <v>153</v>
      </c>
      <c r="E282" s="7" t="s">
        <v>135</v>
      </c>
      <c r="F282" s="7" t="s">
        <v>136</v>
      </c>
      <c r="G282" s="7" t="s">
        <v>271</v>
      </c>
      <c r="I282" s="7" t="s">
        <v>136</v>
      </c>
      <c r="J282" s="7" t="s">
        <v>895</v>
      </c>
      <c r="K282" s="7" t="s">
        <v>139</v>
      </c>
      <c r="L282" s="7" t="s">
        <v>146</v>
      </c>
    </row>
    <row r="283">
      <c r="A283" s="7">
        <v>37.0</v>
      </c>
      <c r="B283" s="7" t="s">
        <v>7</v>
      </c>
      <c r="C283" s="7" t="s">
        <v>896</v>
      </c>
      <c r="D283" s="7" t="s">
        <v>203</v>
      </c>
      <c r="E283" s="7" t="s">
        <v>135</v>
      </c>
      <c r="F283" s="7" t="s">
        <v>136</v>
      </c>
      <c r="G283" s="7" t="s">
        <v>185</v>
      </c>
      <c r="H283" s="7" t="s">
        <v>897</v>
      </c>
      <c r="I283" s="7" t="s">
        <v>136</v>
      </c>
      <c r="J283" s="7" t="s">
        <v>898</v>
      </c>
      <c r="K283" s="7" t="s">
        <v>139</v>
      </c>
      <c r="L283" s="7" t="s">
        <v>146</v>
      </c>
    </row>
    <row r="284">
      <c r="A284" s="7">
        <v>110.0</v>
      </c>
      <c r="B284" s="7" t="s">
        <v>6</v>
      </c>
      <c r="C284" s="7" t="s">
        <v>899</v>
      </c>
      <c r="D284" s="7" t="s">
        <v>219</v>
      </c>
      <c r="E284" s="7" t="s">
        <v>135</v>
      </c>
      <c r="F284" s="7" t="s">
        <v>136</v>
      </c>
      <c r="G284" s="7" t="s">
        <v>900</v>
      </c>
      <c r="I284" s="7" t="s">
        <v>136</v>
      </c>
      <c r="J284" s="7" t="s">
        <v>901</v>
      </c>
      <c r="K284" s="7" t="s">
        <v>139</v>
      </c>
      <c r="L284" s="7" t="s">
        <v>146</v>
      </c>
    </row>
    <row r="285">
      <c r="A285" s="7">
        <v>152.0</v>
      </c>
      <c r="B285" s="7" t="s">
        <v>6</v>
      </c>
      <c r="C285" s="7" t="s">
        <v>902</v>
      </c>
      <c r="D285" s="7" t="s">
        <v>214</v>
      </c>
      <c r="E285" s="7" t="s">
        <v>135</v>
      </c>
      <c r="F285" s="7" t="s">
        <v>136</v>
      </c>
      <c r="G285" s="7" t="s">
        <v>185</v>
      </c>
      <c r="H285" s="142" t="s">
        <v>903</v>
      </c>
      <c r="I285" s="7" t="s">
        <v>136</v>
      </c>
      <c r="J285" s="7" t="s">
        <v>904</v>
      </c>
      <c r="K285" s="7" t="s">
        <v>139</v>
      </c>
      <c r="L285" s="7" t="s">
        <v>146</v>
      </c>
    </row>
    <row r="286">
      <c r="A286" s="7">
        <v>39.0</v>
      </c>
      <c r="B286" s="7" t="s">
        <v>7</v>
      </c>
      <c r="C286" s="7" t="s">
        <v>518</v>
      </c>
      <c r="D286" s="7" t="s">
        <v>243</v>
      </c>
      <c r="E286" s="7" t="s">
        <v>135</v>
      </c>
      <c r="F286" s="7" t="s">
        <v>136</v>
      </c>
      <c r="G286" s="7" t="s">
        <v>599</v>
      </c>
      <c r="H286" s="7" t="s">
        <v>905</v>
      </c>
      <c r="I286" s="7" t="s">
        <v>136</v>
      </c>
      <c r="J286" s="7" t="s">
        <v>906</v>
      </c>
      <c r="K286" s="7" t="s">
        <v>139</v>
      </c>
      <c r="L286" s="7" t="s">
        <v>146</v>
      </c>
    </row>
    <row r="287">
      <c r="A287" s="7">
        <v>44.0</v>
      </c>
      <c r="B287" s="7" t="s">
        <v>6</v>
      </c>
      <c r="C287" s="7" t="s">
        <v>907</v>
      </c>
      <c r="D287" s="7" t="s">
        <v>134</v>
      </c>
      <c r="E287" s="7" t="s">
        <v>135</v>
      </c>
      <c r="F287" s="7" t="s">
        <v>136</v>
      </c>
      <c r="G287" s="7" t="s">
        <v>150</v>
      </c>
      <c r="I287" s="7" t="s">
        <v>136</v>
      </c>
      <c r="J287" s="7" t="s">
        <v>908</v>
      </c>
      <c r="K287" s="7" t="s">
        <v>139</v>
      </c>
      <c r="L287" s="7" t="s">
        <v>146</v>
      </c>
    </row>
    <row r="288">
      <c r="A288" s="7">
        <v>223.0</v>
      </c>
      <c r="B288" s="7" t="s">
        <v>6</v>
      </c>
      <c r="C288" s="7" t="s">
        <v>909</v>
      </c>
      <c r="D288" s="7" t="s">
        <v>243</v>
      </c>
      <c r="E288" s="7" t="s">
        <v>136</v>
      </c>
      <c r="F288" s="7" t="s">
        <v>136</v>
      </c>
      <c r="G288" s="7" t="s">
        <v>157</v>
      </c>
      <c r="I288" s="7" t="s">
        <v>136</v>
      </c>
      <c r="J288" s="7" t="s">
        <v>910</v>
      </c>
      <c r="K288" s="7" t="s">
        <v>139</v>
      </c>
      <c r="L288" s="7" t="s">
        <v>146</v>
      </c>
    </row>
    <row r="289">
      <c r="A289" s="7">
        <v>4.0</v>
      </c>
      <c r="B289" s="7" t="s">
        <v>6</v>
      </c>
      <c r="C289" s="7" t="s">
        <v>315</v>
      </c>
      <c r="D289" s="7" t="s">
        <v>164</v>
      </c>
      <c r="E289" s="7" t="s">
        <v>136</v>
      </c>
      <c r="F289" s="7" t="s">
        <v>136</v>
      </c>
      <c r="G289" s="7" t="s">
        <v>911</v>
      </c>
      <c r="H289" s="7" t="s">
        <v>455</v>
      </c>
      <c r="I289" s="7" t="s">
        <v>136</v>
      </c>
      <c r="J289" s="7" t="s">
        <v>912</v>
      </c>
      <c r="K289" s="7" t="s">
        <v>139</v>
      </c>
      <c r="L289" s="7" t="s">
        <v>146</v>
      </c>
    </row>
    <row r="290">
      <c r="A290" s="7">
        <v>119.0</v>
      </c>
      <c r="B290" s="7" t="s">
        <v>7</v>
      </c>
      <c r="C290" s="7" t="s">
        <v>913</v>
      </c>
      <c r="D290" s="7" t="s">
        <v>290</v>
      </c>
      <c r="E290" s="7" t="s">
        <v>135</v>
      </c>
      <c r="F290" s="7" t="s">
        <v>135</v>
      </c>
      <c r="G290" s="7" t="s">
        <v>137</v>
      </c>
      <c r="I290" s="7" t="s">
        <v>136</v>
      </c>
      <c r="J290" s="7" t="s">
        <v>914</v>
      </c>
      <c r="K290" s="7" t="s">
        <v>139</v>
      </c>
      <c r="L290" s="7" t="s">
        <v>146</v>
      </c>
    </row>
    <row r="291">
      <c r="A291" s="7">
        <v>138.0</v>
      </c>
      <c r="B291" s="7" t="s">
        <v>7</v>
      </c>
      <c r="C291" s="7" t="s">
        <v>713</v>
      </c>
      <c r="D291" s="7" t="s">
        <v>290</v>
      </c>
      <c r="E291" s="7" t="s">
        <v>135</v>
      </c>
      <c r="F291" s="7" t="s">
        <v>135</v>
      </c>
      <c r="G291" s="7" t="s">
        <v>191</v>
      </c>
      <c r="I291" s="7" t="s">
        <v>136</v>
      </c>
      <c r="J291" s="7" t="s">
        <v>915</v>
      </c>
      <c r="K291" s="7" t="s">
        <v>139</v>
      </c>
      <c r="L291" s="7" t="s">
        <v>146</v>
      </c>
    </row>
    <row r="292">
      <c r="A292" s="7">
        <v>139.0</v>
      </c>
      <c r="B292" s="7" t="s">
        <v>7</v>
      </c>
      <c r="C292" s="7" t="s">
        <v>713</v>
      </c>
      <c r="D292" s="7" t="s">
        <v>290</v>
      </c>
      <c r="E292" s="7" t="s">
        <v>135</v>
      </c>
      <c r="F292" s="7" t="s">
        <v>135</v>
      </c>
      <c r="G292" s="7" t="s">
        <v>191</v>
      </c>
      <c r="I292" s="7" t="s">
        <v>136</v>
      </c>
      <c r="J292" s="7" t="s">
        <v>916</v>
      </c>
      <c r="K292" s="7" t="s">
        <v>139</v>
      </c>
      <c r="L292" s="7" t="s">
        <v>146</v>
      </c>
    </row>
    <row r="293">
      <c r="A293" s="7">
        <v>219.0</v>
      </c>
      <c r="B293" s="7" t="s">
        <v>6</v>
      </c>
      <c r="C293" s="7" t="s">
        <v>917</v>
      </c>
      <c r="D293" s="7" t="s">
        <v>233</v>
      </c>
      <c r="E293" s="7" t="s">
        <v>135</v>
      </c>
      <c r="F293" s="7" t="s">
        <v>136</v>
      </c>
      <c r="G293" s="7" t="s">
        <v>191</v>
      </c>
      <c r="I293" s="7" t="s">
        <v>136</v>
      </c>
      <c r="J293" s="7" t="s">
        <v>918</v>
      </c>
      <c r="K293" s="7" t="s">
        <v>139</v>
      </c>
      <c r="L293" s="7" t="s">
        <v>146</v>
      </c>
    </row>
    <row r="294">
      <c r="A294" s="7">
        <v>80.0</v>
      </c>
      <c r="B294" s="7" t="s">
        <v>7</v>
      </c>
      <c r="C294" s="7" t="s">
        <v>919</v>
      </c>
      <c r="D294" s="7" t="s">
        <v>193</v>
      </c>
      <c r="E294" s="7" t="s">
        <v>136</v>
      </c>
      <c r="F294" s="7" t="s">
        <v>136</v>
      </c>
      <c r="G294" s="7" t="s">
        <v>185</v>
      </c>
      <c r="H294" s="142" t="s">
        <v>920</v>
      </c>
      <c r="I294" s="7" t="s">
        <v>136</v>
      </c>
      <c r="J294" s="7" t="s">
        <v>754</v>
      </c>
      <c r="K294" s="7" t="s">
        <v>139</v>
      </c>
      <c r="L294" s="7" t="s">
        <v>146</v>
      </c>
    </row>
    <row r="295">
      <c r="A295" s="7">
        <v>85.0</v>
      </c>
      <c r="B295" s="7" t="s">
        <v>6</v>
      </c>
      <c r="C295" s="7" t="s">
        <v>921</v>
      </c>
      <c r="D295" s="7" t="s">
        <v>358</v>
      </c>
      <c r="E295" s="7" t="s">
        <v>135</v>
      </c>
      <c r="F295" s="7" t="s">
        <v>136</v>
      </c>
      <c r="G295" s="7" t="s">
        <v>271</v>
      </c>
      <c r="I295" s="7" t="s">
        <v>136</v>
      </c>
      <c r="J295" s="7" t="s">
        <v>922</v>
      </c>
      <c r="K295" s="7" t="s">
        <v>139</v>
      </c>
      <c r="L295" s="7" t="s">
        <v>146</v>
      </c>
    </row>
    <row r="296">
      <c r="A296" s="7">
        <v>188.0</v>
      </c>
      <c r="B296" s="7" t="s">
        <v>7</v>
      </c>
      <c r="C296" s="7" t="s">
        <v>808</v>
      </c>
      <c r="D296" s="7" t="s">
        <v>153</v>
      </c>
      <c r="E296" s="7" t="s">
        <v>136</v>
      </c>
      <c r="F296" s="7" t="s">
        <v>136</v>
      </c>
      <c r="G296" s="7" t="s">
        <v>191</v>
      </c>
      <c r="I296" s="7" t="s">
        <v>136</v>
      </c>
      <c r="J296" s="7" t="s">
        <v>923</v>
      </c>
      <c r="K296" s="7" t="s">
        <v>139</v>
      </c>
      <c r="L296" s="7" t="s">
        <v>146</v>
      </c>
    </row>
    <row r="297">
      <c r="A297" s="7">
        <v>10.0</v>
      </c>
      <c r="B297" s="7" t="s">
        <v>6</v>
      </c>
      <c r="C297" s="7" t="s">
        <v>447</v>
      </c>
      <c r="D297" s="7" t="s">
        <v>213</v>
      </c>
      <c r="E297" s="7" t="s">
        <v>135</v>
      </c>
      <c r="F297" s="7" t="s">
        <v>135</v>
      </c>
      <c r="G297" s="7" t="s">
        <v>448</v>
      </c>
      <c r="H297" s="7" t="s">
        <v>449</v>
      </c>
      <c r="I297" s="7" t="s">
        <v>136</v>
      </c>
      <c r="J297" s="7" t="s">
        <v>924</v>
      </c>
      <c r="K297" s="7" t="s">
        <v>139</v>
      </c>
      <c r="L297" s="7" t="s">
        <v>146</v>
      </c>
    </row>
    <row r="298">
      <c r="A298" s="7">
        <v>24.0</v>
      </c>
      <c r="B298" s="7" t="s">
        <v>6</v>
      </c>
      <c r="C298" s="7" t="s">
        <v>925</v>
      </c>
      <c r="D298" s="7" t="s">
        <v>213</v>
      </c>
      <c r="E298" s="7" t="s">
        <v>135</v>
      </c>
      <c r="F298" s="7" t="s">
        <v>135</v>
      </c>
      <c r="G298" s="7" t="s">
        <v>448</v>
      </c>
      <c r="H298" s="7" t="s">
        <v>926</v>
      </c>
      <c r="I298" s="7" t="s">
        <v>136</v>
      </c>
      <c r="J298" s="7" t="s">
        <v>927</v>
      </c>
      <c r="K298" s="7" t="s">
        <v>139</v>
      </c>
      <c r="L298" s="7" t="s">
        <v>146</v>
      </c>
    </row>
    <row r="299">
      <c r="A299" s="7">
        <v>200.0</v>
      </c>
      <c r="B299" s="7" t="s">
        <v>7</v>
      </c>
      <c r="C299" s="7" t="s">
        <v>840</v>
      </c>
      <c r="D299" s="7" t="s">
        <v>143</v>
      </c>
      <c r="E299" s="7" t="s">
        <v>135</v>
      </c>
      <c r="F299" s="7" t="s">
        <v>136</v>
      </c>
      <c r="G299" s="7" t="s">
        <v>157</v>
      </c>
      <c r="I299" s="7" t="s">
        <v>136</v>
      </c>
      <c r="J299" s="7" t="s">
        <v>928</v>
      </c>
      <c r="K299" s="7" t="s">
        <v>139</v>
      </c>
      <c r="L299" s="7" t="s">
        <v>146</v>
      </c>
    </row>
    <row r="300">
      <c r="A300" s="7">
        <v>147.0</v>
      </c>
      <c r="B300" s="7" t="s">
        <v>7</v>
      </c>
      <c r="C300" s="7" t="s">
        <v>929</v>
      </c>
      <c r="D300" s="7" t="s">
        <v>219</v>
      </c>
      <c r="E300" s="7" t="s">
        <v>136</v>
      </c>
      <c r="F300" s="7" t="s">
        <v>135</v>
      </c>
      <c r="G300" s="7" t="s">
        <v>157</v>
      </c>
      <c r="I300" s="7" t="s">
        <v>136</v>
      </c>
      <c r="J300" s="7" t="s">
        <v>930</v>
      </c>
      <c r="K300" s="7" t="s">
        <v>139</v>
      </c>
      <c r="L300" s="7" t="s">
        <v>146</v>
      </c>
    </row>
    <row r="301">
      <c r="A301" s="7">
        <v>21.0</v>
      </c>
      <c r="B301" s="7" t="s">
        <v>6</v>
      </c>
      <c r="C301" s="7" t="s">
        <v>931</v>
      </c>
      <c r="D301" s="7" t="s">
        <v>134</v>
      </c>
      <c r="E301" s="7" t="s">
        <v>136</v>
      </c>
      <c r="F301" s="7" t="s">
        <v>136</v>
      </c>
      <c r="G301" s="7" t="s">
        <v>191</v>
      </c>
      <c r="I301" s="7" t="s">
        <v>135</v>
      </c>
      <c r="J301" s="7" t="s">
        <v>932</v>
      </c>
      <c r="K301" s="7" t="s">
        <v>139</v>
      </c>
      <c r="L301" s="7" t="s">
        <v>146</v>
      </c>
    </row>
    <row r="302">
      <c r="A302" s="7">
        <v>177.0</v>
      </c>
      <c r="B302" s="7" t="s">
        <v>7</v>
      </c>
      <c r="C302" s="7" t="s">
        <v>933</v>
      </c>
      <c r="D302" s="7" t="s">
        <v>213</v>
      </c>
      <c r="E302" s="7" t="s">
        <v>135</v>
      </c>
      <c r="F302" s="7" t="s">
        <v>136</v>
      </c>
      <c r="G302" s="7" t="s">
        <v>606</v>
      </c>
      <c r="H302" s="7" t="s">
        <v>934</v>
      </c>
      <c r="I302" s="7" t="s">
        <v>136</v>
      </c>
      <c r="J302" s="7" t="s">
        <v>935</v>
      </c>
      <c r="K302" s="7" t="s">
        <v>139</v>
      </c>
      <c r="L302" s="7" t="s">
        <v>146</v>
      </c>
    </row>
    <row r="303">
      <c r="A303" s="7">
        <v>114.0</v>
      </c>
      <c r="B303" s="7" t="s">
        <v>6</v>
      </c>
      <c r="C303" s="7" t="s">
        <v>936</v>
      </c>
      <c r="D303" s="7" t="s">
        <v>193</v>
      </c>
      <c r="E303" s="7" t="s">
        <v>135</v>
      </c>
      <c r="F303" s="7" t="s">
        <v>135</v>
      </c>
      <c r="G303" s="7" t="s">
        <v>157</v>
      </c>
      <c r="I303" s="7" t="s">
        <v>136</v>
      </c>
      <c r="J303" s="7" t="s">
        <v>937</v>
      </c>
      <c r="K303" s="7" t="s">
        <v>139</v>
      </c>
      <c r="L303" s="7" t="s">
        <v>146</v>
      </c>
    </row>
    <row r="304">
      <c r="A304" s="7">
        <v>213.0</v>
      </c>
      <c r="B304" s="7" t="s">
        <v>6</v>
      </c>
      <c r="C304" s="7" t="s">
        <v>938</v>
      </c>
      <c r="D304" s="7" t="s">
        <v>187</v>
      </c>
      <c r="E304" s="7" t="s">
        <v>135</v>
      </c>
      <c r="F304" s="7" t="s">
        <v>135</v>
      </c>
      <c r="G304" s="7" t="s">
        <v>231</v>
      </c>
      <c r="I304" s="7" t="s">
        <v>136</v>
      </c>
      <c r="J304" s="7" t="s">
        <v>939</v>
      </c>
      <c r="K304" s="7" t="s">
        <v>139</v>
      </c>
      <c r="L304" s="7" t="s">
        <v>146</v>
      </c>
    </row>
    <row r="305">
      <c r="A305" s="7">
        <v>129.0</v>
      </c>
      <c r="B305" s="7" t="s">
        <v>6</v>
      </c>
      <c r="C305" s="7" t="s">
        <v>808</v>
      </c>
      <c r="D305" s="7" t="s">
        <v>153</v>
      </c>
      <c r="E305" s="7" t="s">
        <v>135</v>
      </c>
      <c r="F305" s="7" t="s">
        <v>135</v>
      </c>
      <c r="G305" s="7" t="s">
        <v>157</v>
      </c>
      <c r="I305" s="7" t="s">
        <v>136</v>
      </c>
      <c r="J305" s="7" t="s">
        <v>940</v>
      </c>
      <c r="K305" s="7" t="s">
        <v>139</v>
      </c>
      <c r="L305" s="7" t="s">
        <v>146</v>
      </c>
    </row>
    <row r="306">
      <c r="A306" s="7">
        <v>168.0</v>
      </c>
      <c r="B306" s="7" t="s">
        <v>7</v>
      </c>
      <c r="C306" s="7" t="s">
        <v>941</v>
      </c>
      <c r="D306" s="7" t="s">
        <v>233</v>
      </c>
      <c r="E306" s="7" t="s">
        <v>136</v>
      </c>
      <c r="F306" s="7" t="s">
        <v>136</v>
      </c>
      <c r="G306" s="7" t="s">
        <v>137</v>
      </c>
      <c r="I306" s="7" t="s">
        <v>136</v>
      </c>
      <c r="J306" s="7" t="s">
        <v>942</v>
      </c>
      <c r="K306" s="7" t="s">
        <v>139</v>
      </c>
      <c r="L306" s="7" t="s">
        <v>146</v>
      </c>
    </row>
    <row r="307">
      <c r="A307" s="7">
        <v>13.0</v>
      </c>
      <c r="B307" s="7" t="s">
        <v>7</v>
      </c>
      <c r="C307" s="7" t="s">
        <v>250</v>
      </c>
      <c r="D307" s="7" t="s">
        <v>209</v>
      </c>
      <c r="E307" s="7" t="s">
        <v>135</v>
      </c>
      <c r="F307" s="7" t="s">
        <v>135</v>
      </c>
      <c r="G307" s="7" t="s">
        <v>221</v>
      </c>
      <c r="I307" s="7" t="s">
        <v>136</v>
      </c>
      <c r="J307" s="7" t="s">
        <v>943</v>
      </c>
      <c r="K307" s="7" t="s">
        <v>139</v>
      </c>
      <c r="L307" s="7" t="s">
        <v>146</v>
      </c>
    </row>
    <row r="308">
      <c r="A308" s="7">
        <v>89.0</v>
      </c>
      <c r="B308" s="7" t="s">
        <v>6</v>
      </c>
      <c r="C308" s="7" t="s">
        <v>944</v>
      </c>
      <c r="D308" s="7" t="s">
        <v>182</v>
      </c>
      <c r="E308" s="7" t="s">
        <v>135</v>
      </c>
      <c r="F308" s="7" t="s">
        <v>136</v>
      </c>
      <c r="G308" s="7" t="s">
        <v>150</v>
      </c>
      <c r="I308" s="7" t="s">
        <v>136</v>
      </c>
      <c r="J308" s="7" t="s">
        <v>945</v>
      </c>
      <c r="K308" s="7" t="s">
        <v>139</v>
      </c>
      <c r="L308" s="7" t="s">
        <v>146</v>
      </c>
    </row>
    <row r="309">
      <c r="A309" s="7">
        <v>99.0</v>
      </c>
      <c r="B309" s="7" t="s">
        <v>6</v>
      </c>
      <c r="C309" s="7" t="s">
        <v>946</v>
      </c>
      <c r="D309" s="7" t="s">
        <v>290</v>
      </c>
      <c r="E309" s="7" t="s">
        <v>136</v>
      </c>
      <c r="F309" s="7" t="s">
        <v>136</v>
      </c>
      <c r="G309" s="7" t="s">
        <v>157</v>
      </c>
      <c r="I309" s="7" t="s">
        <v>136</v>
      </c>
      <c r="J309" s="7" t="s">
        <v>947</v>
      </c>
      <c r="K309" s="7" t="s">
        <v>139</v>
      </c>
      <c r="L309" s="7" t="s">
        <v>146</v>
      </c>
    </row>
    <row r="310">
      <c r="A310" s="7">
        <v>125.0</v>
      </c>
      <c r="B310" s="7" t="s">
        <v>7</v>
      </c>
      <c r="C310" s="7" t="s">
        <v>948</v>
      </c>
      <c r="D310" s="7" t="s">
        <v>143</v>
      </c>
      <c r="E310" s="7" t="s">
        <v>135</v>
      </c>
      <c r="F310" s="7" t="s">
        <v>136</v>
      </c>
      <c r="G310" s="7" t="s">
        <v>191</v>
      </c>
      <c r="I310" s="7" t="s">
        <v>136</v>
      </c>
      <c r="J310" s="7" t="s">
        <v>949</v>
      </c>
      <c r="K310" s="7" t="s">
        <v>139</v>
      </c>
      <c r="L310" s="7" t="s">
        <v>146</v>
      </c>
    </row>
    <row r="311">
      <c r="A311" s="7">
        <v>225.0</v>
      </c>
      <c r="B311" s="7" t="s">
        <v>6</v>
      </c>
      <c r="C311" s="7" t="s">
        <v>515</v>
      </c>
      <c r="D311" s="7" t="s">
        <v>193</v>
      </c>
      <c r="E311" s="7" t="s">
        <v>135</v>
      </c>
      <c r="F311" s="7" t="s">
        <v>135</v>
      </c>
      <c r="G311" s="7" t="s">
        <v>185</v>
      </c>
      <c r="H311" s="142" t="s">
        <v>950</v>
      </c>
      <c r="I311" s="7" t="s">
        <v>136</v>
      </c>
      <c r="J311" s="7" t="s">
        <v>951</v>
      </c>
      <c r="K311" s="7" t="s">
        <v>139</v>
      </c>
      <c r="L311" s="7" t="s">
        <v>146</v>
      </c>
    </row>
    <row r="312">
      <c r="A312" s="7">
        <v>2.0</v>
      </c>
      <c r="B312" s="7" t="s">
        <v>7</v>
      </c>
      <c r="C312" s="7" t="s">
        <v>952</v>
      </c>
      <c r="D312" s="7" t="s">
        <v>164</v>
      </c>
      <c r="G312" s="7" t="s">
        <v>185</v>
      </c>
      <c r="H312" s="142" t="s">
        <v>953</v>
      </c>
      <c r="I312" s="7" t="s">
        <v>136</v>
      </c>
      <c r="J312" s="7" t="s">
        <v>954</v>
      </c>
      <c r="K312" s="7" t="s">
        <v>139</v>
      </c>
      <c r="L312" s="7" t="s">
        <v>146</v>
      </c>
    </row>
    <row r="313">
      <c r="A313" s="7">
        <v>142.0</v>
      </c>
      <c r="B313" s="7" t="s">
        <v>6</v>
      </c>
      <c r="C313" s="7" t="s">
        <v>617</v>
      </c>
      <c r="D313" s="7" t="s">
        <v>193</v>
      </c>
      <c r="E313" s="7" t="s">
        <v>136</v>
      </c>
      <c r="F313" s="7" t="s">
        <v>135</v>
      </c>
      <c r="G313" s="7" t="s">
        <v>292</v>
      </c>
      <c r="I313" s="7" t="s">
        <v>136</v>
      </c>
      <c r="J313" s="7" t="s">
        <v>955</v>
      </c>
      <c r="K313" s="7" t="s">
        <v>139</v>
      </c>
      <c r="L313" s="7" t="s">
        <v>146</v>
      </c>
    </row>
    <row r="314">
      <c r="A314" s="7">
        <v>31.0</v>
      </c>
      <c r="B314" s="7" t="s">
        <v>6</v>
      </c>
      <c r="C314" s="7" t="s">
        <v>536</v>
      </c>
      <c r="D314" s="7" t="s">
        <v>193</v>
      </c>
      <c r="E314" s="7" t="s">
        <v>135</v>
      </c>
      <c r="F314" s="7" t="s">
        <v>136</v>
      </c>
      <c r="G314" s="7" t="s">
        <v>157</v>
      </c>
      <c r="I314" s="7" t="s">
        <v>136</v>
      </c>
      <c r="J314" s="7" t="s">
        <v>956</v>
      </c>
      <c r="K314" s="7" t="s">
        <v>139</v>
      </c>
      <c r="L314" s="7" t="s">
        <v>146</v>
      </c>
    </row>
    <row r="315">
      <c r="A315" s="7">
        <v>122.0</v>
      </c>
      <c r="B315" s="7" t="s">
        <v>6</v>
      </c>
      <c r="C315" s="7" t="s">
        <v>957</v>
      </c>
      <c r="D315" s="7" t="s">
        <v>365</v>
      </c>
      <c r="E315" s="7" t="s">
        <v>135</v>
      </c>
      <c r="F315" s="7" t="s">
        <v>136</v>
      </c>
      <c r="G315" s="7" t="s">
        <v>191</v>
      </c>
      <c r="I315" s="7" t="s">
        <v>136</v>
      </c>
      <c r="J315" s="7" t="s">
        <v>958</v>
      </c>
      <c r="K315" s="7" t="s">
        <v>139</v>
      </c>
      <c r="L315" s="7" t="s">
        <v>146</v>
      </c>
    </row>
    <row r="316">
      <c r="A316" s="7">
        <v>109.0</v>
      </c>
      <c r="B316" s="7" t="s">
        <v>7</v>
      </c>
      <c r="C316" s="7" t="s">
        <v>466</v>
      </c>
      <c r="D316" s="7" t="s">
        <v>255</v>
      </c>
      <c r="E316" s="7" t="s">
        <v>135</v>
      </c>
      <c r="F316" s="7" t="s">
        <v>136</v>
      </c>
      <c r="G316" s="7" t="s">
        <v>467</v>
      </c>
      <c r="I316" s="7" t="s">
        <v>136</v>
      </c>
      <c r="J316" s="7" t="s">
        <v>959</v>
      </c>
      <c r="K316" s="7" t="s">
        <v>139</v>
      </c>
      <c r="L316" s="7" t="s">
        <v>146</v>
      </c>
    </row>
    <row r="317">
      <c r="A317" s="7">
        <v>228.0</v>
      </c>
      <c r="B317" s="7" t="s">
        <v>7</v>
      </c>
      <c r="C317" s="7" t="s">
        <v>566</v>
      </c>
      <c r="D317" s="7" t="s">
        <v>203</v>
      </c>
      <c r="E317" s="7" t="s">
        <v>135</v>
      </c>
      <c r="F317" s="7" t="s">
        <v>136</v>
      </c>
      <c r="G317" s="7" t="s">
        <v>292</v>
      </c>
      <c r="I317" s="7" t="s">
        <v>136</v>
      </c>
      <c r="J317" s="7" t="s">
        <v>960</v>
      </c>
      <c r="K317" s="7" t="s">
        <v>139</v>
      </c>
      <c r="L317" s="7" t="s">
        <v>146</v>
      </c>
    </row>
    <row r="318">
      <c r="A318" s="7">
        <v>8.0</v>
      </c>
      <c r="B318" s="7" t="s">
        <v>6</v>
      </c>
      <c r="C318" s="7" t="s">
        <v>315</v>
      </c>
      <c r="D318" s="7" t="s">
        <v>164</v>
      </c>
      <c r="E318" s="7" t="s">
        <v>135</v>
      </c>
      <c r="F318" s="7" t="s">
        <v>136</v>
      </c>
      <c r="G318" s="7" t="s">
        <v>226</v>
      </c>
      <c r="I318" s="7" t="s">
        <v>136</v>
      </c>
      <c r="J318" s="7" t="s">
        <v>333</v>
      </c>
      <c r="K318" s="7" t="s">
        <v>139</v>
      </c>
      <c r="L318" s="7" t="s">
        <v>146</v>
      </c>
    </row>
    <row r="319">
      <c r="A319" s="7">
        <v>28.0</v>
      </c>
      <c r="B319" s="7" t="s">
        <v>7</v>
      </c>
      <c r="C319" s="7" t="s">
        <v>515</v>
      </c>
      <c r="D319" s="7" t="s">
        <v>193</v>
      </c>
      <c r="E319" s="7" t="s">
        <v>135</v>
      </c>
      <c r="F319" s="7" t="s">
        <v>136</v>
      </c>
      <c r="G319" s="7" t="s">
        <v>185</v>
      </c>
      <c r="H319" s="7" t="s">
        <v>961</v>
      </c>
      <c r="I319" s="7" t="s">
        <v>136</v>
      </c>
      <c r="J319" s="7" t="s">
        <v>962</v>
      </c>
      <c r="K319" s="7" t="s">
        <v>139</v>
      </c>
      <c r="L319" s="7" t="s">
        <v>146</v>
      </c>
    </row>
    <row r="320">
      <c r="A320" s="7">
        <v>183.0</v>
      </c>
      <c r="B320" s="7" t="s">
        <v>7</v>
      </c>
      <c r="C320" s="7" t="s">
        <v>641</v>
      </c>
      <c r="D320" s="7" t="s">
        <v>218</v>
      </c>
      <c r="E320" s="7" t="s">
        <v>135</v>
      </c>
      <c r="F320" s="7" t="s">
        <v>136</v>
      </c>
      <c r="G320" s="7" t="s">
        <v>150</v>
      </c>
      <c r="H320" s="7" t="s">
        <v>963</v>
      </c>
      <c r="I320" s="7" t="s">
        <v>136</v>
      </c>
      <c r="J320" s="7" t="s">
        <v>964</v>
      </c>
      <c r="K320" s="7" t="s">
        <v>139</v>
      </c>
      <c r="L320" s="7" t="s">
        <v>146</v>
      </c>
    </row>
    <row r="321">
      <c r="A321" s="7">
        <v>194.0</v>
      </c>
      <c r="B321" s="7" t="s">
        <v>6</v>
      </c>
      <c r="C321" s="7" t="s">
        <v>965</v>
      </c>
      <c r="D321" s="7" t="s">
        <v>243</v>
      </c>
      <c r="E321" s="7" t="s">
        <v>135</v>
      </c>
      <c r="F321" s="7" t="s">
        <v>135</v>
      </c>
      <c r="G321" s="7" t="s">
        <v>157</v>
      </c>
      <c r="I321" s="7" t="s">
        <v>136</v>
      </c>
      <c r="J321" s="7" t="s">
        <v>966</v>
      </c>
      <c r="K321" s="7" t="s">
        <v>139</v>
      </c>
      <c r="L321" s="7" t="s">
        <v>146</v>
      </c>
    </row>
    <row r="322">
      <c r="A322" s="7">
        <v>239.0</v>
      </c>
      <c r="B322" s="7" t="s">
        <v>7</v>
      </c>
      <c r="C322" s="7" t="s">
        <v>967</v>
      </c>
      <c r="D322" s="7" t="s">
        <v>229</v>
      </c>
      <c r="E322" s="7" t="s">
        <v>136</v>
      </c>
      <c r="F322" s="7" t="s">
        <v>136</v>
      </c>
      <c r="G322" s="7" t="s">
        <v>157</v>
      </c>
      <c r="I322" s="7" t="s">
        <v>136</v>
      </c>
      <c r="J322" s="7" t="s">
        <v>968</v>
      </c>
      <c r="K322" s="7" t="s">
        <v>139</v>
      </c>
      <c r="L322" s="7" t="s">
        <v>146</v>
      </c>
    </row>
    <row r="323">
      <c r="A323" s="7">
        <v>82.0</v>
      </c>
      <c r="B323" s="7" t="s">
        <v>7</v>
      </c>
      <c r="C323" s="7" t="s">
        <v>515</v>
      </c>
      <c r="D323" s="7" t="s">
        <v>193</v>
      </c>
      <c r="E323" s="7" t="s">
        <v>135</v>
      </c>
      <c r="F323" s="7" t="s">
        <v>136</v>
      </c>
      <c r="G323" s="7" t="s">
        <v>349</v>
      </c>
      <c r="I323" s="7" t="s">
        <v>136</v>
      </c>
      <c r="J323" s="7" t="s">
        <v>754</v>
      </c>
      <c r="K323" s="7" t="s">
        <v>139</v>
      </c>
      <c r="L323" s="7" t="s">
        <v>146</v>
      </c>
    </row>
    <row r="324">
      <c r="A324" s="7">
        <v>5.0</v>
      </c>
      <c r="B324" s="7" t="s">
        <v>6</v>
      </c>
      <c r="C324" s="7" t="s">
        <v>329</v>
      </c>
      <c r="D324" s="7" t="s">
        <v>213</v>
      </c>
      <c r="E324" s="7" t="s">
        <v>135</v>
      </c>
      <c r="F324" s="7" t="s">
        <v>136</v>
      </c>
      <c r="G324" s="7" t="s">
        <v>969</v>
      </c>
      <c r="H324" s="7" t="s">
        <v>970</v>
      </c>
      <c r="I324" s="7" t="s">
        <v>136</v>
      </c>
      <c r="J324" s="7" t="s">
        <v>169</v>
      </c>
      <c r="K324" s="7" t="s">
        <v>139</v>
      </c>
      <c r="L324" s="7" t="s">
        <v>146</v>
      </c>
    </row>
    <row r="325">
      <c r="A325" s="7">
        <v>13.0</v>
      </c>
      <c r="B325" s="7" t="s">
        <v>7</v>
      </c>
      <c r="C325" s="7" t="s">
        <v>971</v>
      </c>
      <c r="D325" s="7" t="s">
        <v>143</v>
      </c>
      <c r="E325" s="7" t="s">
        <v>135</v>
      </c>
      <c r="F325" s="7" t="s">
        <v>136</v>
      </c>
      <c r="G325" s="142" t="s">
        <v>349</v>
      </c>
      <c r="I325" s="7" t="s">
        <v>135</v>
      </c>
      <c r="J325" s="7" t="s">
        <v>972</v>
      </c>
      <c r="K325" s="7" t="s">
        <v>139</v>
      </c>
      <c r="L325" s="15" t="s">
        <v>49</v>
      </c>
    </row>
    <row r="326">
      <c r="A326" s="7">
        <v>55.0</v>
      </c>
      <c r="B326" s="7" t="s">
        <v>7</v>
      </c>
      <c r="C326" s="7" t="s">
        <v>973</v>
      </c>
      <c r="D326" s="7" t="s">
        <v>164</v>
      </c>
      <c r="E326" s="7" t="s">
        <v>135</v>
      </c>
      <c r="F326" s="7" t="s">
        <v>136</v>
      </c>
      <c r="G326" s="142" t="s">
        <v>137</v>
      </c>
      <c r="I326" s="7" t="s">
        <v>136</v>
      </c>
      <c r="J326" s="7" t="s">
        <v>974</v>
      </c>
      <c r="K326" s="7" t="s">
        <v>139</v>
      </c>
      <c r="L326" s="15" t="s">
        <v>49</v>
      </c>
    </row>
    <row r="327">
      <c r="A327" s="7">
        <v>52.0</v>
      </c>
      <c r="B327" s="7" t="s">
        <v>6</v>
      </c>
      <c r="C327" s="7" t="s">
        <v>975</v>
      </c>
      <c r="D327" s="7" t="s">
        <v>369</v>
      </c>
      <c r="E327" s="7" t="s">
        <v>135</v>
      </c>
      <c r="F327" s="7" t="s">
        <v>136</v>
      </c>
      <c r="G327" s="7" t="s">
        <v>180</v>
      </c>
      <c r="I327" s="7" t="s">
        <v>136</v>
      </c>
      <c r="J327" s="7" t="s">
        <v>976</v>
      </c>
      <c r="K327" s="7" t="s">
        <v>139</v>
      </c>
      <c r="L327" s="15" t="s">
        <v>49</v>
      </c>
    </row>
    <row r="328">
      <c r="A328" s="7">
        <v>19.0</v>
      </c>
      <c r="B328" s="7" t="s">
        <v>7</v>
      </c>
      <c r="C328" s="7" t="s">
        <v>977</v>
      </c>
      <c r="D328" s="7" t="s">
        <v>143</v>
      </c>
      <c r="E328" s="7" t="s">
        <v>135</v>
      </c>
      <c r="F328" s="7" t="s">
        <v>136</v>
      </c>
      <c r="G328" s="7" t="s">
        <v>180</v>
      </c>
      <c r="I328" s="7" t="s">
        <v>135</v>
      </c>
      <c r="J328" s="7" t="s">
        <v>978</v>
      </c>
      <c r="K328" s="7" t="s">
        <v>139</v>
      </c>
      <c r="L328" s="15" t="s">
        <v>49</v>
      </c>
    </row>
    <row r="329">
      <c r="A329" s="7">
        <v>56.0</v>
      </c>
      <c r="B329" s="7" t="s">
        <v>6</v>
      </c>
      <c r="C329" s="7" t="s">
        <v>979</v>
      </c>
      <c r="D329" s="7" t="s">
        <v>134</v>
      </c>
      <c r="E329" s="7" t="s">
        <v>135</v>
      </c>
      <c r="F329" s="7" t="s">
        <v>136</v>
      </c>
      <c r="G329" s="142" t="s">
        <v>980</v>
      </c>
      <c r="H329" s="7" t="s">
        <v>981</v>
      </c>
      <c r="I329" s="7" t="s">
        <v>136</v>
      </c>
      <c r="J329" s="7" t="s">
        <v>982</v>
      </c>
      <c r="K329" s="7" t="s">
        <v>139</v>
      </c>
      <c r="L329" s="15" t="s">
        <v>49</v>
      </c>
    </row>
    <row r="330">
      <c r="A330" s="7">
        <v>11.0</v>
      </c>
      <c r="B330" s="7" t="s">
        <v>7</v>
      </c>
      <c r="C330" s="7" t="s">
        <v>983</v>
      </c>
      <c r="D330" s="7" t="s">
        <v>369</v>
      </c>
      <c r="E330" s="7" t="s">
        <v>135</v>
      </c>
      <c r="F330" s="7" t="s">
        <v>135</v>
      </c>
      <c r="G330" s="7" t="s">
        <v>613</v>
      </c>
      <c r="I330" s="7" t="s">
        <v>135</v>
      </c>
      <c r="J330" s="7" t="s">
        <v>984</v>
      </c>
      <c r="K330" s="7" t="s">
        <v>139</v>
      </c>
      <c r="L330" s="15" t="s">
        <v>49</v>
      </c>
    </row>
    <row r="331">
      <c r="A331" s="7">
        <v>15.0</v>
      </c>
      <c r="B331" s="7" t="s">
        <v>7</v>
      </c>
      <c r="C331" s="7" t="s">
        <v>808</v>
      </c>
      <c r="D331" s="7" t="s">
        <v>153</v>
      </c>
      <c r="E331" s="7" t="s">
        <v>136</v>
      </c>
      <c r="F331" s="7" t="s">
        <v>136</v>
      </c>
      <c r="G331" s="7" t="s">
        <v>137</v>
      </c>
      <c r="I331" s="7" t="s">
        <v>135</v>
      </c>
      <c r="J331" s="7" t="s">
        <v>985</v>
      </c>
      <c r="K331" s="7" t="s">
        <v>139</v>
      </c>
      <c r="L331" s="15" t="s">
        <v>49</v>
      </c>
    </row>
    <row r="332">
      <c r="A332" s="7">
        <v>20.0</v>
      </c>
      <c r="B332" s="7" t="s">
        <v>7</v>
      </c>
      <c r="C332" s="7" t="s">
        <v>338</v>
      </c>
      <c r="D332" s="7" t="s">
        <v>143</v>
      </c>
      <c r="E332" s="7" t="s">
        <v>135</v>
      </c>
      <c r="F332" s="7" t="s">
        <v>136</v>
      </c>
      <c r="G332" s="7" t="s">
        <v>180</v>
      </c>
      <c r="I332" s="7" t="s">
        <v>136</v>
      </c>
      <c r="J332" s="7" t="s">
        <v>986</v>
      </c>
      <c r="K332" s="7" t="s">
        <v>139</v>
      </c>
      <c r="L332" s="15" t="s">
        <v>49</v>
      </c>
    </row>
    <row r="333">
      <c r="A333" s="7">
        <v>3.0</v>
      </c>
      <c r="B333" s="7" t="s">
        <v>6</v>
      </c>
      <c r="C333" s="7" t="s">
        <v>987</v>
      </c>
      <c r="D333" s="7" t="s">
        <v>213</v>
      </c>
      <c r="E333" s="7" t="s">
        <v>135</v>
      </c>
      <c r="F333" s="7" t="s">
        <v>136</v>
      </c>
      <c r="G333" s="142" t="s">
        <v>988</v>
      </c>
      <c r="I333" s="7" t="s">
        <v>136</v>
      </c>
      <c r="J333" s="7" t="s">
        <v>989</v>
      </c>
      <c r="K333" s="7" t="s">
        <v>139</v>
      </c>
      <c r="L333" s="15" t="s">
        <v>49</v>
      </c>
    </row>
    <row r="334">
      <c r="A334" s="7">
        <v>1.0</v>
      </c>
      <c r="B334" s="7" t="s">
        <v>7</v>
      </c>
      <c r="C334" s="7" t="s">
        <v>195</v>
      </c>
      <c r="D334" s="7" t="s">
        <v>164</v>
      </c>
      <c r="E334" s="7" t="s">
        <v>136</v>
      </c>
      <c r="F334" s="7" t="s">
        <v>136</v>
      </c>
      <c r="G334" s="7" t="s">
        <v>174</v>
      </c>
      <c r="I334" s="7" t="s">
        <v>136</v>
      </c>
      <c r="J334" s="7" t="s">
        <v>990</v>
      </c>
      <c r="K334" s="7" t="s">
        <v>139</v>
      </c>
      <c r="L334" s="15" t="s">
        <v>49</v>
      </c>
    </row>
    <row r="335">
      <c r="A335" s="7">
        <v>45.0</v>
      </c>
      <c r="B335" s="7" t="s">
        <v>6</v>
      </c>
      <c r="C335" s="7" t="s">
        <v>991</v>
      </c>
      <c r="D335" s="7" t="s">
        <v>369</v>
      </c>
      <c r="E335" s="7" t="s">
        <v>135</v>
      </c>
      <c r="F335" s="7" t="s">
        <v>135</v>
      </c>
      <c r="G335" s="7" t="s">
        <v>191</v>
      </c>
      <c r="I335" s="7" t="s">
        <v>136</v>
      </c>
      <c r="J335" s="7" t="s">
        <v>992</v>
      </c>
      <c r="K335" s="7" t="s">
        <v>139</v>
      </c>
      <c r="L335" s="15" t="s">
        <v>49</v>
      </c>
    </row>
    <row r="336">
      <c r="A336" s="7">
        <v>39.0</v>
      </c>
      <c r="B336" s="7" t="s">
        <v>6</v>
      </c>
      <c r="C336" s="7" t="s">
        <v>993</v>
      </c>
      <c r="D336" s="7" t="s">
        <v>143</v>
      </c>
      <c r="E336" s="7" t="s">
        <v>135</v>
      </c>
      <c r="F336" s="7" t="s">
        <v>136</v>
      </c>
      <c r="G336" s="7" t="s">
        <v>137</v>
      </c>
      <c r="H336" s="7" t="s">
        <v>994</v>
      </c>
      <c r="I336" s="7" t="s">
        <v>136</v>
      </c>
      <c r="J336" s="7" t="s">
        <v>995</v>
      </c>
      <c r="K336" s="7" t="s">
        <v>139</v>
      </c>
      <c r="L336" s="15" t="s">
        <v>49</v>
      </c>
    </row>
    <row r="337">
      <c r="A337" s="7">
        <v>7.0</v>
      </c>
      <c r="B337" s="7" t="s">
        <v>6</v>
      </c>
      <c r="C337" s="7" t="s">
        <v>996</v>
      </c>
      <c r="D337" s="7" t="s">
        <v>285</v>
      </c>
      <c r="E337" s="7" t="s">
        <v>135</v>
      </c>
      <c r="F337" s="7" t="s">
        <v>136</v>
      </c>
      <c r="G337" s="7" t="s">
        <v>594</v>
      </c>
      <c r="I337" s="7" t="s">
        <v>136</v>
      </c>
      <c r="J337" s="7" t="s">
        <v>997</v>
      </c>
      <c r="K337" s="7" t="s">
        <v>139</v>
      </c>
      <c r="L337" s="15" t="s">
        <v>49</v>
      </c>
    </row>
    <row r="338">
      <c r="A338" s="7">
        <v>22.0</v>
      </c>
      <c r="B338" s="7" t="s">
        <v>7</v>
      </c>
      <c r="C338" s="7" t="s">
        <v>998</v>
      </c>
      <c r="D338" s="7" t="s">
        <v>202</v>
      </c>
      <c r="E338" s="7" t="s">
        <v>136</v>
      </c>
      <c r="F338" s="7" t="s">
        <v>136</v>
      </c>
      <c r="G338" s="7" t="s">
        <v>137</v>
      </c>
      <c r="I338" s="7" t="s">
        <v>135</v>
      </c>
      <c r="J338" s="7" t="s">
        <v>999</v>
      </c>
      <c r="K338" s="7" t="s">
        <v>139</v>
      </c>
      <c r="L338" s="15" t="s">
        <v>49</v>
      </c>
    </row>
    <row r="339">
      <c r="A339" s="7">
        <v>60.0</v>
      </c>
      <c r="B339" s="7" t="s">
        <v>6</v>
      </c>
      <c r="C339" s="7" t="s">
        <v>1000</v>
      </c>
      <c r="D339" s="7" t="s">
        <v>202</v>
      </c>
      <c r="E339" s="7" t="s">
        <v>135</v>
      </c>
      <c r="F339" s="7" t="s">
        <v>136</v>
      </c>
      <c r="G339" s="7" t="s">
        <v>1001</v>
      </c>
      <c r="I339" s="7" t="s">
        <v>135</v>
      </c>
      <c r="J339" s="7" t="s">
        <v>1002</v>
      </c>
      <c r="K339" s="7" t="s">
        <v>139</v>
      </c>
      <c r="L339" s="15" t="s">
        <v>49</v>
      </c>
    </row>
    <row r="340">
      <c r="A340" s="7">
        <v>66.0</v>
      </c>
      <c r="B340" s="7" t="s">
        <v>6</v>
      </c>
      <c r="C340" s="7" t="s">
        <v>1003</v>
      </c>
      <c r="D340" s="7" t="s">
        <v>202</v>
      </c>
      <c r="E340" s="7" t="s">
        <v>135</v>
      </c>
      <c r="F340" s="7" t="s">
        <v>135</v>
      </c>
      <c r="G340" s="7" t="s">
        <v>363</v>
      </c>
      <c r="H340" s="7" t="s">
        <v>1004</v>
      </c>
      <c r="I340" s="7" t="s">
        <v>136</v>
      </c>
      <c r="J340" s="7" t="s">
        <v>1005</v>
      </c>
      <c r="K340" s="7" t="s">
        <v>139</v>
      </c>
      <c r="L340" s="15" t="s">
        <v>49</v>
      </c>
    </row>
    <row r="341">
      <c r="A341" s="7">
        <v>25.0</v>
      </c>
      <c r="B341" s="7" t="s">
        <v>8</v>
      </c>
      <c r="C341" s="7" t="s">
        <v>315</v>
      </c>
      <c r="D341" s="7" t="s">
        <v>164</v>
      </c>
      <c r="E341" s="7" t="s">
        <v>135</v>
      </c>
      <c r="F341" s="7" t="s">
        <v>136</v>
      </c>
      <c r="G341" s="7" t="s">
        <v>271</v>
      </c>
      <c r="I341" s="7" t="s">
        <v>136</v>
      </c>
      <c r="J341" s="7" t="s">
        <v>1006</v>
      </c>
      <c r="K341" s="7" t="s">
        <v>139</v>
      </c>
      <c r="L341" s="15" t="s">
        <v>49</v>
      </c>
    </row>
    <row r="342">
      <c r="A342" s="7">
        <v>32.0</v>
      </c>
      <c r="B342" s="7" t="s">
        <v>6</v>
      </c>
      <c r="C342" s="7" t="s">
        <v>1007</v>
      </c>
      <c r="D342" s="7" t="s">
        <v>369</v>
      </c>
      <c r="E342" s="7" t="s">
        <v>135</v>
      </c>
      <c r="F342" s="7" t="s">
        <v>136</v>
      </c>
      <c r="G342" s="7" t="s">
        <v>1008</v>
      </c>
      <c r="I342" s="7" t="s">
        <v>136</v>
      </c>
      <c r="J342" s="7" t="s">
        <v>1009</v>
      </c>
      <c r="K342" s="7" t="s">
        <v>139</v>
      </c>
      <c r="L342" s="15" t="s">
        <v>49</v>
      </c>
    </row>
    <row r="343">
      <c r="A343" s="7">
        <v>30.0</v>
      </c>
      <c r="B343" s="7" t="s">
        <v>6</v>
      </c>
      <c r="C343" s="7" t="s">
        <v>1010</v>
      </c>
      <c r="D343" s="7" t="s">
        <v>373</v>
      </c>
      <c r="E343" s="7" t="s">
        <v>135</v>
      </c>
      <c r="F343" s="7" t="s">
        <v>136</v>
      </c>
      <c r="G343" s="7" t="s">
        <v>1011</v>
      </c>
      <c r="H343" s="142" t="s">
        <v>1012</v>
      </c>
      <c r="I343" s="7" t="s">
        <v>136</v>
      </c>
      <c r="J343" s="7" t="s">
        <v>1013</v>
      </c>
      <c r="K343" s="7" t="s">
        <v>139</v>
      </c>
      <c r="L343" s="15" t="s">
        <v>49</v>
      </c>
    </row>
    <row r="344">
      <c r="A344" s="7">
        <v>64.0</v>
      </c>
      <c r="B344" s="7" t="s">
        <v>8</v>
      </c>
      <c r="C344" s="7" t="s">
        <v>1014</v>
      </c>
      <c r="D344" s="7" t="s">
        <v>202</v>
      </c>
      <c r="E344" s="7" t="s">
        <v>135</v>
      </c>
      <c r="F344" s="7" t="s">
        <v>136</v>
      </c>
      <c r="G344" s="7" t="s">
        <v>349</v>
      </c>
      <c r="I344" s="7" t="s">
        <v>135</v>
      </c>
      <c r="J344" s="7" t="s">
        <v>1015</v>
      </c>
      <c r="K344" s="7" t="s">
        <v>139</v>
      </c>
      <c r="L344" s="15" t="s">
        <v>49</v>
      </c>
    </row>
    <row r="345">
      <c r="A345" s="7">
        <v>46.0</v>
      </c>
      <c r="B345" s="7" t="s">
        <v>7</v>
      </c>
      <c r="C345" s="7" t="s">
        <v>1016</v>
      </c>
      <c r="D345" s="7" t="s">
        <v>369</v>
      </c>
      <c r="E345" s="7" t="s">
        <v>135</v>
      </c>
      <c r="F345" s="7" t="s">
        <v>136</v>
      </c>
      <c r="G345" s="7" t="s">
        <v>349</v>
      </c>
      <c r="I345" s="7" t="s">
        <v>135</v>
      </c>
      <c r="J345" s="7" t="s">
        <v>1017</v>
      </c>
      <c r="K345" s="7" t="s">
        <v>139</v>
      </c>
      <c r="L345" s="15" t="s">
        <v>49</v>
      </c>
    </row>
    <row r="346">
      <c r="A346" s="7">
        <v>54.0</v>
      </c>
      <c r="B346" s="7" t="s">
        <v>6</v>
      </c>
      <c r="C346" s="7" t="s">
        <v>1018</v>
      </c>
      <c r="D346" s="7" t="s">
        <v>369</v>
      </c>
      <c r="E346" s="7" t="s">
        <v>135</v>
      </c>
      <c r="F346" s="7" t="s">
        <v>136</v>
      </c>
      <c r="G346" s="7" t="s">
        <v>168</v>
      </c>
      <c r="I346" s="7" t="s">
        <v>136</v>
      </c>
      <c r="J346" s="7" t="s">
        <v>1019</v>
      </c>
      <c r="K346" s="7" t="s">
        <v>139</v>
      </c>
      <c r="L346" s="15" t="s">
        <v>49</v>
      </c>
    </row>
    <row r="347">
      <c r="A347" s="7">
        <v>28.0</v>
      </c>
      <c r="B347" s="7" t="s">
        <v>7</v>
      </c>
      <c r="C347" s="7" t="s">
        <v>1020</v>
      </c>
      <c r="D347" s="7" t="s">
        <v>373</v>
      </c>
      <c r="E347" s="7" t="s">
        <v>135</v>
      </c>
      <c r="F347" s="7" t="s">
        <v>136</v>
      </c>
      <c r="G347" s="7" t="s">
        <v>1021</v>
      </c>
      <c r="I347" s="7" t="s">
        <v>136</v>
      </c>
      <c r="J347" s="7" t="s">
        <v>1022</v>
      </c>
      <c r="K347" s="7" t="s">
        <v>139</v>
      </c>
      <c r="L347" s="15" t="s">
        <v>49</v>
      </c>
    </row>
    <row r="348">
      <c r="A348" s="7">
        <v>57.0</v>
      </c>
      <c r="B348" s="7" t="s">
        <v>6</v>
      </c>
      <c r="C348" s="7" t="s">
        <v>1023</v>
      </c>
      <c r="D348" s="7" t="s">
        <v>214</v>
      </c>
      <c r="E348" s="7" t="s">
        <v>135</v>
      </c>
      <c r="F348" s="7" t="s">
        <v>136</v>
      </c>
      <c r="G348" s="7" t="s">
        <v>1024</v>
      </c>
      <c r="I348" s="7" t="s">
        <v>136</v>
      </c>
      <c r="J348" s="7" t="s">
        <v>1025</v>
      </c>
      <c r="K348" s="7" t="s">
        <v>139</v>
      </c>
      <c r="L348" s="15" t="s">
        <v>49</v>
      </c>
    </row>
    <row r="349">
      <c r="A349" s="7">
        <v>59.0</v>
      </c>
      <c r="B349" s="7" t="s">
        <v>6</v>
      </c>
      <c r="C349" s="7" t="s">
        <v>1026</v>
      </c>
      <c r="D349" s="7" t="s">
        <v>284</v>
      </c>
      <c r="E349" s="7" t="s">
        <v>136</v>
      </c>
      <c r="F349" s="7" t="s">
        <v>136</v>
      </c>
      <c r="G349" s="7" t="s">
        <v>1027</v>
      </c>
      <c r="H349" s="7" t="s">
        <v>1028</v>
      </c>
      <c r="I349" s="7" t="s">
        <v>136</v>
      </c>
      <c r="J349" s="7" t="s">
        <v>1029</v>
      </c>
      <c r="K349" s="7" t="s">
        <v>139</v>
      </c>
      <c r="L349" s="15" t="s">
        <v>49</v>
      </c>
    </row>
    <row r="350">
      <c r="A350" s="7">
        <v>48.0</v>
      </c>
      <c r="B350" s="7" t="s">
        <v>7</v>
      </c>
      <c r="C350" s="7" t="s">
        <v>975</v>
      </c>
      <c r="D350" s="7" t="s">
        <v>369</v>
      </c>
      <c r="E350" s="7" t="s">
        <v>136</v>
      </c>
      <c r="F350" s="7" t="s">
        <v>135</v>
      </c>
      <c r="G350" s="7" t="s">
        <v>349</v>
      </c>
      <c r="I350" s="7" t="s">
        <v>135</v>
      </c>
      <c r="J350" s="7" t="s">
        <v>1030</v>
      </c>
      <c r="K350" s="7" t="s">
        <v>139</v>
      </c>
      <c r="L350" s="15" t="s">
        <v>49</v>
      </c>
    </row>
    <row r="351">
      <c r="A351" s="7">
        <v>50.0</v>
      </c>
      <c r="B351" s="7" t="s">
        <v>6</v>
      </c>
      <c r="C351" s="7" t="s">
        <v>1031</v>
      </c>
      <c r="D351" s="7" t="s">
        <v>202</v>
      </c>
      <c r="E351" s="7" t="s">
        <v>136</v>
      </c>
      <c r="F351" s="7" t="s">
        <v>136</v>
      </c>
      <c r="G351" s="7" t="s">
        <v>349</v>
      </c>
      <c r="I351" s="7" t="s">
        <v>136</v>
      </c>
      <c r="J351" s="7" t="s">
        <v>1032</v>
      </c>
      <c r="K351" s="7" t="s">
        <v>139</v>
      </c>
      <c r="L351" s="15" t="s">
        <v>49</v>
      </c>
    </row>
    <row r="352">
      <c r="A352" s="7">
        <v>21.0</v>
      </c>
      <c r="B352" s="7" t="s">
        <v>6</v>
      </c>
      <c r="C352" s="7" t="s">
        <v>1033</v>
      </c>
      <c r="D352" s="7" t="s">
        <v>143</v>
      </c>
      <c r="E352" s="7" t="s">
        <v>135</v>
      </c>
      <c r="F352" s="7" t="s">
        <v>136</v>
      </c>
      <c r="G352" s="7" t="s">
        <v>349</v>
      </c>
      <c r="I352" s="7" t="s">
        <v>136</v>
      </c>
      <c r="J352" s="7" t="s">
        <v>986</v>
      </c>
      <c r="K352" s="7" t="s">
        <v>139</v>
      </c>
      <c r="L352" s="15" t="s">
        <v>49</v>
      </c>
    </row>
    <row r="353">
      <c r="A353" s="7">
        <v>62.0</v>
      </c>
      <c r="B353" s="7" t="s">
        <v>6</v>
      </c>
      <c r="C353" s="7" t="s">
        <v>1034</v>
      </c>
      <c r="D353" s="7" t="s">
        <v>202</v>
      </c>
      <c r="E353" s="7" t="s">
        <v>135</v>
      </c>
      <c r="F353" s="7" t="s">
        <v>136</v>
      </c>
      <c r="G353" s="7" t="s">
        <v>349</v>
      </c>
      <c r="I353" s="7" t="s">
        <v>135</v>
      </c>
      <c r="J353" s="7" t="s">
        <v>1035</v>
      </c>
      <c r="K353" s="7" t="s">
        <v>139</v>
      </c>
      <c r="L353" s="15" t="s">
        <v>49</v>
      </c>
    </row>
    <row r="354">
      <c r="A354" s="7">
        <v>33.0</v>
      </c>
      <c r="B354" s="7" t="s">
        <v>7</v>
      </c>
      <c r="C354" s="7" t="s">
        <v>1026</v>
      </c>
      <c r="D354" s="7" t="s">
        <v>284</v>
      </c>
      <c r="E354" s="7" t="s">
        <v>135</v>
      </c>
      <c r="F354" s="7" t="s">
        <v>136</v>
      </c>
      <c r="G354" s="7" t="s">
        <v>349</v>
      </c>
      <c r="I354" s="7" t="s">
        <v>136</v>
      </c>
      <c r="J354" s="7" t="s">
        <v>1036</v>
      </c>
      <c r="K354" s="7" t="s">
        <v>139</v>
      </c>
      <c r="L354" s="15" t="s">
        <v>49</v>
      </c>
    </row>
    <row r="355">
      <c r="A355" s="7">
        <v>24.0</v>
      </c>
      <c r="B355" s="7" t="s">
        <v>7</v>
      </c>
      <c r="C355" s="7" t="s">
        <v>1037</v>
      </c>
      <c r="D355" s="7" t="s">
        <v>202</v>
      </c>
      <c r="E355" s="7" t="s">
        <v>136</v>
      </c>
      <c r="F355" s="7" t="s">
        <v>136</v>
      </c>
      <c r="G355" s="7" t="s">
        <v>1038</v>
      </c>
      <c r="H355" s="7" t="s">
        <v>1039</v>
      </c>
      <c r="I355" s="7" t="s">
        <v>136</v>
      </c>
      <c r="J355" s="7" t="s">
        <v>1040</v>
      </c>
      <c r="K355" s="7" t="s">
        <v>139</v>
      </c>
      <c r="L355" s="15" t="s">
        <v>49</v>
      </c>
    </row>
    <row r="356">
      <c r="A356" s="7">
        <v>14.0</v>
      </c>
      <c r="B356" s="7" t="s">
        <v>7</v>
      </c>
      <c r="C356" s="7" t="s">
        <v>1041</v>
      </c>
      <c r="D356" s="7" t="s">
        <v>318</v>
      </c>
      <c r="E356" s="7" t="s">
        <v>135</v>
      </c>
      <c r="F356" s="7" t="s">
        <v>136</v>
      </c>
      <c r="G356" s="7" t="s">
        <v>1042</v>
      </c>
      <c r="I356" s="7" t="s">
        <v>136</v>
      </c>
      <c r="J356" s="7" t="s">
        <v>1043</v>
      </c>
      <c r="K356" s="7" t="s">
        <v>139</v>
      </c>
      <c r="L356" s="15" t="s">
        <v>49</v>
      </c>
    </row>
    <row r="357">
      <c r="A357" s="7">
        <v>38.0</v>
      </c>
      <c r="B357" s="7" t="s">
        <v>6</v>
      </c>
      <c r="C357" s="7" t="s">
        <v>1044</v>
      </c>
      <c r="D357" s="7" t="s">
        <v>243</v>
      </c>
      <c r="E357" s="7" t="s">
        <v>136</v>
      </c>
      <c r="F357" s="7" t="s">
        <v>136</v>
      </c>
      <c r="G357" s="7" t="s">
        <v>606</v>
      </c>
      <c r="I357" s="7" t="s">
        <v>136</v>
      </c>
      <c r="J357" s="7" t="s">
        <v>1045</v>
      </c>
      <c r="K357" s="7" t="s">
        <v>139</v>
      </c>
      <c r="L357" s="15" t="s">
        <v>49</v>
      </c>
    </row>
    <row r="358">
      <c r="A358" s="7">
        <v>10.0</v>
      </c>
      <c r="B358" s="7" t="s">
        <v>7</v>
      </c>
      <c r="C358" s="7" t="s">
        <v>1046</v>
      </c>
      <c r="D358" s="7" t="s">
        <v>243</v>
      </c>
      <c r="E358" s="7" t="s">
        <v>135</v>
      </c>
      <c r="F358" s="7" t="s">
        <v>135</v>
      </c>
      <c r="G358" s="7" t="s">
        <v>606</v>
      </c>
      <c r="I358" s="7" t="s">
        <v>136</v>
      </c>
      <c r="J358" s="7" t="s">
        <v>1047</v>
      </c>
      <c r="K358" s="7" t="s">
        <v>139</v>
      </c>
      <c r="L358" s="15" t="s">
        <v>49</v>
      </c>
    </row>
    <row r="359">
      <c r="A359" s="7">
        <v>12.0</v>
      </c>
      <c r="B359" s="7" t="s">
        <v>6</v>
      </c>
      <c r="C359" s="7" t="s">
        <v>1048</v>
      </c>
      <c r="D359" s="7" t="s">
        <v>369</v>
      </c>
      <c r="E359" s="7" t="s">
        <v>136</v>
      </c>
      <c r="F359" s="7" t="s">
        <v>135</v>
      </c>
      <c r="G359" s="7" t="s">
        <v>363</v>
      </c>
      <c r="I359" s="7" t="s">
        <v>136</v>
      </c>
      <c r="J359" s="7" t="s">
        <v>1049</v>
      </c>
      <c r="K359" s="7" t="s">
        <v>139</v>
      </c>
      <c r="L359" s="15" t="s">
        <v>49</v>
      </c>
    </row>
    <row r="360">
      <c r="A360" s="7">
        <v>6.0</v>
      </c>
      <c r="B360" s="7" t="s">
        <v>6</v>
      </c>
      <c r="C360" s="7" t="s">
        <v>791</v>
      </c>
      <c r="D360" s="7" t="s">
        <v>285</v>
      </c>
      <c r="E360" s="7" t="s">
        <v>136</v>
      </c>
      <c r="F360" s="7" t="s">
        <v>136</v>
      </c>
      <c r="G360" s="7" t="s">
        <v>367</v>
      </c>
      <c r="I360" s="7" t="s">
        <v>135</v>
      </c>
      <c r="J360" s="7" t="s">
        <v>1050</v>
      </c>
      <c r="K360" s="7" t="s">
        <v>139</v>
      </c>
      <c r="L360" s="15" t="s">
        <v>49</v>
      </c>
    </row>
    <row r="361">
      <c r="A361" s="7">
        <v>58.0</v>
      </c>
      <c r="B361" s="7" t="s">
        <v>6</v>
      </c>
      <c r="C361" s="7" t="s">
        <v>1051</v>
      </c>
      <c r="D361" s="7" t="s">
        <v>214</v>
      </c>
      <c r="E361" s="7" t="s">
        <v>135</v>
      </c>
      <c r="F361" s="7" t="s">
        <v>136</v>
      </c>
      <c r="G361" s="142" t="s">
        <v>1052</v>
      </c>
      <c r="H361" s="142" t="s">
        <v>1053</v>
      </c>
      <c r="I361" s="7" t="s">
        <v>136</v>
      </c>
      <c r="J361" s="7" t="s">
        <v>1054</v>
      </c>
      <c r="K361" s="7" t="s">
        <v>139</v>
      </c>
      <c r="L361" s="15" t="s">
        <v>49</v>
      </c>
    </row>
    <row r="362">
      <c r="A362" s="7">
        <v>18.0</v>
      </c>
      <c r="B362" s="7" t="s">
        <v>6</v>
      </c>
      <c r="C362" s="7" t="s">
        <v>1055</v>
      </c>
      <c r="D362" s="7" t="s">
        <v>369</v>
      </c>
      <c r="E362" s="7" t="s">
        <v>136</v>
      </c>
      <c r="F362" s="7" t="s">
        <v>136</v>
      </c>
      <c r="G362" s="7" t="s">
        <v>349</v>
      </c>
      <c r="I362" s="7" t="s">
        <v>135</v>
      </c>
      <c r="J362" s="7" t="s">
        <v>1056</v>
      </c>
      <c r="K362" s="7" t="s">
        <v>139</v>
      </c>
      <c r="L362" s="15" t="s">
        <v>49</v>
      </c>
    </row>
    <row r="363">
      <c r="A363" s="7">
        <v>2.0</v>
      </c>
      <c r="B363" s="7" t="s">
        <v>7</v>
      </c>
      <c r="C363" s="7" t="s">
        <v>1057</v>
      </c>
      <c r="D363" s="7" t="s">
        <v>331</v>
      </c>
      <c r="E363" s="7" t="s">
        <v>135</v>
      </c>
      <c r="F363" s="7" t="s">
        <v>136</v>
      </c>
      <c r="G363" s="142" t="s">
        <v>1058</v>
      </c>
      <c r="H363" s="7" t="s">
        <v>404</v>
      </c>
      <c r="I363" s="7" t="s">
        <v>136</v>
      </c>
      <c r="J363" s="7" t="s">
        <v>1059</v>
      </c>
      <c r="K363" s="7" t="s">
        <v>139</v>
      </c>
      <c r="L363" s="15" t="s">
        <v>49</v>
      </c>
    </row>
    <row r="364">
      <c r="A364" s="7">
        <v>4.0</v>
      </c>
      <c r="B364" s="7" t="s">
        <v>7</v>
      </c>
      <c r="C364" s="7" t="s">
        <v>315</v>
      </c>
      <c r="D364" s="7" t="s">
        <v>164</v>
      </c>
      <c r="E364" s="7" t="s">
        <v>135</v>
      </c>
      <c r="F364" s="7" t="s">
        <v>136</v>
      </c>
      <c r="G364" s="7" t="s">
        <v>1060</v>
      </c>
      <c r="I364" s="7" t="s">
        <v>136</v>
      </c>
      <c r="J364" s="7" t="s">
        <v>1061</v>
      </c>
      <c r="K364" s="7" t="s">
        <v>139</v>
      </c>
      <c r="L364" s="15" t="s">
        <v>49</v>
      </c>
    </row>
    <row r="365">
      <c r="A365" s="7">
        <v>42.0</v>
      </c>
      <c r="B365" s="7" t="s">
        <v>7</v>
      </c>
      <c r="C365" s="7" t="s">
        <v>211</v>
      </c>
      <c r="D365" s="7" t="s">
        <v>176</v>
      </c>
      <c r="E365" s="7" t="s">
        <v>136</v>
      </c>
      <c r="F365" s="7" t="s">
        <v>136</v>
      </c>
      <c r="G365" s="7" t="s">
        <v>180</v>
      </c>
      <c r="H365" s="7" t="s">
        <v>1062</v>
      </c>
      <c r="I365" s="7" t="s">
        <v>136</v>
      </c>
      <c r="J365" s="7" t="s">
        <v>1063</v>
      </c>
      <c r="K365" s="7" t="s">
        <v>139</v>
      </c>
      <c r="L365" s="15" t="s">
        <v>49</v>
      </c>
    </row>
    <row r="366">
      <c r="A366" s="7">
        <v>43.0</v>
      </c>
      <c r="B366" s="7" t="s">
        <v>6</v>
      </c>
      <c r="C366" s="7" t="s">
        <v>1064</v>
      </c>
      <c r="D366" s="7" t="s">
        <v>176</v>
      </c>
      <c r="E366" s="7" t="s">
        <v>136</v>
      </c>
      <c r="F366" s="7" t="s">
        <v>135</v>
      </c>
      <c r="G366" s="7" t="s">
        <v>137</v>
      </c>
      <c r="I366" s="7" t="s">
        <v>136</v>
      </c>
      <c r="J366" s="7" t="s">
        <v>1065</v>
      </c>
      <c r="K366" s="7" t="s">
        <v>139</v>
      </c>
      <c r="L366" s="15" t="s">
        <v>49</v>
      </c>
    </row>
    <row r="367">
      <c r="A367" s="7">
        <v>16.0</v>
      </c>
      <c r="B367" s="7" t="s">
        <v>6</v>
      </c>
      <c r="C367" s="7" t="s">
        <v>1066</v>
      </c>
      <c r="D367" s="7" t="s">
        <v>202</v>
      </c>
      <c r="E367" s="7" t="s">
        <v>136</v>
      </c>
      <c r="F367" s="7" t="s">
        <v>136</v>
      </c>
      <c r="G367" s="7" t="s">
        <v>1067</v>
      </c>
      <c r="H367" s="7" t="s">
        <v>1068</v>
      </c>
      <c r="I367" s="7" t="s">
        <v>136</v>
      </c>
      <c r="J367" s="7" t="s">
        <v>1069</v>
      </c>
      <c r="K367" s="7" t="s">
        <v>139</v>
      </c>
      <c r="L367" s="15" t="s">
        <v>49</v>
      </c>
    </row>
    <row r="368">
      <c r="A368" s="7">
        <v>47.0</v>
      </c>
      <c r="B368" s="7" t="s">
        <v>7</v>
      </c>
      <c r="C368" s="7" t="s">
        <v>1055</v>
      </c>
      <c r="D368" s="7" t="s">
        <v>369</v>
      </c>
      <c r="E368" s="7" t="s">
        <v>136</v>
      </c>
      <c r="F368" s="7" t="s">
        <v>136</v>
      </c>
      <c r="G368" s="7" t="s">
        <v>349</v>
      </c>
      <c r="I368" s="7" t="s">
        <v>135</v>
      </c>
      <c r="J368" s="7" t="s">
        <v>1070</v>
      </c>
      <c r="K368" s="7" t="s">
        <v>139</v>
      </c>
      <c r="L368" s="15" t="s">
        <v>49</v>
      </c>
    </row>
    <row r="369">
      <c r="A369" s="7">
        <v>40.0</v>
      </c>
      <c r="B369" s="7" t="s">
        <v>6</v>
      </c>
      <c r="C369" s="7" t="s">
        <v>1071</v>
      </c>
      <c r="D369" s="7" t="s">
        <v>369</v>
      </c>
      <c r="E369" s="7" t="s">
        <v>135</v>
      </c>
      <c r="F369" s="7" t="s">
        <v>136</v>
      </c>
      <c r="G369" s="7" t="s">
        <v>613</v>
      </c>
      <c r="I369" s="7" t="s">
        <v>136</v>
      </c>
      <c r="J369" s="7" t="s">
        <v>1072</v>
      </c>
      <c r="K369" s="7" t="s">
        <v>139</v>
      </c>
      <c r="L369" s="15" t="s">
        <v>49</v>
      </c>
    </row>
    <row r="370">
      <c r="A370" s="7">
        <v>36.0</v>
      </c>
      <c r="B370" s="7" t="s">
        <v>6</v>
      </c>
      <c r="C370" s="7" t="s">
        <v>1073</v>
      </c>
      <c r="D370" s="7" t="s">
        <v>369</v>
      </c>
      <c r="E370" s="7" t="s">
        <v>135</v>
      </c>
      <c r="F370" s="7" t="s">
        <v>136</v>
      </c>
      <c r="G370" s="7" t="s">
        <v>650</v>
      </c>
      <c r="I370" s="7" t="s">
        <v>136</v>
      </c>
      <c r="J370" s="7" t="s">
        <v>1074</v>
      </c>
      <c r="K370" s="7" t="s">
        <v>139</v>
      </c>
      <c r="L370" s="15" t="s">
        <v>49</v>
      </c>
    </row>
    <row r="371">
      <c r="A371" s="7">
        <v>34.0</v>
      </c>
      <c r="B371" s="7" t="s">
        <v>6</v>
      </c>
      <c r="C371" s="7" t="s">
        <v>840</v>
      </c>
      <c r="D371" s="7" t="s">
        <v>143</v>
      </c>
      <c r="E371" s="7" t="s">
        <v>135</v>
      </c>
      <c r="F371" s="7" t="s">
        <v>136</v>
      </c>
      <c r="G371" s="7" t="s">
        <v>1075</v>
      </c>
      <c r="H371" s="142" t="s">
        <v>1076</v>
      </c>
      <c r="I371" s="7" t="s">
        <v>136</v>
      </c>
      <c r="J371" s="7" t="s">
        <v>1077</v>
      </c>
      <c r="K371" s="7" t="s">
        <v>139</v>
      </c>
      <c r="L371" s="15" t="s">
        <v>49</v>
      </c>
    </row>
    <row r="372">
      <c r="A372" s="7">
        <v>49.0</v>
      </c>
      <c r="B372" s="7" t="s">
        <v>6</v>
      </c>
      <c r="C372" s="7" t="s">
        <v>1014</v>
      </c>
      <c r="D372" s="7" t="s">
        <v>202</v>
      </c>
      <c r="E372" s="7" t="s">
        <v>135</v>
      </c>
      <c r="F372" s="7" t="s">
        <v>136</v>
      </c>
      <c r="G372" s="7" t="s">
        <v>185</v>
      </c>
      <c r="H372" s="142" t="s">
        <v>1078</v>
      </c>
      <c r="I372" s="7" t="s">
        <v>136</v>
      </c>
      <c r="J372" s="7" t="s">
        <v>1079</v>
      </c>
      <c r="K372" s="7" t="s">
        <v>139</v>
      </c>
      <c r="L372" s="15" t="s">
        <v>49</v>
      </c>
    </row>
    <row r="373">
      <c r="A373" s="7">
        <v>35.0</v>
      </c>
      <c r="B373" s="7" t="s">
        <v>6</v>
      </c>
      <c r="C373" s="7" t="s">
        <v>1080</v>
      </c>
      <c r="D373" s="7" t="s">
        <v>243</v>
      </c>
      <c r="E373" s="7" t="s">
        <v>135</v>
      </c>
      <c r="F373" s="7" t="s">
        <v>136</v>
      </c>
      <c r="G373" s="7" t="s">
        <v>1081</v>
      </c>
      <c r="I373" s="7" t="s">
        <v>136</v>
      </c>
      <c r="J373" s="7" t="s">
        <v>1082</v>
      </c>
      <c r="K373" s="7" t="s">
        <v>139</v>
      </c>
      <c r="L373" s="15" t="s">
        <v>49</v>
      </c>
    </row>
    <row r="374">
      <c r="A374" s="7">
        <v>23.0</v>
      </c>
      <c r="B374" s="7" t="s">
        <v>7</v>
      </c>
      <c r="C374" s="7" t="s">
        <v>1083</v>
      </c>
      <c r="D374" s="7" t="s">
        <v>263</v>
      </c>
      <c r="E374" s="7" t="s">
        <v>135</v>
      </c>
      <c r="F374" s="7" t="s">
        <v>136</v>
      </c>
      <c r="G374" s="7" t="s">
        <v>732</v>
      </c>
      <c r="I374" s="7" t="s">
        <v>136</v>
      </c>
      <c r="J374" s="7" t="s">
        <v>1084</v>
      </c>
      <c r="K374" s="7" t="s">
        <v>139</v>
      </c>
      <c r="L374" s="15" t="s">
        <v>49</v>
      </c>
    </row>
    <row r="375">
      <c r="A375" s="7">
        <v>65.0</v>
      </c>
      <c r="B375" s="7" t="s">
        <v>6</v>
      </c>
      <c r="C375" s="7" t="s">
        <v>1085</v>
      </c>
      <c r="D375" s="7" t="s">
        <v>202</v>
      </c>
      <c r="E375" s="7" t="s">
        <v>135</v>
      </c>
      <c r="F375" s="7" t="s">
        <v>136</v>
      </c>
      <c r="G375" s="7" t="s">
        <v>349</v>
      </c>
      <c r="I375" s="7" t="s">
        <v>135</v>
      </c>
      <c r="J375" s="7" t="s">
        <v>1086</v>
      </c>
      <c r="K375" s="7" t="s">
        <v>139</v>
      </c>
      <c r="L375" s="15" t="s">
        <v>49</v>
      </c>
    </row>
    <row r="376">
      <c r="A376" s="7">
        <v>44.0</v>
      </c>
      <c r="B376" s="7" t="s">
        <v>7</v>
      </c>
      <c r="C376" s="7" t="s">
        <v>1087</v>
      </c>
      <c r="D376" s="7" t="s">
        <v>202</v>
      </c>
      <c r="E376" s="7" t="s">
        <v>135</v>
      </c>
      <c r="F376" s="7" t="s">
        <v>136</v>
      </c>
      <c r="G376" s="7" t="s">
        <v>349</v>
      </c>
      <c r="I376" s="7" t="s">
        <v>136</v>
      </c>
      <c r="J376" s="7" t="s">
        <v>1088</v>
      </c>
      <c r="K376" s="7" t="s">
        <v>139</v>
      </c>
      <c r="L376" s="15" t="s">
        <v>49</v>
      </c>
    </row>
    <row r="377">
      <c r="A377" s="7">
        <v>29.0</v>
      </c>
      <c r="B377" s="7" t="s">
        <v>6</v>
      </c>
      <c r="C377" s="7" t="s">
        <v>1089</v>
      </c>
      <c r="D377" s="7" t="s">
        <v>373</v>
      </c>
      <c r="E377" s="7" t="s">
        <v>135</v>
      </c>
      <c r="F377" s="7" t="s">
        <v>136</v>
      </c>
      <c r="G377" s="7" t="s">
        <v>613</v>
      </c>
      <c r="I377" s="7" t="s">
        <v>136</v>
      </c>
      <c r="J377" s="7" t="s">
        <v>1090</v>
      </c>
      <c r="K377" s="7" t="s">
        <v>139</v>
      </c>
      <c r="L377" s="15" t="s">
        <v>49</v>
      </c>
    </row>
    <row r="378">
      <c r="A378" s="7">
        <v>61.0</v>
      </c>
      <c r="B378" s="7" t="s">
        <v>6</v>
      </c>
      <c r="C378" s="7" t="s">
        <v>1085</v>
      </c>
      <c r="D378" s="7" t="s">
        <v>202</v>
      </c>
      <c r="E378" s="7" t="s">
        <v>136</v>
      </c>
      <c r="F378" s="7" t="s">
        <v>136</v>
      </c>
      <c r="G378" s="7" t="s">
        <v>349</v>
      </c>
      <c r="I378" s="7" t="s">
        <v>135</v>
      </c>
      <c r="J378" s="7" t="s">
        <v>1091</v>
      </c>
      <c r="K378" s="7" t="s">
        <v>139</v>
      </c>
      <c r="L378" s="15" t="s">
        <v>49</v>
      </c>
    </row>
    <row r="379">
      <c r="A379" s="7">
        <v>37.0</v>
      </c>
      <c r="B379" s="7" t="s">
        <v>6</v>
      </c>
      <c r="C379" s="7" t="s">
        <v>1092</v>
      </c>
      <c r="D379" s="7" t="s">
        <v>202</v>
      </c>
      <c r="E379" s="7" t="s">
        <v>135</v>
      </c>
      <c r="F379" s="7" t="s">
        <v>136</v>
      </c>
      <c r="G379" s="142" t="s">
        <v>150</v>
      </c>
      <c r="I379" s="7" t="s">
        <v>136</v>
      </c>
      <c r="J379" s="7" t="s">
        <v>1093</v>
      </c>
      <c r="K379" s="7" t="s">
        <v>139</v>
      </c>
      <c r="L379" s="15" t="s">
        <v>49</v>
      </c>
    </row>
    <row r="380">
      <c r="A380" s="7">
        <v>9.0</v>
      </c>
      <c r="B380" s="7" t="s">
        <v>6</v>
      </c>
      <c r="C380" s="7" t="s">
        <v>1094</v>
      </c>
      <c r="D380" s="7" t="s">
        <v>143</v>
      </c>
      <c r="E380" s="7" t="s">
        <v>135</v>
      </c>
      <c r="F380" s="7" t="s">
        <v>136</v>
      </c>
      <c r="G380" s="7" t="s">
        <v>349</v>
      </c>
      <c r="I380" s="7" t="s">
        <v>136</v>
      </c>
      <c r="J380" s="7" t="s">
        <v>1095</v>
      </c>
      <c r="K380" s="7" t="s">
        <v>139</v>
      </c>
      <c r="L380" s="15" t="s">
        <v>49</v>
      </c>
    </row>
    <row r="381">
      <c r="A381" s="7">
        <v>17.0</v>
      </c>
      <c r="B381" s="7" t="s">
        <v>6</v>
      </c>
      <c r="C381" s="7" t="s">
        <v>1096</v>
      </c>
      <c r="D381" s="7" t="s">
        <v>153</v>
      </c>
      <c r="E381" s="7" t="s">
        <v>135</v>
      </c>
      <c r="F381" s="7" t="s">
        <v>136</v>
      </c>
      <c r="G381" s="7" t="s">
        <v>137</v>
      </c>
      <c r="I381" s="7" t="s">
        <v>135</v>
      </c>
      <c r="J381" s="7" t="s">
        <v>1097</v>
      </c>
      <c r="K381" s="7" t="s">
        <v>139</v>
      </c>
      <c r="L381" s="15" t="s">
        <v>49</v>
      </c>
    </row>
    <row r="382">
      <c r="A382" s="7">
        <v>31.0</v>
      </c>
      <c r="B382" s="7" t="s">
        <v>6</v>
      </c>
      <c r="C382" s="7" t="s">
        <v>245</v>
      </c>
      <c r="D382" s="7" t="s">
        <v>202</v>
      </c>
      <c r="E382" s="7" t="s">
        <v>136</v>
      </c>
      <c r="F382" s="7" t="s">
        <v>136</v>
      </c>
      <c r="G382" s="7" t="s">
        <v>460</v>
      </c>
      <c r="I382" s="7" t="s">
        <v>136</v>
      </c>
      <c r="J382" s="7" t="s">
        <v>1098</v>
      </c>
      <c r="K382" s="7" t="s">
        <v>139</v>
      </c>
      <c r="L382" s="15" t="s">
        <v>49</v>
      </c>
    </row>
    <row r="383">
      <c r="A383" s="7">
        <v>8.0</v>
      </c>
      <c r="B383" s="7" t="s">
        <v>7</v>
      </c>
      <c r="C383" s="7" t="s">
        <v>1020</v>
      </c>
      <c r="D383" s="7" t="s">
        <v>373</v>
      </c>
      <c r="E383" s="7" t="s">
        <v>135</v>
      </c>
      <c r="F383" s="7" t="s">
        <v>136</v>
      </c>
      <c r="G383" s="7" t="s">
        <v>1001</v>
      </c>
      <c r="I383" s="7" t="s">
        <v>136</v>
      </c>
      <c r="J383" s="7" t="s">
        <v>1099</v>
      </c>
      <c r="K383" s="7" t="s">
        <v>139</v>
      </c>
      <c r="L383" s="15" t="s">
        <v>49</v>
      </c>
    </row>
    <row r="384">
      <c r="A384" s="7">
        <v>53.0</v>
      </c>
      <c r="B384" s="7" t="s">
        <v>7</v>
      </c>
      <c r="C384" s="7" t="s">
        <v>1020</v>
      </c>
      <c r="D384" s="7" t="s">
        <v>373</v>
      </c>
      <c r="E384" s="7" t="s">
        <v>135</v>
      </c>
      <c r="F384" s="7" t="s">
        <v>136</v>
      </c>
      <c r="G384" s="7" t="s">
        <v>1001</v>
      </c>
      <c r="I384" s="7" t="s">
        <v>136</v>
      </c>
      <c r="J384" s="7" t="s">
        <v>1100</v>
      </c>
      <c r="K384" s="7" t="s">
        <v>139</v>
      </c>
      <c r="L384" s="15" t="s">
        <v>49</v>
      </c>
    </row>
    <row r="385">
      <c r="A385" s="7">
        <v>51.0</v>
      </c>
      <c r="B385" s="7" t="s">
        <v>6</v>
      </c>
      <c r="C385" s="7" t="s">
        <v>459</v>
      </c>
      <c r="D385" s="7" t="s">
        <v>197</v>
      </c>
      <c r="E385" s="7" t="s">
        <v>136</v>
      </c>
      <c r="F385" s="7" t="s">
        <v>136</v>
      </c>
      <c r="G385" s="142" t="s">
        <v>174</v>
      </c>
      <c r="I385" s="7" t="s">
        <v>136</v>
      </c>
      <c r="J385" s="7" t="s">
        <v>1101</v>
      </c>
      <c r="K385" s="7" t="s">
        <v>139</v>
      </c>
      <c r="L385" s="15" t="s">
        <v>49</v>
      </c>
    </row>
    <row r="386">
      <c r="A386" s="7">
        <v>41.0</v>
      </c>
      <c r="B386" s="7" t="s">
        <v>7</v>
      </c>
      <c r="C386" s="7" t="s">
        <v>1102</v>
      </c>
      <c r="D386" s="7" t="s">
        <v>202</v>
      </c>
      <c r="E386" s="7" t="s">
        <v>135</v>
      </c>
      <c r="F386" s="7" t="s">
        <v>136</v>
      </c>
      <c r="G386" s="7" t="s">
        <v>144</v>
      </c>
      <c r="I386" s="7" t="s">
        <v>136</v>
      </c>
      <c r="J386" s="7" t="s">
        <v>1103</v>
      </c>
      <c r="K386" s="7" t="s">
        <v>139</v>
      </c>
      <c r="L386" s="15" t="s">
        <v>49</v>
      </c>
    </row>
    <row r="387">
      <c r="A387" s="7">
        <v>27.0</v>
      </c>
      <c r="B387" s="7" t="s">
        <v>7</v>
      </c>
      <c r="C387" s="7" t="s">
        <v>787</v>
      </c>
      <c r="D387" s="7" t="s">
        <v>164</v>
      </c>
      <c r="E387" s="7" t="s">
        <v>136</v>
      </c>
      <c r="F387" s="7" t="s">
        <v>136</v>
      </c>
      <c r="G387" s="7" t="s">
        <v>594</v>
      </c>
      <c r="I387" s="7" t="s">
        <v>136</v>
      </c>
      <c r="J387" s="7" t="s">
        <v>1104</v>
      </c>
      <c r="K387" s="7" t="s">
        <v>139</v>
      </c>
      <c r="L387" s="15" t="s">
        <v>49</v>
      </c>
    </row>
    <row r="388">
      <c r="A388" s="7">
        <v>63.0</v>
      </c>
      <c r="B388" s="7" t="s">
        <v>7</v>
      </c>
      <c r="C388" s="7" t="s">
        <v>315</v>
      </c>
      <c r="D388" s="7" t="s">
        <v>164</v>
      </c>
      <c r="E388" s="7" t="s">
        <v>136</v>
      </c>
      <c r="F388" s="7" t="s">
        <v>136</v>
      </c>
      <c r="G388" s="7" t="s">
        <v>185</v>
      </c>
      <c r="I388" s="7" t="s">
        <v>136</v>
      </c>
      <c r="J388" s="7" t="s">
        <v>1105</v>
      </c>
      <c r="K388" s="7" t="s">
        <v>139</v>
      </c>
      <c r="L388" s="15" t="s">
        <v>49</v>
      </c>
    </row>
    <row r="389">
      <c r="A389" s="7">
        <v>26.0</v>
      </c>
      <c r="B389" s="7" t="s">
        <v>6</v>
      </c>
      <c r="C389" s="7" t="s">
        <v>1106</v>
      </c>
      <c r="D389" s="7" t="s">
        <v>193</v>
      </c>
      <c r="E389" s="7" t="s">
        <v>135</v>
      </c>
      <c r="F389" s="7" t="s">
        <v>136</v>
      </c>
      <c r="G389" s="7" t="s">
        <v>1027</v>
      </c>
      <c r="I389" s="7" t="s">
        <v>136</v>
      </c>
      <c r="J389" s="7" t="s">
        <v>1107</v>
      </c>
      <c r="K389" s="7" t="s">
        <v>139</v>
      </c>
      <c r="L389" s="15" t="s">
        <v>49</v>
      </c>
    </row>
    <row r="390">
      <c r="A390" s="7">
        <v>5.0</v>
      </c>
      <c r="B390" s="7" t="s">
        <v>7</v>
      </c>
      <c r="C390" s="7" t="s">
        <v>466</v>
      </c>
      <c r="D390" s="7" t="s">
        <v>255</v>
      </c>
      <c r="E390" s="7" t="s">
        <v>135</v>
      </c>
      <c r="F390" s="7" t="s">
        <v>136</v>
      </c>
      <c r="G390" s="7" t="s">
        <v>1108</v>
      </c>
      <c r="H390" s="142" t="s">
        <v>1109</v>
      </c>
      <c r="I390" s="7" t="s">
        <v>136</v>
      </c>
      <c r="J390" s="7" t="s">
        <v>1110</v>
      </c>
      <c r="K390" s="7" t="s">
        <v>139</v>
      </c>
      <c r="L390" s="15" t="s">
        <v>49</v>
      </c>
    </row>
    <row r="391">
      <c r="A391" s="7">
        <v>30.0</v>
      </c>
      <c r="B391" s="7" t="s">
        <v>6</v>
      </c>
      <c r="C391" s="7" t="s">
        <v>1085</v>
      </c>
      <c r="D391" s="7" t="s">
        <v>202</v>
      </c>
      <c r="E391" s="7" t="s">
        <v>135</v>
      </c>
      <c r="F391" s="7" t="s">
        <v>136</v>
      </c>
      <c r="G391" s="7" t="s">
        <v>174</v>
      </c>
      <c r="I391" s="7" t="s">
        <v>136</v>
      </c>
      <c r="J391" s="7" t="s">
        <v>1111</v>
      </c>
      <c r="K391" s="7" t="s">
        <v>139</v>
      </c>
      <c r="L391" s="7" t="s">
        <v>60</v>
      </c>
    </row>
    <row r="392">
      <c r="A392" s="7">
        <v>73.0</v>
      </c>
      <c r="B392" s="7" t="s">
        <v>7</v>
      </c>
      <c r="C392" s="7" t="s">
        <v>973</v>
      </c>
      <c r="D392" s="7" t="s">
        <v>164</v>
      </c>
      <c r="E392" s="7" t="s">
        <v>135</v>
      </c>
      <c r="F392" s="7" t="s">
        <v>136</v>
      </c>
      <c r="G392" s="7" t="s">
        <v>137</v>
      </c>
      <c r="I392" s="7" t="s">
        <v>136</v>
      </c>
      <c r="J392" s="7" t="s">
        <v>1112</v>
      </c>
      <c r="K392" s="7" t="s">
        <v>139</v>
      </c>
      <c r="L392" s="7" t="s">
        <v>60</v>
      </c>
    </row>
    <row r="393">
      <c r="A393" s="7">
        <v>21.0</v>
      </c>
      <c r="B393" s="7" t="s">
        <v>7</v>
      </c>
      <c r="C393" s="7" t="s">
        <v>1113</v>
      </c>
      <c r="D393" s="7" t="s">
        <v>233</v>
      </c>
      <c r="E393" s="7" t="s">
        <v>136</v>
      </c>
      <c r="F393" s="7" t="s">
        <v>136</v>
      </c>
      <c r="G393" s="7" t="s">
        <v>185</v>
      </c>
      <c r="H393" s="7" t="s">
        <v>1114</v>
      </c>
      <c r="I393" s="7" t="s">
        <v>135</v>
      </c>
      <c r="J393" s="7" t="s">
        <v>1115</v>
      </c>
      <c r="K393" s="7" t="s">
        <v>139</v>
      </c>
      <c r="L393" s="7" t="s">
        <v>60</v>
      </c>
    </row>
    <row r="394">
      <c r="A394" s="7">
        <v>58.0</v>
      </c>
      <c r="B394" s="7" t="s">
        <v>6</v>
      </c>
      <c r="C394" s="7" t="s">
        <v>1116</v>
      </c>
      <c r="D394" s="7" t="s">
        <v>197</v>
      </c>
      <c r="E394" s="7" t="s">
        <v>135</v>
      </c>
      <c r="F394" s="7" t="s">
        <v>136</v>
      </c>
      <c r="G394" s="7" t="s">
        <v>1117</v>
      </c>
      <c r="H394" s="7" t="s">
        <v>411</v>
      </c>
      <c r="I394" s="7" t="s">
        <v>136</v>
      </c>
      <c r="J394" s="7" t="s">
        <v>1118</v>
      </c>
      <c r="K394" s="7" t="s">
        <v>139</v>
      </c>
      <c r="L394" s="7" t="s">
        <v>60</v>
      </c>
    </row>
    <row r="395">
      <c r="A395" s="7">
        <v>40.0</v>
      </c>
      <c r="B395" s="7" t="s">
        <v>7</v>
      </c>
      <c r="C395" s="7" t="s">
        <v>1119</v>
      </c>
      <c r="D395" s="7" t="s">
        <v>233</v>
      </c>
      <c r="E395" s="7" t="s">
        <v>136</v>
      </c>
      <c r="F395" s="7" t="s">
        <v>136</v>
      </c>
      <c r="G395" s="7" t="s">
        <v>185</v>
      </c>
      <c r="H395" s="7" t="s">
        <v>1120</v>
      </c>
      <c r="I395" s="7" t="s">
        <v>135</v>
      </c>
      <c r="J395" s="7" t="s">
        <v>1121</v>
      </c>
      <c r="K395" s="7" t="s">
        <v>139</v>
      </c>
      <c r="L395" s="7" t="s">
        <v>60</v>
      </c>
    </row>
    <row r="396">
      <c r="A396" s="7">
        <v>54.0</v>
      </c>
      <c r="B396" s="7" t="s">
        <v>7</v>
      </c>
      <c r="C396" s="7" t="s">
        <v>149</v>
      </c>
      <c r="D396" s="7" t="s">
        <v>134</v>
      </c>
      <c r="E396" s="7" t="s">
        <v>135</v>
      </c>
      <c r="F396" s="7" t="s">
        <v>136</v>
      </c>
      <c r="G396" s="7" t="s">
        <v>150</v>
      </c>
      <c r="H396" s="7" t="s">
        <v>151</v>
      </c>
      <c r="I396" s="7" t="s">
        <v>135</v>
      </c>
      <c r="J396" s="7" t="s">
        <v>1122</v>
      </c>
      <c r="K396" s="7" t="s">
        <v>139</v>
      </c>
      <c r="L396" s="7" t="s">
        <v>60</v>
      </c>
    </row>
    <row r="397">
      <c r="A397" s="7">
        <v>7.0</v>
      </c>
      <c r="B397" s="7" t="s">
        <v>6</v>
      </c>
      <c r="C397" s="7" t="s">
        <v>1123</v>
      </c>
      <c r="D397" s="7" t="s">
        <v>143</v>
      </c>
      <c r="E397" s="7" t="s">
        <v>136</v>
      </c>
      <c r="F397" s="7" t="s">
        <v>136</v>
      </c>
      <c r="G397" s="7" t="s">
        <v>231</v>
      </c>
      <c r="I397" s="7" t="s">
        <v>136</v>
      </c>
      <c r="J397" s="7" t="s">
        <v>1124</v>
      </c>
      <c r="K397" s="7" t="s">
        <v>139</v>
      </c>
      <c r="L397" s="7" t="s">
        <v>60</v>
      </c>
    </row>
    <row r="398">
      <c r="A398" s="7">
        <v>79.0</v>
      </c>
      <c r="B398" s="7" t="s">
        <v>7</v>
      </c>
      <c r="C398" s="7" t="s">
        <v>1116</v>
      </c>
      <c r="D398" s="7" t="s">
        <v>197</v>
      </c>
      <c r="E398" s="7" t="s">
        <v>136</v>
      </c>
      <c r="F398" s="7" t="s">
        <v>136</v>
      </c>
      <c r="G398" s="7" t="s">
        <v>185</v>
      </c>
      <c r="H398" s="7" t="s">
        <v>252</v>
      </c>
      <c r="I398" s="7" t="s">
        <v>135</v>
      </c>
      <c r="J398" s="7" t="s">
        <v>1125</v>
      </c>
      <c r="K398" s="7" t="s">
        <v>139</v>
      </c>
      <c r="L398" s="7" t="s">
        <v>60</v>
      </c>
    </row>
    <row r="399">
      <c r="A399" s="7">
        <v>61.0</v>
      </c>
      <c r="B399" s="7" t="s">
        <v>7</v>
      </c>
      <c r="C399" s="7" t="s">
        <v>338</v>
      </c>
      <c r="D399" s="7" t="s">
        <v>143</v>
      </c>
      <c r="E399" s="7" t="s">
        <v>136</v>
      </c>
      <c r="F399" s="7" t="s">
        <v>136</v>
      </c>
      <c r="G399" s="7" t="s">
        <v>174</v>
      </c>
      <c r="I399" s="7" t="s">
        <v>135</v>
      </c>
      <c r="J399" s="7" t="s">
        <v>1126</v>
      </c>
      <c r="K399" s="7" t="s">
        <v>139</v>
      </c>
      <c r="L399" s="7" t="s">
        <v>60</v>
      </c>
    </row>
    <row r="400">
      <c r="A400" s="7">
        <v>80.0</v>
      </c>
      <c r="B400" s="7" t="s">
        <v>7</v>
      </c>
      <c r="C400" s="7" t="s">
        <v>1127</v>
      </c>
      <c r="D400" s="7" t="s">
        <v>233</v>
      </c>
      <c r="E400" s="7" t="s">
        <v>136</v>
      </c>
      <c r="F400" s="7" t="s">
        <v>136</v>
      </c>
      <c r="G400" s="7" t="s">
        <v>185</v>
      </c>
      <c r="H400" s="7" t="s">
        <v>1128</v>
      </c>
      <c r="I400" s="7" t="s">
        <v>136</v>
      </c>
      <c r="J400" s="7" t="s">
        <v>1129</v>
      </c>
      <c r="K400" s="7" t="s">
        <v>139</v>
      </c>
      <c r="L400" s="7" t="s">
        <v>60</v>
      </c>
    </row>
    <row r="401">
      <c r="A401" s="7">
        <v>85.0</v>
      </c>
      <c r="B401" s="7" t="s">
        <v>6</v>
      </c>
      <c r="C401" s="7" t="s">
        <v>1130</v>
      </c>
      <c r="D401" s="7" t="s">
        <v>233</v>
      </c>
      <c r="E401" s="7" t="s">
        <v>136</v>
      </c>
      <c r="F401" s="7" t="s">
        <v>135</v>
      </c>
      <c r="G401" s="7" t="s">
        <v>174</v>
      </c>
      <c r="I401" s="7" t="s">
        <v>135</v>
      </c>
      <c r="J401" s="7" t="s">
        <v>1131</v>
      </c>
      <c r="K401" s="7" t="s">
        <v>139</v>
      </c>
      <c r="L401" s="7" t="s">
        <v>60</v>
      </c>
    </row>
    <row r="402">
      <c r="A402" s="7">
        <v>48.0</v>
      </c>
      <c r="B402" s="7" t="s">
        <v>7</v>
      </c>
      <c r="C402" s="7" t="s">
        <v>1132</v>
      </c>
      <c r="D402" s="7" t="s">
        <v>233</v>
      </c>
      <c r="E402" s="7" t="s">
        <v>136</v>
      </c>
      <c r="F402" s="7" t="s">
        <v>136</v>
      </c>
      <c r="G402" s="7" t="s">
        <v>231</v>
      </c>
      <c r="I402" s="7" t="s">
        <v>135</v>
      </c>
      <c r="J402" s="7" t="s">
        <v>1133</v>
      </c>
      <c r="K402" s="7" t="s">
        <v>139</v>
      </c>
      <c r="L402" s="7" t="s">
        <v>60</v>
      </c>
    </row>
    <row r="403">
      <c r="A403" s="7">
        <v>87.0</v>
      </c>
      <c r="B403" s="7" t="s">
        <v>6</v>
      </c>
      <c r="C403" s="7" t="s">
        <v>1134</v>
      </c>
      <c r="D403" s="7" t="s">
        <v>233</v>
      </c>
      <c r="E403" s="7" t="s">
        <v>135</v>
      </c>
      <c r="F403" s="7" t="s">
        <v>136</v>
      </c>
      <c r="G403" s="7" t="s">
        <v>174</v>
      </c>
      <c r="I403" s="7" t="s">
        <v>135</v>
      </c>
      <c r="J403" s="7" t="s">
        <v>1135</v>
      </c>
      <c r="K403" s="7" t="s">
        <v>139</v>
      </c>
      <c r="L403" s="7" t="s">
        <v>60</v>
      </c>
    </row>
    <row r="404">
      <c r="A404" s="7">
        <v>50.0</v>
      </c>
      <c r="B404" s="7" t="s">
        <v>7</v>
      </c>
      <c r="C404" s="7" t="s">
        <v>1136</v>
      </c>
      <c r="D404" s="7" t="s">
        <v>202</v>
      </c>
      <c r="E404" s="7" t="s">
        <v>135</v>
      </c>
      <c r="F404" s="7" t="s">
        <v>136</v>
      </c>
      <c r="G404" s="7" t="s">
        <v>144</v>
      </c>
      <c r="I404" s="7" t="s">
        <v>136</v>
      </c>
      <c r="J404" s="7" t="s">
        <v>1137</v>
      </c>
      <c r="K404" s="7" t="s">
        <v>139</v>
      </c>
      <c r="L404" s="7" t="s">
        <v>60</v>
      </c>
    </row>
    <row r="405">
      <c r="A405" s="7">
        <v>9.0</v>
      </c>
      <c r="B405" s="7" t="s">
        <v>7</v>
      </c>
      <c r="C405" s="7" t="s">
        <v>1138</v>
      </c>
      <c r="D405" s="7" t="s">
        <v>233</v>
      </c>
      <c r="E405" s="7" t="s">
        <v>135</v>
      </c>
      <c r="F405" s="7" t="s">
        <v>136</v>
      </c>
      <c r="G405" s="7" t="s">
        <v>185</v>
      </c>
      <c r="H405" s="7" t="s">
        <v>1128</v>
      </c>
      <c r="I405" s="7" t="s">
        <v>135</v>
      </c>
      <c r="J405" s="7" t="s">
        <v>1139</v>
      </c>
      <c r="K405" s="7" t="s">
        <v>139</v>
      </c>
      <c r="L405" s="7" t="s">
        <v>60</v>
      </c>
    </row>
    <row r="406">
      <c r="A406" s="7">
        <v>29.0</v>
      </c>
      <c r="B406" s="7" t="s">
        <v>6</v>
      </c>
      <c r="C406" s="7" t="s">
        <v>987</v>
      </c>
      <c r="D406" s="7" t="s">
        <v>213</v>
      </c>
      <c r="E406" s="7" t="s">
        <v>135</v>
      </c>
      <c r="F406" s="7" t="s">
        <v>136</v>
      </c>
      <c r="G406" s="7" t="s">
        <v>221</v>
      </c>
      <c r="I406" s="7" t="s">
        <v>135</v>
      </c>
      <c r="J406" s="7" t="s">
        <v>1140</v>
      </c>
      <c r="K406" s="7" t="s">
        <v>139</v>
      </c>
      <c r="L406" s="7" t="s">
        <v>60</v>
      </c>
    </row>
    <row r="407">
      <c r="A407" s="7">
        <v>76.0</v>
      </c>
      <c r="B407" s="7" t="s">
        <v>7</v>
      </c>
      <c r="C407" s="7" t="s">
        <v>195</v>
      </c>
      <c r="D407" s="7" t="s">
        <v>164</v>
      </c>
      <c r="E407" s="7" t="s">
        <v>135</v>
      </c>
      <c r="F407" s="7" t="s">
        <v>136</v>
      </c>
      <c r="G407" s="7" t="s">
        <v>174</v>
      </c>
      <c r="H407" s="7" t="s">
        <v>1141</v>
      </c>
      <c r="I407" s="7" t="s">
        <v>135</v>
      </c>
      <c r="J407" s="7" t="s">
        <v>1142</v>
      </c>
      <c r="K407" s="7" t="s">
        <v>139</v>
      </c>
      <c r="L407" s="7" t="s">
        <v>60</v>
      </c>
    </row>
    <row r="408">
      <c r="A408" s="7">
        <v>25.0</v>
      </c>
      <c r="B408" s="7" t="s">
        <v>6</v>
      </c>
      <c r="C408" s="7" t="s">
        <v>1143</v>
      </c>
      <c r="D408" s="7" t="s">
        <v>134</v>
      </c>
      <c r="E408" s="7" t="s">
        <v>136</v>
      </c>
      <c r="F408" s="7" t="s">
        <v>136</v>
      </c>
      <c r="G408" s="7" t="s">
        <v>1144</v>
      </c>
      <c r="I408" s="7" t="s">
        <v>135</v>
      </c>
      <c r="J408" s="7" t="s">
        <v>1145</v>
      </c>
      <c r="K408" s="7" t="s">
        <v>139</v>
      </c>
      <c r="L408" s="7" t="s">
        <v>60</v>
      </c>
    </row>
    <row r="409">
      <c r="A409" s="7">
        <v>13.0</v>
      </c>
      <c r="B409" s="7" t="s">
        <v>6</v>
      </c>
      <c r="C409" s="7" t="s">
        <v>1146</v>
      </c>
      <c r="D409" s="7" t="s">
        <v>143</v>
      </c>
      <c r="E409" s="7" t="s">
        <v>135</v>
      </c>
      <c r="F409" s="7" t="s">
        <v>136</v>
      </c>
      <c r="G409" s="7" t="s">
        <v>1147</v>
      </c>
      <c r="H409" s="7" t="s">
        <v>1148</v>
      </c>
      <c r="I409" s="7" t="s">
        <v>136</v>
      </c>
      <c r="J409" s="7" t="s">
        <v>1149</v>
      </c>
      <c r="K409" s="7" t="s">
        <v>139</v>
      </c>
      <c r="L409" s="7" t="s">
        <v>60</v>
      </c>
    </row>
    <row r="410">
      <c r="A410" s="7">
        <v>1.0</v>
      </c>
      <c r="B410" s="7" t="s">
        <v>7</v>
      </c>
      <c r="C410" s="7" t="s">
        <v>1150</v>
      </c>
      <c r="D410" s="7" t="s">
        <v>233</v>
      </c>
      <c r="E410" s="7" t="s">
        <v>136</v>
      </c>
      <c r="F410" s="7" t="s">
        <v>135</v>
      </c>
      <c r="G410" s="7" t="s">
        <v>185</v>
      </c>
      <c r="H410" s="7" t="s">
        <v>1151</v>
      </c>
      <c r="I410" s="7" t="s">
        <v>135</v>
      </c>
      <c r="J410" s="7" t="s">
        <v>1152</v>
      </c>
      <c r="K410" s="7" t="s">
        <v>139</v>
      </c>
      <c r="L410" s="7" t="s">
        <v>60</v>
      </c>
    </row>
    <row r="411">
      <c r="A411" s="7">
        <v>3.0</v>
      </c>
      <c r="B411" s="7" t="s">
        <v>6</v>
      </c>
      <c r="C411" s="7" t="s">
        <v>240</v>
      </c>
      <c r="D411" s="7" t="s">
        <v>197</v>
      </c>
      <c r="E411" s="7" t="s">
        <v>136</v>
      </c>
      <c r="F411" s="7" t="s">
        <v>136</v>
      </c>
      <c r="G411" s="7" t="s">
        <v>241</v>
      </c>
      <c r="I411" s="7" t="s">
        <v>135</v>
      </c>
      <c r="J411" s="7" t="s">
        <v>1153</v>
      </c>
      <c r="K411" s="7" t="s">
        <v>139</v>
      </c>
      <c r="L411" s="7" t="s">
        <v>60</v>
      </c>
    </row>
    <row r="412">
      <c r="A412" s="7">
        <v>20.0</v>
      </c>
      <c r="B412" s="7" t="s">
        <v>7</v>
      </c>
      <c r="C412" s="7" t="s">
        <v>1127</v>
      </c>
      <c r="D412" s="7" t="s">
        <v>233</v>
      </c>
      <c r="E412" s="7" t="s">
        <v>135</v>
      </c>
      <c r="F412" s="7" t="s">
        <v>136</v>
      </c>
      <c r="G412" s="7" t="s">
        <v>157</v>
      </c>
      <c r="I412" s="7" t="s">
        <v>135</v>
      </c>
      <c r="J412" s="7" t="s">
        <v>1154</v>
      </c>
      <c r="K412" s="7" t="s">
        <v>139</v>
      </c>
      <c r="L412" s="7" t="s">
        <v>60</v>
      </c>
    </row>
    <row r="413">
      <c r="A413" s="7">
        <v>37.0</v>
      </c>
      <c r="B413" s="7" t="s">
        <v>7</v>
      </c>
      <c r="C413" s="7" t="s">
        <v>1155</v>
      </c>
      <c r="D413" s="7" t="s">
        <v>233</v>
      </c>
      <c r="E413" s="7" t="s">
        <v>135</v>
      </c>
      <c r="F413" s="7" t="s">
        <v>136</v>
      </c>
      <c r="G413" s="7" t="s">
        <v>185</v>
      </c>
      <c r="H413" s="7" t="s">
        <v>1156</v>
      </c>
      <c r="I413" s="7" t="s">
        <v>136</v>
      </c>
      <c r="J413" s="7" t="s">
        <v>1157</v>
      </c>
      <c r="K413" s="7" t="s">
        <v>139</v>
      </c>
      <c r="L413" s="7" t="s">
        <v>60</v>
      </c>
    </row>
    <row r="414">
      <c r="A414" s="7">
        <v>67.0</v>
      </c>
      <c r="B414" s="7" t="s">
        <v>7</v>
      </c>
      <c r="C414" s="7" t="s">
        <v>1158</v>
      </c>
      <c r="D414" s="7" t="s">
        <v>233</v>
      </c>
      <c r="E414" s="7" t="s">
        <v>136</v>
      </c>
      <c r="F414" s="7" t="s">
        <v>136</v>
      </c>
      <c r="G414" s="7" t="s">
        <v>185</v>
      </c>
      <c r="I414" s="7" t="s">
        <v>135</v>
      </c>
      <c r="J414" s="7" t="s">
        <v>1159</v>
      </c>
      <c r="K414" s="7" t="s">
        <v>139</v>
      </c>
      <c r="L414" s="7" t="s">
        <v>60</v>
      </c>
    </row>
    <row r="415">
      <c r="A415" s="7">
        <v>56.0</v>
      </c>
      <c r="B415" s="7" t="s">
        <v>7</v>
      </c>
      <c r="C415" s="7" t="s">
        <v>315</v>
      </c>
      <c r="D415" s="7" t="s">
        <v>164</v>
      </c>
      <c r="E415" s="7" t="s">
        <v>135</v>
      </c>
      <c r="F415" s="7" t="s">
        <v>136</v>
      </c>
      <c r="G415" s="7" t="s">
        <v>1160</v>
      </c>
      <c r="H415" s="7" t="s">
        <v>1161</v>
      </c>
      <c r="I415" s="7" t="s">
        <v>136</v>
      </c>
      <c r="J415" s="7" t="s">
        <v>1162</v>
      </c>
      <c r="K415" s="7" t="s">
        <v>139</v>
      </c>
      <c r="L415" s="7" t="s">
        <v>60</v>
      </c>
    </row>
    <row r="416">
      <c r="A416" s="7">
        <v>42.0</v>
      </c>
      <c r="B416" s="7" t="s">
        <v>7</v>
      </c>
      <c r="C416" s="7" t="s">
        <v>1119</v>
      </c>
      <c r="D416" s="7" t="s">
        <v>233</v>
      </c>
      <c r="E416" s="7" t="s">
        <v>136</v>
      </c>
      <c r="F416" s="7" t="s">
        <v>136</v>
      </c>
      <c r="G416" s="7" t="s">
        <v>157</v>
      </c>
      <c r="I416" s="7" t="s">
        <v>135</v>
      </c>
      <c r="J416" s="7" t="s">
        <v>1163</v>
      </c>
      <c r="K416" s="7" t="s">
        <v>139</v>
      </c>
      <c r="L416" s="7" t="s">
        <v>60</v>
      </c>
    </row>
    <row r="417">
      <c r="A417" s="7">
        <v>88.0</v>
      </c>
      <c r="B417" s="7" t="s">
        <v>6</v>
      </c>
      <c r="C417" s="7" t="s">
        <v>1134</v>
      </c>
      <c r="D417" s="7" t="s">
        <v>233</v>
      </c>
      <c r="E417" s="7" t="s">
        <v>135</v>
      </c>
      <c r="F417" s="7" t="s">
        <v>136</v>
      </c>
      <c r="G417" s="7" t="s">
        <v>174</v>
      </c>
      <c r="I417" s="7" t="s">
        <v>135</v>
      </c>
      <c r="J417" s="7" t="s">
        <v>1135</v>
      </c>
      <c r="K417" s="7" t="s">
        <v>139</v>
      </c>
      <c r="L417" s="7" t="s">
        <v>60</v>
      </c>
    </row>
    <row r="418">
      <c r="A418" s="7">
        <v>38.0</v>
      </c>
      <c r="B418" s="7" t="s">
        <v>7</v>
      </c>
      <c r="C418" s="7" t="s">
        <v>1164</v>
      </c>
      <c r="D418" s="7" t="s">
        <v>233</v>
      </c>
      <c r="E418" s="7" t="s">
        <v>136</v>
      </c>
      <c r="F418" s="7" t="s">
        <v>136</v>
      </c>
      <c r="G418" s="7" t="s">
        <v>185</v>
      </c>
      <c r="H418" s="7" t="s">
        <v>1165</v>
      </c>
      <c r="I418" s="7" t="s">
        <v>135</v>
      </c>
      <c r="J418" s="7" t="s">
        <v>1166</v>
      </c>
      <c r="K418" s="7" t="s">
        <v>139</v>
      </c>
      <c r="L418" s="7" t="s">
        <v>60</v>
      </c>
    </row>
    <row r="419">
      <c r="A419" s="7">
        <v>59.0</v>
      </c>
      <c r="B419" s="7" t="s">
        <v>7</v>
      </c>
      <c r="C419" s="7" t="s">
        <v>1167</v>
      </c>
      <c r="D419" s="7" t="s">
        <v>143</v>
      </c>
      <c r="E419" s="7" t="s">
        <v>135</v>
      </c>
      <c r="F419" s="7" t="s">
        <v>136</v>
      </c>
      <c r="G419" s="7" t="s">
        <v>185</v>
      </c>
      <c r="H419" s="7" t="s">
        <v>1168</v>
      </c>
      <c r="I419" s="7" t="s">
        <v>135</v>
      </c>
      <c r="J419" s="7" t="s">
        <v>1169</v>
      </c>
      <c r="K419" s="7" t="s">
        <v>139</v>
      </c>
      <c r="L419" s="7" t="s">
        <v>60</v>
      </c>
    </row>
    <row r="420">
      <c r="A420" s="7">
        <v>63.0</v>
      </c>
      <c r="B420" s="7" t="s">
        <v>6</v>
      </c>
      <c r="C420" s="7" t="s">
        <v>338</v>
      </c>
      <c r="D420" s="7" t="s">
        <v>143</v>
      </c>
      <c r="E420" s="7" t="s">
        <v>135</v>
      </c>
      <c r="F420" s="7" t="s">
        <v>136</v>
      </c>
      <c r="G420" s="7" t="s">
        <v>251</v>
      </c>
      <c r="I420" s="7" t="s">
        <v>135</v>
      </c>
      <c r="J420" s="7" t="s">
        <v>1170</v>
      </c>
      <c r="K420" s="7" t="s">
        <v>139</v>
      </c>
      <c r="L420" s="7" t="s">
        <v>60</v>
      </c>
    </row>
    <row r="421">
      <c r="A421" s="7">
        <v>75.0</v>
      </c>
      <c r="B421" s="7" t="s">
        <v>6</v>
      </c>
      <c r="C421" s="7" t="s">
        <v>1171</v>
      </c>
      <c r="D421" s="7" t="s">
        <v>164</v>
      </c>
      <c r="E421" s="7" t="s">
        <v>135</v>
      </c>
      <c r="F421" s="7" t="s">
        <v>136</v>
      </c>
      <c r="G421" s="7" t="s">
        <v>185</v>
      </c>
      <c r="H421" s="7" t="s">
        <v>1172</v>
      </c>
      <c r="I421" s="7" t="s">
        <v>136</v>
      </c>
      <c r="J421" s="7" t="s">
        <v>1173</v>
      </c>
      <c r="K421" s="7" t="s">
        <v>139</v>
      </c>
      <c r="L421" s="7" t="s">
        <v>60</v>
      </c>
    </row>
    <row r="422">
      <c r="A422" s="7">
        <v>15.0</v>
      </c>
      <c r="B422" s="7" t="s">
        <v>7</v>
      </c>
      <c r="C422" s="7" t="s">
        <v>1174</v>
      </c>
      <c r="D422" s="7" t="s">
        <v>134</v>
      </c>
      <c r="E422" s="7" t="s">
        <v>135</v>
      </c>
      <c r="F422" s="7" t="s">
        <v>136</v>
      </c>
      <c r="G422" s="7" t="s">
        <v>1175</v>
      </c>
      <c r="I422" s="7" t="s">
        <v>136</v>
      </c>
      <c r="J422" s="7" t="s">
        <v>1176</v>
      </c>
      <c r="K422" s="7" t="s">
        <v>139</v>
      </c>
      <c r="L422" s="7" t="s">
        <v>60</v>
      </c>
    </row>
    <row r="423">
      <c r="A423" s="7">
        <v>35.0</v>
      </c>
      <c r="B423" s="7" t="s">
        <v>7</v>
      </c>
      <c r="C423" s="7" t="s">
        <v>1177</v>
      </c>
      <c r="D423" s="7" t="s">
        <v>233</v>
      </c>
      <c r="E423" s="7" t="s">
        <v>136</v>
      </c>
      <c r="F423" s="7" t="s">
        <v>136</v>
      </c>
      <c r="G423" s="7" t="s">
        <v>144</v>
      </c>
      <c r="H423" s="7" t="s">
        <v>1178</v>
      </c>
      <c r="I423" s="7" t="s">
        <v>135</v>
      </c>
      <c r="J423" s="7" t="s">
        <v>1179</v>
      </c>
      <c r="K423" s="7" t="s">
        <v>139</v>
      </c>
      <c r="L423" s="7" t="s">
        <v>60</v>
      </c>
    </row>
    <row r="424">
      <c r="A424" s="7">
        <v>51.0</v>
      </c>
      <c r="B424" s="7" t="s">
        <v>7</v>
      </c>
      <c r="C424" s="7" t="s">
        <v>1116</v>
      </c>
      <c r="D424" s="7" t="s">
        <v>197</v>
      </c>
      <c r="E424" s="7" t="s">
        <v>136</v>
      </c>
      <c r="F424" s="7" t="s">
        <v>136</v>
      </c>
      <c r="G424" s="7" t="s">
        <v>401</v>
      </c>
      <c r="H424" s="7" t="s">
        <v>1180</v>
      </c>
      <c r="I424" s="7" t="s">
        <v>135</v>
      </c>
      <c r="J424" s="7" t="s">
        <v>1181</v>
      </c>
      <c r="K424" s="7" t="s">
        <v>139</v>
      </c>
      <c r="L424" s="7" t="s">
        <v>60</v>
      </c>
    </row>
    <row r="425">
      <c r="A425" s="7">
        <v>44.0</v>
      </c>
      <c r="B425" s="7" t="s">
        <v>7</v>
      </c>
      <c r="C425" s="7" t="s">
        <v>1182</v>
      </c>
      <c r="D425" s="7" t="s">
        <v>233</v>
      </c>
      <c r="E425" s="7" t="s">
        <v>136</v>
      </c>
      <c r="F425" s="7" t="s">
        <v>136</v>
      </c>
      <c r="G425" s="7" t="s">
        <v>1183</v>
      </c>
      <c r="H425" s="7" t="s">
        <v>1184</v>
      </c>
      <c r="I425" s="7" t="s">
        <v>135</v>
      </c>
      <c r="J425" s="7" t="s">
        <v>1185</v>
      </c>
      <c r="K425" s="7" t="s">
        <v>139</v>
      </c>
      <c r="L425" s="7" t="s">
        <v>60</v>
      </c>
    </row>
    <row r="426">
      <c r="A426" s="7">
        <v>70.0</v>
      </c>
      <c r="B426" s="7" t="s">
        <v>6</v>
      </c>
      <c r="C426" s="7" t="s">
        <v>1127</v>
      </c>
      <c r="D426" s="7" t="s">
        <v>233</v>
      </c>
      <c r="E426" s="7" t="s">
        <v>136</v>
      </c>
      <c r="F426" s="7" t="s">
        <v>136</v>
      </c>
      <c r="G426" s="7" t="s">
        <v>185</v>
      </c>
      <c r="H426" s="7" t="s">
        <v>1186</v>
      </c>
      <c r="I426" s="7" t="s">
        <v>135</v>
      </c>
      <c r="J426" s="7" t="s">
        <v>1187</v>
      </c>
      <c r="K426" s="7" t="s">
        <v>139</v>
      </c>
      <c r="L426" s="7" t="s">
        <v>60</v>
      </c>
    </row>
    <row r="427">
      <c r="A427" s="7">
        <v>72.0</v>
      </c>
      <c r="B427" s="7" t="s">
        <v>7</v>
      </c>
      <c r="C427" s="7" t="s">
        <v>1188</v>
      </c>
      <c r="D427" s="7" t="s">
        <v>233</v>
      </c>
      <c r="E427" s="7" t="s">
        <v>135</v>
      </c>
      <c r="F427" s="7" t="s">
        <v>136</v>
      </c>
      <c r="G427" s="7" t="s">
        <v>185</v>
      </c>
      <c r="H427" s="7" t="s">
        <v>1189</v>
      </c>
      <c r="I427" s="7" t="s">
        <v>136</v>
      </c>
      <c r="J427" s="7" t="s">
        <v>1190</v>
      </c>
      <c r="K427" s="7" t="s">
        <v>139</v>
      </c>
      <c r="L427" s="7" t="s">
        <v>60</v>
      </c>
    </row>
    <row r="428">
      <c r="A428" s="7">
        <v>41.0</v>
      </c>
      <c r="B428" s="7" t="s">
        <v>7</v>
      </c>
      <c r="C428" s="7" t="s">
        <v>1177</v>
      </c>
      <c r="D428" s="7" t="s">
        <v>233</v>
      </c>
      <c r="E428" s="7" t="s">
        <v>136</v>
      </c>
      <c r="F428" s="7" t="s">
        <v>136</v>
      </c>
      <c r="G428" s="7" t="s">
        <v>144</v>
      </c>
      <c r="I428" s="7" t="s">
        <v>135</v>
      </c>
      <c r="J428" s="7" t="s">
        <v>1191</v>
      </c>
      <c r="K428" s="7" t="s">
        <v>139</v>
      </c>
      <c r="L428" s="7" t="s">
        <v>60</v>
      </c>
    </row>
    <row r="429">
      <c r="A429" s="7">
        <v>23.0</v>
      </c>
      <c r="B429" s="7" t="s">
        <v>7</v>
      </c>
      <c r="C429" s="7" t="s">
        <v>1127</v>
      </c>
      <c r="D429" s="7" t="s">
        <v>233</v>
      </c>
      <c r="E429" s="7" t="s">
        <v>136</v>
      </c>
      <c r="F429" s="7" t="s">
        <v>136</v>
      </c>
      <c r="G429" s="7" t="s">
        <v>157</v>
      </c>
      <c r="I429" s="7" t="s">
        <v>135</v>
      </c>
      <c r="J429" s="7" t="s">
        <v>1192</v>
      </c>
      <c r="K429" s="7" t="s">
        <v>139</v>
      </c>
      <c r="L429" s="7" t="s">
        <v>60</v>
      </c>
    </row>
    <row r="430">
      <c r="A430" s="7">
        <v>28.0</v>
      </c>
      <c r="B430" s="7" t="s">
        <v>6</v>
      </c>
      <c r="C430" s="7" t="s">
        <v>142</v>
      </c>
      <c r="D430" s="7" t="s">
        <v>143</v>
      </c>
      <c r="E430" s="7" t="s">
        <v>136</v>
      </c>
      <c r="F430" s="7" t="s">
        <v>136</v>
      </c>
      <c r="G430" s="7" t="s">
        <v>1193</v>
      </c>
      <c r="I430" s="7" t="s">
        <v>135</v>
      </c>
      <c r="J430" s="7" t="s">
        <v>1194</v>
      </c>
      <c r="K430" s="7" t="s">
        <v>139</v>
      </c>
      <c r="L430" s="7" t="s">
        <v>60</v>
      </c>
    </row>
    <row r="431">
      <c r="A431" s="7">
        <v>46.0</v>
      </c>
      <c r="B431" s="7" t="s">
        <v>7</v>
      </c>
      <c r="C431" s="7" t="s">
        <v>1195</v>
      </c>
      <c r="D431" s="7" t="s">
        <v>233</v>
      </c>
      <c r="E431" s="7" t="s">
        <v>136</v>
      </c>
      <c r="F431" s="7" t="s">
        <v>136</v>
      </c>
      <c r="G431" s="7" t="s">
        <v>363</v>
      </c>
      <c r="I431" s="7" t="s">
        <v>135</v>
      </c>
      <c r="J431" s="7" t="s">
        <v>1196</v>
      </c>
      <c r="K431" s="7" t="s">
        <v>139</v>
      </c>
      <c r="L431" s="7" t="s">
        <v>60</v>
      </c>
    </row>
    <row r="432">
      <c r="A432" s="7">
        <v>5.0</v>
      </c>
      <c r="B432" s="7" t="s">
        <v>7</v>
      </c>
      <c r="C432" s="7" t="s">
        <v>371</v>
      </c>
      <c r="D432" s="7" t="s">
        <v>197</v>
      </c>
      <c r="E432" s="7" t="s">
        <v>136</v>
      </c>
      <c r="F432" s="7" t="s">
        <v>136</v>
      </c>
      <c r="G432" s="7" t="s">
        <v>1197</v>
      </c>
      <c r="I432" s="7" t="s">
        <v>135</v>
      </c>
      <c r="J432" s="7" t="s">
        <v>1198</v>
      </c>
      <c r="K432" s="7" t="s">
        <v>139</v>
      </c>
      <c r="L432" s="7" t="s">
        <v>60</v>
      </c>
    </row>
    <row r="433">
      <c r="A433" s="7">
        <v>4.0</v>
      </c>
      <c r="B433" s="7" t="s">
        <v>6</v>
      </c>
      <c r="C433" s="7" t="s">
        <v>641</v>
      </c>
      <c r="D433" s="7" t="s">
        <v>218</v>
      </c>
      <c r="E433" s="7" t="s">
        <v>136</v>
      </c>
      <c r="F433" s="7" t="s">
        <v>136</v>
      </c>
      <c r="G433" s="7" t="s">
        <v>137</v>
      </c>
      <c r="I433" s="7" t="s">
        <v>135</v>
      </c>
      <c r="J433" s="7" t="s">
        <v>1199</v>
      </c>
      <c r="K433" s="7" t="s">
        <v>139</v>
      </c>
      <c r="L433" s="7" t="s">
        <v>60</v>
      </c>
    </row>
    <row r="434">
      <c r="A434" s="7">
        <v>69.0</v>
      </c>
      <c r="B434" s="7" t="s">
        <v>7</v>
      </c>
      <c r="C434" s="7" t="s">
        <v>1200</v>
      </c>
      <c r="D434" s="7" t="s">
        <v>233</v>
      </c>
      <c r="E434" s="7" t="s">
        <v>135</v>
      </c>
      <c r="F434" s="7" t="s">
        <v>136</v>
      </c>
      <c r="G434" s="7" t="s">
        <v>144</v>
      </c>
      <c r="H434" s="7" t="s">
        <v>1201</v>
      </c>
      <c r="I434" s="7" t="s">
        <v>136</v>
      </c>
      <c r="J434" s="7" t="s">
        <v>1202</v>
      </c>
      <c r="K434" s="7" t="s">
        <v>139</v>
      </c>
      <c r="L434" s="7" t="s">
        <v>60</v>
      </c>
    </row>
    <row r="435">
      <c r="A435" s="7">
        <v>6.0</v>
      </c>
      <c r="B435" s="7" t="s">
        <v>7</v>
      </c>
      <c r="C435" s="7" t="s">
        <v>167</v>
      </c>
      <c r="D435" s="7" t="s">
        <v>143</v>
      </c>
      <c r="E435" s="7" t="s">
        <v>136</v>
      </c>
      <c r="F435" s="7" t="s">
        <v>136</v>
      </c>
      <c r="G435" s="7" t="s">
        <v>385</v>
      </c>
      <c r="I435" s="7" t="s">
        <v>135</v>
      </c>
      <c r="J435" s="7" t="s">
        <v>1203</v>
      </c>
      <c r="K435" s="7" t="s">
        <v>139</v>
      </c>
      <c r="L435" s="7" t="s">
        <v>60</v>
      </c>
    </row>
    <row r="436">
      <c r="A436" s="7">
        <v>2.0</v>
      </c>
      <c r="B436" s="7" t="s">
        <v>7</v>
      </c>
      <c r="C436" s="7" t="s">
        <v>1204</v>
      </c>
      <c r="D436" s="7" t="s">
        <v>233</v>
      </c>
      <c r="E436" s="7" t="s">
        <v>136</v>
      </c>
      <c r="F436" s="7" t="s">
        <v>135</v>
      </c>
      <c r="G436" s="7" t="s">
        <v>1205</v>
      </c>
      <c r="H436" s="7" t="s">
        <v>1206</v>
      </c>
      <c r="I436" s="7" t="s">
        <v>135</v>
      </c>
      <c r="J436" s="7" t="s">
        <v>1207</v>
      </c>
      <c r="K436" s="7" t="s">
        <v>139</v>
      </c>
      <c r="L436" s="7" t="s">
        <v>60</v>
      </c>
    </row>
    <row r="437">
      <c r="A437" s="7">
        <v>52.0</v>
      </c>
      <c r="B437" s="7" t="s">
        <v>7</v>
      </c>
      <c r="C437" s="7" t="s">
        <v>379</v>
      </c>
      <c r="D437" s="7" t="s">
        <v>202</v>
      </c>
      <c r="E437" s="7" t="s">
        <v>136</v>
      </c>
      <c r="F437" s="7" t="s">
        <v>136</v>
      </c>
      <c r="G437" s="7" t="s">
        <v>221</v>
      </c>
      <c r="I437" s="7" t="s">
        <v>135</v>
      </c>
      <c r="J437" s="7" t="s">
        <v>1208</v>
      </c>
      <c r="K437" s="7" t="s">
        <v>139</v>
      </c>
      <c r="L437" s="7" t="s">
        <v>60</v>
      </c>
    </row>
    <row r="438">
      <c r="A438" s="7">
        <v>83.0</v>
      </c>
      <c r="B438" s="7" t="s">
        <v>7</v>
      </c>
      <c r="C438" s="7" t="s">
        <v>1127</v>
      </c>
      <c r="D438" s="7" t="s">
        <v>233</v>
      </c>
      <c r="E438" s="7" t="s">
        <v>136</v>
      </c>
      <c r="F438" s="7" t="s">
        <v>136</v>
      </c>
      <c r="G438" s="7" t="s">
        <v>185</v>
      </c>
      <c r="H438" s="7" t="s">
        <v>1209</v>
      </c>
      <c r="I438" s="7" t="s">
        <v>135</v>
      </c>
      <c r="J438" s="7" t="s">
        <v>1210</v>
      </c>
      <c r="K438" s="7" t="s">
        <v>139</v>
      </c>
      <c r="L438" s="7" t="s">
        <v>60</v>
      </c>
    </row>
    <row r="439">
      <c r="A439" s="7">
        <v>11.0</v>
      </c>
      <c r="B439" s="7" t="s">
        <v>7</v>
      </c>
      <c r="C439" s="7" t="s">
        <v>1211</v>
      </c>
      <c r="D439" s="7" t="s">
        <v>202</v>
      </c>
      <c r="E439" s="7" t="s">
        <v>135</v>
      </c>
      <c r="F439" s="7" t="s">
        <v>136</v>
      </c>
      <c r="G439" s="7" t="s">
        <v>137</v>
      </c>
      <c r="I439" s="7" t="s">
        <v>135</v>
      </c>
      <c r="J439" s="7" t="s">
        <v>1212</v>
      </c>
      <c r="K439" s="7" t="s">
        <v>139</v>
      </c>
      <c r="L439" s="7" t="s">
        <v>60</v>
      </c>
    </row>
    <row r="440">
      <c r="A440" s="7">
        <v>65.0</v>
      </c>
      <c r="B440" s="7" t="s">
        <v>7</v>
      </c>
      <c r="C440" s="7" t="s">
        <v>1213</v>
      </c>
      <c r="D440" s="7" t="s">
        <v>233</v>
      </c>
      <c r="E440" s="7" t="s">
        <v>135</v>
      </c>
      <c r="F440" s="7" t="s">
        <v>136</v>
      </c>
      <c r="G440" s="7" t="s">
        <v>185</v>
      </c>
      <c r="H440" s="7" t="s">
        <v>1214</v>
      </c>
      <c r="I440" s="7" t="s">
        <v>135</v>
      </c>
      <c r="J440" s="7" t="s">
        <v>1215</v>
      </c>
      <c r="K440" s="7" t="s">
        <v>139</v>
      </c>
      <c r="L440" s="7" t="s">
        <v>60</v>
      </c>
    </row>
    <row r="441">
      <c r="A441" s="7">
        <v>22.0</v>
      </c>
      <c r="B441" s="7" t="s">
        <v>7</v>
      </c>
      <c r="C441" s="7" t="s">
        <v>1216</v>
      </c>
      <c r="D441" s="7" t="s">
        <v>233</v>
      </c>
      <c r="E441" s="7" t="s">
        <v>136</v>
      </c>
      <c r="F441" s="7" t="s">
        <v>136</v>
      </c>
      <c r="G441" s="7" t="s">
        <v>185</v>
      </c>
      <c r="H441" s="7" t="s">
        <v>1217</v>
      </c>
      <c r="I441" s="7" t="s">
        <v>135</v>
      </c>
      <c r="J441" s="7" t="s">
        <v>1218</v>
      </c>
      <c r="K441" s="7" t="s">
        <v>139</v>
      </c>
      <c r="L441" s="7" t="s">
        <v>60</v>
      </c>
    </row>
    <row r="442">
      <c r="A442" s="7">
        <v>68.0</v>
      </c>
      <c r="B442" s="7" t="s">
        <v>6</v>
      </c>
      <c r="C442" s="7" t="s">
        <v>1213</v>
      </c>
      <c r="D442" s="7" t="s">
        <v>233</v>
      </c>
      <c r="E442" s="7" t="s">
        <v>135</v>
      </c>
      <c r="F442" s="7" t="s">
        <v>136</v>
      </c>
      <c r="G442" s="7" t="s">
        <v>1219</v>
      </c>
      <c r="H442" s="7" t="s">
        <v>1220</v>
      </c>
      <c r="I442" s="7" t="s">
        <v>135</v>
      </c>
      <c r="J442" s="7" t="s">
        <v>1221</v>
      </c>
      <c r="K442" s="7" t="s">
        <v>139</v>
      </c>
      <c r="L442" s="7" t="s">
        <v>60</v>
      </c>
    </row>
    <row r="443">
      <c r="A443" s="7">
        <v>45.0</v>
      </c>
      <c r="B443" s="7" t="s">
        <v>7</v>
      </c>
      <c r="C443" s="7" t="s">
        <v>1057</v>
      </c>
      <c r="D443" s="7" t="s">
        <v>331</v>
      </c>
      <c r="E443" s="7" t="s">
        <v>135</v>
      </c>
      <c r="F443" s="7" t="s">
        <v>136</v>
      </c>
      <c r="G443" s="7" t="s">
        <v>1222</v>
      </c>
      <c r="H443" s="7" t="s">
        <v>404</v>
      </c>
      <c r="I443" s="7" t="s">
        <v>136</v>
      </c>
      <c r="J443" s="7" t="s">
        <v>1223</v>
      </c>
      <c r="K443" s="7" t="s">
        <v>139</v>
      </c>
      <c r="L443" s="7" t="s">
        <v>60</v>
      </c>
    </row>
    <row r="444">
      <c r="A444" s="7">
        <v>12.0</v>
      </c>
      <c r="B444" s="7" t="s">
        <v>7</v>
      </c>
      <c r="C444" s="7" t="s">
        <v>1224</v>
      </c>
      <c r="D444" s="7" t="s">
        <v>213</v>
      </c>
      <c r="E444" s="7" t="s">
        <v>135</v>
      </c>
      <c r="F444" s="7" t="s">
        <v>135</v>
      </c>
      <c r="G444" s="7" t="s">
        <v>1225</v>
      </c>
      <c r="H444" s="7" t="s">
        <v>1226</v>
      </c>
      <c r="I444" s="7" t="s">
        <v>136</v>
      </c>
      <c r="J444" s="7" t="s">
        <v>1227</v>
      </c>
      <c r="K444" s="7" t="s">
        <v>139</v>
      </c>
      <c r="L444" s="7" t="s">
        <v>60</v>
      </c>
    </row>
    <row r="445">
      <c r="A445" s="7">
        <v>33.0</v>
      </c>
      <c r="B445" s="7" t="s">
        <v>7</v>
      </c>
      <c r="C445" s="7" t="s">
        <v>1228</v>
      </c>
      <c r="D445" s="7" t="s">
        <v>233</v>
      </c>
      <c r="E445" s="7" t="s">
        <v>135</v>
      </c>
      <c r="F445" s="7" t="s">
        <v>136</v>
      </c>
      <c r="G445" s="7" t="s">
        <v>185</v>
      </c>
      <c r="H445" s="7" t="s">
        <v>1229</v>
      </c>
      <c r="I445" s="7" t="s">
        <v>135</v>
      </c>
      <c r="J445" s="7" t="s">
        <v>1230</v>
      </c>
      <c r="K445" s="7" t="s">
        <v>139</v>
      </c>
      <c r="L445" s="7" t="s">
        <v>60</v>
      </c>
    </row>
    <row r="446">
      <c r="A446" s="7">
        <v>53.0</v>
      </c>
      <c r="B446" s="7" t="s">
        <v>6</v>
      </c>
      <c r="C446" s="7" t="s">
        <v>1116</v>
      </c>
      <c r="D446" s="7" t="s">
        <v>197</v>
      </c>
      <c r="E446" s="7" t="s">
        <v>136</v>
      </c>
      <c r="F446" s="7" t="s">
        <v>136</v>
      </c>
      <c r="G446" s="7" t="s">
        <v>1231</v>
      </c>
      <c r="H446" s="7" t="s">
        <v>1232</v>
      </c>
      <c r="I446" s="7" t="s">
        <v>136</v>
      </c>
      <c r="J446" s="7" t="s">
        <v>1233</v>
      </c>
      <c r="K446" s="7" t="s">
        <v>139</v>
      </c>
      <c r="L446" s="7" t="s">
        <v>60</v>
      </c>
    </row>
    <row r="447">
      <c r="A447" s="7">
        <v>64.0</v>
      </c>
      <c r="B447" s="7" t="s">
        <v>6</v>
      </c>
      <c r="C447" s="7" t="s">
        <v>167</v>
      </c>
      <c r="D447" s="7" t="s">
        <v>143</v>
      </c>
      <c r="E447" s="7" t="s">
        <v>136</v>
      </c>
      <c r="F447" s="7" t="s">
        <v>136</v>
      </c>
      <c r="G447" s="7" t="s">
        <v>231</v>
      </c>
      <c r="I447" s="7" t="s">
        <v>135</v>
      </c>
      <c r="J447" s="7" t="s">
        <v>1234</v>
      </c>
      <c r="K447" s="7" t="s">
        <v>139</v>
      </c>
      <c r="L447" s="7" t="s">
        <v>60</v>
      </c>
    </row>
    <row r="448">
      <c r="A448" s="7">
        <v>26.0</v>
      </c>
      <c r="B448" s="7" t="s">
        <v>7</v>
      </c>
      <c r="C448" s="7" t="s">
        <v>1235</v>
      </c>
      <c r="D448" s="7" t="s">
        <v>233</v>
      </c>
      <c r="E448" s="7" t="s">
        <v>135</v>
      </c>
      <c r="F448" s="7" t="s">
        <v>136</v>
      </c>
      <c r="G448" s="7" t="s">
        <v>185</v>
      </c>
      <c r="H448" s="7" t="s">
        <v>1236</v>
      </c>
      <c r="I448" s="7" t="s">
        <v>135</v>
      </c>
      <c r="J448" s="7" t="s">
        <v>1237</v>
      </c>
      <c r="K448" s="7" t="s">
        <v>139</v>
      </c>
      <c r="L448" s="7" t="s">
        <v>60</v>
      </c>
    </row>
    <row r="449">
      <c r="A449" s="7">
        <v>31.0</v>
      </c>
      <c r="B449" s="7" t="s">
        <v>7</v>
      </c>
      <c r="C449" s="7" t="s">
        <v>1238</v>
      </c>
      <c r="D449" s="7" t="s">
        <v>233</v>
      </c>
      <c r="E449" s="7" t="s">
        <v>135</v>
      </c>
      <c r="F449" s="7" t="s">
        <v>136</v>
      </c>
      <c r="G449" s="7" t="s">
        <v>157</v>
      </c>
      <c r="I449" s="7" t="s">
        <v>136</v>
      </c>
      <c r="J449" s="7" t="s">
        <v>1239</v>
      </c>
      <c r="K449" s="7" t="s">
        <v>139</v>
      </c>
      <c r="L449" s="7" t="s">
        <v>60</v>
      </c>
    </row>
    <row r="450">
      <c r="A450" s="7">
        <v>82.0</v>
      </c>
      <c r="B450" s="7" t="s">
        <v>6</v>
      </c>
      <c r="C450" s="7" t="s">
        <v>1240</v>
      </c>
      <c r="D450" s="7" t="s">
        <v>233</v>
      </c>
      <c r="E450" s="7" t="s">
        <v>135</v>
      </c>
      <c r="F450" s="7" t="s">
        <v>136</v>
      </c>
      <c r="G450" s="7" t="s">
        <v>185</v>
      </c>
      <c r="H450" s="7" t="s">
        <v>1241</v>
      </c>
      <c r="I450" s="7" t="s">
        <v>135</v>
      </c>
      <c r="J450" s="7" t="s">
        <v>1242</v>
      </c>
      <c r="K450" s="7" t="s">
        <v>139</v>
      </c>
      <c r="L450" s="7" t="s">
        <v>60</v>
      </c>
    </row>
    <row r="451">
      <c r="A451" s="7">
        <v>24.0</v>
      </c>
      <c r="B451" s="7" t="s">
        <v>7</v>
      </c>
      <c r="C451" s="7" t="s">
        <v>1243</v>
      </c>
      <c r="D451" s="7" t="s">
        <v>187</v>
      </c>
      <c r="E451" s="7" t="s">
        <v>136</v>
      </c>
      <c r="F451" s="7" t="s">
        <v>136</v>
      </c>
      <c r="G451" s="7" t="s">
        <v>297</v>
      </c>
      <c r="I451" s="7" t="s">
        <v>135</v>
      </c>
      <c r="J451" s="7" t="s">
        <v>1244</v>
      </c>
      <c r="K451" s="7" t="s">
        <v>139</v>
      </c>
      <c r="L451" s="7" t="s">
        <v>60</v>
      </c>
    </row>
    <row r="452">
      <c r="A452" s="7">
        <v>66.0</v>
      </c>
      <c r="B452" s="7" t="s">
        <v>7</v>
      </c>
      <c r="C452" s="7" t="s">
        <v>1213</v>
      </c>
      <c r="D452" s="7" t="s">
        <v>233</v>
      </c>
      <c r="E452" s="7" t="s">
        <v>135</v>
      </c>
      <c r="F452" s="7" t="s">
        <v>136</v>
      </c>
      <c r="G452" s="7" t="s">
        <v>157</v>
      </c>
      <c r="H452" s="7" t="s">
        <v>1245</v>
      </c>
      <c r="I452" s="7" t="s">
        <v>136</v>
      </c>
      <c r="J452" s="7" t="s">
        <v>1246</v>
      </c>
      <c r="K452" s="7" t="s">
        <v>139</v>
      </c>
      <c r="L452" s="7" t="s">
        <v>60</v>
      </c>
    </row>
    <row r="453">
      <c r="A453" s="7">
        <v>17.0</v>
      </c>
      <c r="B453" s="7" t="s">
        <v>7</v>
      </c>
      <c r="C453" s="7" t="s">
        <v>1247</v>
      </c>
      <c r="D453" s="7" t="s">
        <v>233</v>
      </c>
      <c r="E453" s="7" t="s">
        <v>136</v>
      </c>
      <c r="F453" s="7" t="s">
        <v>136</v>
      </c>
      <c r="G453" s="7" t="s">
        <v>185</v>
      </c>
      <c r="I453" s="7" t="s">
        <v>136</v>
      </c>
      <c r="J453" s="7" t="s">
        <v>1248</v>
      </c>
      <c r="K453" s="7" t="s">
        <v>139</v>
      </c>
      <c r="L453" s="7" t="s">
        <v>60</v>
      </c>
    </row>
    <row r="454">
      <c r="A454" s="7">
        <v>16.0</v>
      </c>
      <c r="B454" s="7" t="s">
        <v>7</v>
      </c>
      <c r="C454" s="7" t="s">
        <v>1249</v>
      </c>
      <c r="D454" s="7" t="s">
        <v>143</v>
      </c>
      <c r="E454" s="7" t="s">
        <v>135</v>
      </c>
      <c r="F454" s="7" t="s">
        <v>136</v>
      </c>
      <c r="G454" s="7" t="s">
        <v>1250</v>
      </c>
      <c r="H454" s="7" t="s">
        <v>1251</v>
      </c>
      <c r="I454" s="7" t="s">
        <v>136</v>
      </c>
      <c r="J454" s="7" t="s">
        <v>1252</v>
      </c>
      <c r="K454" s="7" t="s">
        <v>139</v>
      </c>
      <c r="L454" s="7" t="s">
        <v>60</v>
      </c>
    </row>
    <row r="455">
      <c r="A455" s="7">
        <v>43.0</v>
      </c>
      <c r="B455" s="7" t="s">
        <v>7</v>
      </c>
      <c r="C455" s="7" t="s">
        <v>1253</v>
      </c>
      <c r="D455" s="7" t="s">
        <v>233</v>
      </c>
      <c r="E455" s="7" t="s">
        <v>136</v>
      </c>
      <c r="F455" s="7" t="s">
        <v>136</v>
      </c>
      <c r="G455" s="7" t="s">
        <v>185</v>
      </c>
      <c r="H455" s="7" t="s">
        <v>1254</v>
      </c>
      <c r="I455" s="7" t="s">
        <v>135</v>
      </c>
      <c r="J455" s="7" t="s">
        <v>1255</v>
      </c>
      <c r="K455" s="7" t="s">
        <v>139</v>
      </c>
      <c r="L455" s="7" t="s">
        <v>60</v>
      </c>
    </row>
    <row r="456">
      <c r="A456" s="7">
        <v>8.0</v>
      </c>
      <c r="B456" s="7" t="s">
        <v>6</v>
      </c>
      <c r="C456" s="7" t="s">
        <v>1256</v>
      </c>
      <c r="D456" s="7" t="s">
        <v>233</v>
      </c>
      <c r="E456" s="7" t="s">
        <v>135</v>
      </c>
      <c r="F456" s="7" t="s">
        <v>136</v>
      </c>
      <c r="G456" s="7" t="s">
        <v>1257</v>
      </c>
      <c r="H456" s="7" t="s">
        <v>1258</v>
      </c>
      <c r="I456" s="7" t="s">
        <v>136</v>
      </c>
      <c r="J456" s="7" t="s">
        <v>1259</v>
      </c>
      <c r="K456" s="7" t="s">
        <v>139</v>
      </c>
      <c r="L456" s="7" t="s">
        <v>60</v>
      </c>
    </row>
    <row r="457">
      <c r="A457" s="7">
        <v>36.0</v>
      </c>
      <c r="B457" s="7" t="s">
        <v>7</v>
      </c>
      <c r="C457" s="7" t="s">
        <v>1119</v>
      </c>
      <c r="D457" s="7" t="s">
        <v>233</v>
      </c>
      <c r="E457" s="7" t="s">
        <v>136</v>
      </c>
      <c r="F457" s="7" t="s">
        <v>135</v>
      </c>
      <c r="G457" s="7" t="s">
        <v>157</v>
      </c>
      <c r="H457" s="7" t="s">
        <v>1114</v>
      </c>
      <c r="I457" s="7" t="s">
        <v>135</v>
      </c>
      <c r="J457" s="7" t="s">
        <v>1260</v>
      </c>
      <c r="K457" s="7" t="s">
        <v>139</v>
      </c>
      <c r="L457" s="7" t="s">
        <v>60</v>
      </c>
    </row>
    <row r="458">
      <c r="A458" s="7">
        <v>39.0</v>
      </c>
      <c r="B458" s="7" t="s">
        <v>7</v>
      </c>
      <c r="C458" s="7" t="s">
        <v>1119</v>
      </c>
      <c r="D458" s="7" t="s">
        <v>233</v>
      </c>
      <c r="E458" s="7" t="s">
        <v>136</v>
      </c>
      <c r="F458" s="7" t="s">
        <v>136</v>
      </c>
      <c r="G458" s="7" t="s">
        <v>157</v>
      </c>
      <c r="I458" s="7" t="s">
        <v>135</v>
      </c>
      <c r="J458" s="7" t="s">
        <v>1261</v>
      </c>
      <c r="K458" s="7" t="s">
        <v>139</v>
      </c>
      <c r="L458" s="7" t="s">
        <v>60</v>
      </c>
    </row>
    <row r="459">
      <c r="A459" s="7">
        <v>34.0</v>
      </c>
      <c r="B459" s="7" t="s">
        <v>7</v>
      </c>
      <c r="C459" s="7" t="s">
        <v>1262</v>
      </c>
      <c r="D459" s="7" t="s">
        <v>233</v>
      </c>
      <c r="E459" s="7" t="s">
        <v>135</v>
      </c>
      <c r="F459" s="7" t="s">
        <v>136</v>
      </c>
      <c r="G459" s="7" t="s">
        <v>185</v>
      </c>
      <c r="H459" s="7" t="s">
        <v>1263</v>
      </c>
      <c r="I459" s="7" t="s">
        <v>135</v>
      </c>
      <c r="J459" s="7" t="s">
        <v>1264</v>
      </c>
      <c r="K459" s="7" t="s">
        <v>139</v>
      </c>
      <c r="L459" s="7" t="s">
        <v>60</v>
      </c>
    </row>
    <row r="460">
      <c r="A460" s="7">
        <v>60.0</v>
      </c>
      <c r="B460" s="7" t="s">
        <v>7</v>
      </c>
      <c r="C460" s="7" t="s">
        <v>1265</v>
      </c>
      <c r="D460" s="7" t="s">
        <v>290</v>
      </c>
      <c r="E460" s="7" t="s">
        <v>135</v>
      </c>
      <c r="F460" s="7" t="s">
        <v>136</v>
      </c>
      <c r="G460" s="7" t="s">
        <v>479</v>
      </c>
      <c r="H460" s="7" t="s">
        <v>1266</v>
      </c>
      <c r="I460" s="7" t="s">
        <v>136</v>
      </c>
      <c r="J460" s="7" t="s">
        <v>1267</v>
      </c>
      <c r="K460" s="7" t="s">
        <v>139</v>
      </c>
      <c r="L460" s="7" t="s">
        <v>60</v>
      </c>
    </row>
    <row r="461">
      <c r="A461" s="7">
        <v>86.0</v>
      </c>
      <c r="B461" s="7" t="s">
        <v>7</v>
      </c>
      <c r="C461" s="7" t="s">
        <v>1268</v>
      </c>
      <c r="D461" s="7" t="s">
        <v>290</v>
      </c>
      <c r="E461" s="7" t="s">
        <v>135</v>
      </c>
      <c r="F461" s="7" t="s">
        <v>136</v>
      </c>
      <c r="G461" s="7" t="s">
        <v>479</v>
      </c>
      <c r="I461" s="7" t="s">
        <v>136</v>
      </c>
      <c r="J461" s="7" t="s">
        <v>1269</v>
      </c>
      <c r="K461" s="7" t="s">
        <v>139</v>
      </c>
      <c r="L461" s="7" t="s">
        <v>60</v>
      </c>
    </row>
    <row r="462">
      <c r="A462" s="7">
        <v>55.0</v>
      </c>
      <c r="B462" s="7" t="s">
        <v>6</v>
      </c>
      <c r="C462" s="7" t="s">
        <v>1094</v>
      </c>
      <c r="D462" s="7" t="s">
        <v>143</v>
      </c>
      <c r="E462" s="7" t="s">
        <v>135</v>
      </c>
      <c r="F462" s="7" t="s">
        <v>136</v>
      </c>
      <c r="G462" s="7" t="s">
        <v>349</v>
      </c>
      <c r="I462" s="7" t="s">
        <v>135</v>
      </c>
      <c r="J462" s="7" t="s">
        <v>1270</v>
      </c>
      <c r="K462" s="7" t="s">
        <v>139</v>
      </c>
      <c r="L462" s="7" t="s">
        <v>60</v>
      </c>
    </row>
    <row r="463">
      <c r="A463" s="7">
        <v>32.0</v>
      </c>
      <c r="B463" s="7" t="s">
        <v>6</v>
      </c>
      <c r="C463" s="7" t="s">
        <v>1127</v>
      </c>
      <c r="D463" s="7" t="s">
        <v>233</v>
      </c>
      <c r="E463" s="7" t="s">
        <v>136</v>
      </c>
      <c r="F463" s="7" t="s">
        <v>136</v>
      </c>
      <c r="G463" s="7" t="s">
        <v>185</v>
      </c>
      <c r="H463" s="7" t="s">
        <v>1271</v>
      </c>
      <c r="I463" s="7" t="s">
        <v>135</v>
      </c>
      <c r="J463" s="7" t="s">
        <v>1272</v>
      </c>
      <c r="K463" s="7" t="s">
        <v>139</v>
      </c>
      <c r="L463" s="7" t="s">
        <v>60</v>
      </c>
    </row>
    <row r="464">
      <c r="A464" s="7">
        <v>27.0</v>
      </c>
      <c r="B464" s="7" t="s">
        <v>6</v>
      </c>
      <c r="C464" s="7" t="s">
        <v>1273</v>
      </c>
      <c r="D464" s="7" t="s">
        <v>233</v>
      </c>
      <c r="E464" s="7" t="s">
        <v>135</v>
      </c>
      <c r="F464" s="7" t="s">
        <v>135</v>
      </c>
      <c r="G464" s="7" t="s">
        <v>157</v>
      </c>
      <c r="H464" s="7" t="s">
        <v>1274</v>
      </c>
      <c r="I464" s="7" t="s">
        <v>136</v>
      </c>
      <c r="J464" s="7" t="s">
        <v>1275</v>
      </c>
      <c r="K464" s="7" t="s">
        <v>139</v>
      </c>
      <c r="L464" s="7" t="s">
        <v>60</v>
      </c>
    </row>
    <row r="465">
      <c r="A465" s="7">
        <v>62.0</v>
      </c>
      <c r="B465" s="7" t="s">
        <v>7</v>
      </c>
      <c r="C465" s="7" t="s">
        <v>338</v>
      </c>
      <c r="D465" s="7" t="s">
        <v>143</v>
      </c>
      <c r="E465" s="7" t="s">
        <v>136</v>
      </c>
      <c r="F465" s="7" t="s">
        <v>136</v>
      </c>
      <c r="G465" s="7" t="s">
        <v>385</v>
      </c>
      <c r="I465" s="7" t="s">
        <v>135</v>
      </c>
      <c r="J465" s="7" t="s">
        <v>1276</v>
      </c>
      <c r="K465" s="7" t="s">
        <v>139</v>
      </c>
      <c r="L465" s="7" t="s">
        <v>60</v>
      </c>
    </row>
    <row r="466">
      <c r="A466" s="7">
        <v>78.0</v>
      </c>
      <c r="B466" s="7" t="s">
        <v>6</v>
      </c>
      <c r="C466" s="7" t="s">
        <v>315</v>
      </c>
      <c r="D466" s="7" t="s">
        <v>164</v>
      </c>
      <c r="E466" s="7" t="s">
        <v>136</v>
      </c>
      <c r="F466" s="7" t="s">
        <v>136</v>
      </c>
      <c r="G466" s="7" t="s">
        <v>1277</v>
      </c>
      <c r="I466" s="7" t="s">
        <v>135</v>
      </c>
      <c r="J466" s="7" t="s">
        <v>1278</v>
      </c>
      <c r="K466" s="7" t="s">
        <v>139</v>
      </c>
      <c r="L466" s="7" t="s">
        <v>60</v>
      </c>
    </row>
    <row r="467">
      <c r="A467" s="7">
        <v>47.0</v>
      </c>
      <c r="B467" s="7" t="s">
        <v>7</v>
      </c>
      <c r="C467" s="7" t="s">
        <v>1279</v>
      </c>
      <c r="D467" s="7" t="s">
        <v>233</v>
      </c>
      <c r="E467" s="7" t="s">
        <v>136</v>
      </c>
      <c r="F467" s="7" t="s">
        <v>136</v>
      </c>
      <c r="G467" s="7" t="s">
        <v>144</v>
      </c>
      <c r="I467" s="7" t="s">
        <v>135</v>
      </c>
      <c r="J467" s="7" t="s">
        <v>1280</v>
      </c>
      <c r="K467" s="7" t="s">
        <v>139</v>
      </c>
      <c r="L467" s="7" t="s">
        <v>60</v>
      </c>
    </row>
    <row r="468">
      <c r="A468" s="7">
        <v>49.0</v>
      </c>
      <c r="B468" s="7" t="s">
        <v>7</v>
      </c>
      <c r="C468" s="7" t="s">
        <v>1279</v>
      </c>
      <c r="D468" s="7" t="s">
        <v>233</v>
      </c>
      <c r="E468" s="7" t="s">
        <v>136</v>
      </c>
      <c r="F468" s="7" t="s">
        <v>136</v>
      </c>
      <c r="G468" s="7" t="s">
        <v>144</v>
      </c>
      <c r="I468" s="7" t="s">
        <v>135</v>
      </c>
      <c r="J468" s="7" t="s">
        <v>1281</v>
      </c>
      <c r="K468" s="7" t="s">
        <v>139</v>
      </c>
      <c r="L468" s="7" t="s">
        <v>60</v>
      </c>
    </row>
    <row r="469">
      <c r="A469" s="7">
        <v>77.0</v>
      </c>
      <c r="B469" s="7" t="s">
        <v>6</v>
      </c>
      <c r="C469" s="7" t="s">
        <v>1282</v>
      </c>
      <c r="D469" s="7" t="s">
        <v>134</v>
      </c>
      <c r="E469" s="7" t="s">
        <v>136</v>
      </c>
      <c r="F469" s="7" t="s">
        <v>136</v>
      </c>
      <c r="G469" s="7" t="s">
        <v>137</v>
      </c>
      <c r="I469" s="7" t="s">
        <v>135</v>
      </c>
      <c r="J469" s="7" t="s">
        <v>1283</v>
      </c>
      <c r="K469" s="7" t="s">
        <v>139</v>
      </c>
      <c r="L469" s="7" t="s">
        <v>60</v>
      </c>
    </row>
    <row r="470">
      <c r="A470" s="7">
        <v>74.0</v>
      </c>
      <c r="B470" s="7" t="s">
        <v>7</v>
      </c>
      <c r="C470" s="7" t="s">
        <v>1284</v>
      </c>
      <c r="D470" s="7" t="s">
        <v>233</v>
      </c>
      <c r="E470" s="7" t="s">
        <v>135</v>
      </c>
      <c r="F470" s="7" t="s">
        <v>136</v>
      </c>
      <c r="G470" s="7" t="s">
        <v>185</v>
      </c>
      <c r="H470" s="7" t="s">
        <v>1217</v>
      </c>
      <c r="I470" s="7" t="s">
        <v>135</v>
      </c>
      <c r="J470" s="7" t="s">
        <v>1285</v>
      </c>
      <c r="K470" s="7" t="s">
        <v>139</v>
      </c>
      <c r="L470" s="7" t="s">
        <v>60</v>
      </c>
    </row>
    <row r="471">
      <c r="A471" s="7">
        <v>71.0</v>
      </c>
      <c r="B471" s="7" t="s">
        <v>6</v>
      </c>
      <c r="C471" s="7" t="s">
        <v>459</v>
      </c>
      <c r="D471" s="7" t="s">
        <v>197</v>
      </c>
      <c r="E471" s="7" t="s">
        <v>136</v>
      </c>
      <c r="F471" s="7" t="s">
        <v>136</v>
      </c>
      <c r="G471" s="7" t="s">
        <v>1042</v>
      </c>
      <c r="I471" s="7" t="s">
        <v>135</v>
      </c>
      <c r="J471" s="7" t="s">
        <v>1286</v>
      </c>
      <c r="K471" s="7" t="s">
        <v>139</v>
      </c>
      <c r="L471" s="7" t="s">
        <v>60</v>
      </c>
    </row>
    <row r="472">
      <c r="A472" s="7">
        <v>84.0</v>
      </c>
      <c r="B472" s="7" t="s">
        <v>6</v>
      </c>
      <c r="C472" s="7" t="s">
        <v>1127</v>
      </c>
      <c r="D472" s="7" t="s">
        <v>233</v>
      </c>
      <c r="E472" s="7" t="s">
        <v>136</v>
      </c>
      <c r="F472" s="7" t="s">
        <v>136</v>
      </c>
      <c r="G472" s="7" t="s">
        <v>185</v>
      </c>
      <c r="I472" s="7" t="s">
        <v>135</v>
      </c>
      <c r="J472" s="7" t="s">
        <v>1287</v>
      </c>
      <c r="K472" s="7" t="s">
        <v>139</v>
      </c>
      <c r="L472" s="7" t="s">
        <v>60</v>
      </c>
    </row>
    <row r="473">
      <c r="A473" s="7">
        <v>14.0</v>
      </c>
      <c r="B473" s="7" t="s">
        <v>7</v>
      </c>
      <c r="C473" s="7" t="s">
        <v>315</v>
      </c>
      <c r="D473" s="7" t="s">
        <v>164</v>
      </c>
      <c r="E473" s="7" t="s">
        <v>136</v>
      </c>
      <c r="F473" s="7" t="s">
        <v>136</v>
      </c>
      <c r="G473" s="7" t="s">
        <v>185</v>
      </c>
      <c r="H473" s="7" t="s">
        <v>1288</v>
      </c>
      <c r="I473" s="7" t="s">
        <v>136</v>
      </c>
      <c r="J473" s="7" t="s">
        <v>1289</v>
      </c>
      <c r="K473" s="7" t="s">
        <v>139</v>
      </c>
      <c r="L473" s="7" t="s">
        <v>60</v>
      </c>
    </row>
    <row r="474">
      <c r="A474" s="7">
        <v>57.0</v>
      </c>
      <c r="B474" s="7" t="s">
        <v>6</v>
      </c>
      <c r="C474" s="7" t="s">
        <v>1106</v>
      </c>
      <c r="D474" s="7" t="s">
        <v>193</v>
      </c>
      <c r="E474" s="7" t="s">
        <v>135</v>
      </c>
      <c r="F474" s="7" t="s">
        <v>136</v>
      </c>
      <c r="G474" s="7" t="s">
        <v>1027</v>
      </c>
      <c r="I474" s="7" t="s">
        <v>136</v>
      </c>
      <c r="J474" s="7" t="s">
        <v>1290</v>
      </c>
      <c r="K474" s="7" t="s">
        <v>139</v>
      </c>
      <c r="L474" s="7" t="s">
        <v>60</v>
      </c>
    </row>
    <row r="475">
      <c r="A475" s="7">
        <v>81.0</v>
      </c>
      <c r="B475" s="7" t="s">
        <v>7</v>
      </c>
      <c r="C475" s="7" t="s">
        <v>466</v>
      </c>
      <c r="D475" s="7" t="s">
        <v>255</v>
      </c>
      <c r="E475" s="7" t="s">
        <v>135</v>
      </c>
      <c r="F475" s="7" t="s">
        <v>136</v>
      </c>
      <c r="G475" s="7" t="s">
        <v>1291</v>
      </c>
      <c r="H475" s="7" t="s">
        <v>1292</v>
      </c>
      <c r="I475" s="7" t="s">
        <v>135</v>
      </c>
      <c r="J475" s="7" t="s">
        <v>1293</v>
      </c>
      <c r="K475" s="7" t="s">
        <v>139</v>
      </c>
      <c r="L475" s="7" t="s">
        <v>60</v>
      </c>
    </row>
    <row r="476">
      <c r="A476" s="7">
        <v>10.0</v>
      </c>
      <c r="B476" s="7" t="s">
        <v>7</v>
      </c>
      <c r="C476" s="7" t="s">
        <v>1294</v>
      </c>
      <c r="D476" s="7" t="s">
        <v>202</v>
      </c>
      <c r="E476" s="7" t="s">
        <v>136</v>
      </c>
      <c r="F476" s="7" t="s">
        <v>136</v>
      </c>
      <c r="G476" s="7" t="s">
        <v>1295</v>
      </c>
      <c r="I476" s="7" t="s">
        <v>135</v>
      </c>
      <c r="J476" s="7" t="s">
        <v>1296</v>
      </c>
      <c r="K476" s="7" t="s">
        <v>139</v>
      </c>
      <c r="L476" s="7" t="s">
        <v>60</v>
      </c>
    </row>
    <row r="477">
      <c r="A477" s="144">
        <v>14.0</v>
      </c>
      <c r="B477" s="144" t="s">
        <v>6</v>
      </c>
      <c r="C477" s="144" t="s">
        <v>356</v>
      </c>
      <c r="D477" s="144" t="s">
        <v>228</v>
      </c>
      <c r="E477" s="144" t="s">
        <v>135</v>
      </c>
      <c r="F477" s="144" t="s">
        <v>136</v>
      </c>
      <c r="G477" s="145" t="s">
        <v>137</v>
      </c>
      <c r="H477" s="144"/>
      <c r="I477" s="144" t="s">
        <v>135</v>
      </c>
      <c r="J477" s="144" t="s">
        <v>1297</v>
      </c>
      <c r="K477" s="144" t="s">
        <v>139</v>
      </c>
      <c r="L477" s="15" t="s">
        <v>69</v>
      </c>
    </row>
    <row r="478">
      <c r="A478" s="144">
        <v>3.0</v>
      </c>
      <c r="B478" s="144" t="s">
        <v>7</v>
      </c>
      <c r="C478" s="144" t="s">
        <v>1298</v>
      </c>
      <c r="D478" s="144" t="s">
        <v>228</v>
      </c>
      <c r="E478" s="144" t="s">
        <v>136</v>
      </c>
      <c r="F478" s="144" t="s">
        <v>135</v>
      </c>
      <c r="G478" s="145" t="s">
        <v>1299</v>
      </c>
      <c r="H478" s="144"/>
      <c r="I478" s="144" t="s">
        <v>136</v>
      </c>
      <c r="J478" s="144" t="s">
        <v>1300</v>
      </c>
      <c r="K478" s="144" t="s">
        <v>139</v>
      </c>
      <c r="L478" s="15" t="s">
        <v>69</v>
      </c>
    </row>
    <row r="479">
      <c r="A479" s="144">
        <v>1.0</v>
      </c>
      <c r="B479" s="144" t="s">
        <v>7</v>
      </c>
      <c r="C479" s="144" t="s">
        <v>1301</v>
      </c>
      <c r="D479" s="144" t="s">
        <v>322</v>
      </c>
      <c r="E479" s="144" t="s">
        <v>135</v>
      </c>
      <c r="F479" s="144" t="s">
        <v>136</v>
      </c>
      <c r="G479" s="144" t="s">
        <v>137</v>
      </c>
      <c r="H479" s="144"/>
      <c r="I479" s="144" t="s">
        <v>136</v>
      </c>
      <c r="J479" s="144" t="s">
        <v>1302</v>
      </c>
      <c r="K479" s="144" t="s">
        <v>139</v>
      </c>
      <c r="L479" s="15" t="s">
        <v>69</v>
      </c>
    </row>
    <row r="480">
      <c r="A480" s="144">
        <v>4.0</v>
      </c>
      <c r="B480" s="144" t="s">
        <v>6</v>
      </c>
      <c r="C480" s="144" t="s">
        <v>1303</v>
      </c>
      <c r="D480" s="144" t="s">
        <v>228</v>
      </c>
      <c r="E480" s="144" t="s">
        <v>135</v>
      </c>
      <c r="F480" s="144" t="s">
        <v>135</v>
      </c>
      <c r="G480" s="144" t="s">
        <v>185</v>
      </c>
      <c r="H480" s="145" t="s">
        <v>1304</v>
      </c>
      <c r="I480" s="144" t="s">
        <v>136</v>
      </c>
      <c r="J480" s="144" t="s">
        <v>1305</v>
      </c>
      <c r="K480" s="144" t="s">
        <v>139</v>
      </c>
      <c r="L480" s="15" t="s">
        <v>69</v>
      </c>
    </row>
    <row r="481">
      <c r="A481" s="144">
        <v>9.0</v>
      </c>
      <c r="B481" s="144" t="s">
        <v>7</v>
      </c>
      <c r="C481" s="144" t="s">
        <v>1306</v>
      </c>
      <c r="D481" s="144" t="s">
        <v>228</v>
      </c>
      <c r="E481" s="144" t="s">
        <v>136</v>
      </c>
      <c r="F481" s="144" t="s">
        <v>136</v>
      </c>
      <c r="G481" s="145" t="s">
        <v>221</v>
      </c>
      <c r="H481" s="144" t="s">
        <v>1307</v>
      </c>
      <c r="I481" s="144" t="s">
        <v>135</v>
      </c>
      <c r="J481" s="144" t="s">
        <v>1308</v>
      </c>
      <c r="K481" s="144" t="s">
        <v>139</v>
      </c>
      <c r="L481" s="15" t="s">
        <v>69</v>
      </c>
    </row>
    <row r="482">
      <c r="A482" s="144">
        <v>2.0</v>
      </c>
      <c r="B482" s="144" t="s">
        <v>7</v>
      </c>
      <c r="C482" s="144" t="s">
        <v>1298</v>
      </c>
      <c r="D482" s="144" t="s">
        <v>228</v>
      </c>
      <c r="E482" s="144" t="s">
        <v>136</v>
      </c>
      <c r="F482" s="144" t="s">
        <v>135</v>
      </c>
      <c r="G482" s="144" t="s">
        <v>1309</v>
      </c>
      <c r="H482" s="144"/>
      <c r="I482" s="144" t="s">
        <v>136</v>
      </c>
      <c r="J482" s="144" t="s">
        <v>1310</v>
      </c>
      <c r="K482" s="144" t="s">
        <v>139</v>
      </c>
      <c r="L482" s="15" t="s">
        <v>69</v>
      </c>
    </row>
    <row r="483">
      <c r="A483" s="144">
        <v>7.0</v>
      </c>
      <c r="B483" s="144" t="s">
        <v>6</v>
      </c>
      <c r="C483" s="144" t="s">
        <v>1311</v>
      </c>
      <c r="D483" s="144" t="s">
        <v>228</v>
      </c>
      <c r="E483" s="144" t="s">
        <v>136</v>
      </c>
      <c r="F483" s="144" t="s">
        <v>136</v>
      </c>
      <c r="G483" s="144" t="s">
        <v>554</v>
      </c>
      <c r="H483" s="145" t="s">
        <v>411</v>
      </c>
      <c r="I483" s="144" t="s">
        <v>135</v>
      </c>
      <c r="J483" s="144" t="s">
        <v>1312</v>
      </c>
      <c r="K483" s="144" t="s">
        <v>139</v>
      </c>
      <c r="L483" s="15" t="s">
        <v>69</v>
      </c>
    </row>
    <row r="484">
      <c r="A484" s="144">
        <v>6.0</v>
      </c>
      <c r="B484" s="144" t="s">
        <v>7</v>
      </c>
      <c r="C484" s="144" t="s">
        <v>228</v>
      </c>
      <c r="D484" s="144" t="s">
        <v>228</v>
      </c>
      <c r="E484" s="144" t="s">
        <v>135</v>
      </c>
      <c r="F484" s="144" t="s">
        <v>136</v>
      </c>
      <c r="G484" s="145" t="s">
        <v>174</v>
      </c>
      <c r="H484" s="144"/>
      <c r="I484" s="144" t="s">
        <v>136</v>
      </c>
      <c r="J484" s="144" t="s">
        <v>1313</v>
      </c>
      <c r="K484" s="144" t="s">
        <v>139</v>
      </c>
      <c r="L484" s="15" t="s">
        <v>69</v>
      </c>
    </row>
    <row r="485">
      <c r="A485" s="144">
        <v>8.0</v>
      </c>
      <c r="B485" s="144" t="s">
        <v>6</v>
      </c>
      <c r="C485" s="144" t="s">
        <v>1314</v>
      </c>
      <c r="D485" s="144" t="s">
        <v>228</v>
      </c>
      <c r="E485" s="144" t="s">
        <v>135</v>
      </c>
      <c r="F485" s="144" t="s">
        <v>136</v>
      </c>
      <c r="G485" s="145" t="s">
        <v>1315</v>
      </c>
      <c r="H485" s="144"/>
      <c r="I485" s="144" t="s">
        <v>136</v>
      </c>
      <c r="J485" s="144" t="s">
        <v>1316</v>
      </c>
      <c r="K485" s="144" t="s">
        <v>139</v>
      </c>
      <c r="L485" s="15" t="s">
        <v>69</v>
      </c>
    </row>
    <row r="486">
      <c r="A486" s="144">
        <v>5.0</v>
      </c>
      <c r="B486" s="144" t="s">
        <v>6</v>
      </c>
      <c r="C486" s="144" t="s">
        <v>1317</v>
      </c>
      <c r="D486" s="144" t="s">
        <v>228</v>
      </c>
      <c r="E486" s="144" t="s">
        <v>135</v>
      </c>
      <c r="F486" s="144" t="s">
        <v>135</v>
      </c>
      <c r="G486" s="144" t="s">
        <v>137</v>
      </c>
      <c r="H486" s="144"/>
      <c r="I486" s="144" t="s">
        <v>135</v>
      </c>
      <c r="J486" s="144" t="s">
        <v>1318</v>
      </c>
      <c r="K486" s="144" t="s">
        <v>139</v>
      </c>
      <c r="L486" s="15" t="s">
        <v>69</v>
      </c>
    </row>
    <row r="487">
      <c r="A487" s="144">
        <v>11.0</v>
      </c>
      <c r="B487" s="144" t="s">
        <v>6</v>
      </c>
      <c r="C487" s="144" t="s">
        <v>1319</v>
      </c>
      <c r="D487" s="144" t="s">
        <v>228</v>
      </c>
      <c r="E487" s="144" t="s">
        <v>135</v>
      </c>
      <c r="F487" s="144" t="s">
        <v>136</v>
      </c>
      <c r="G487" s="145" t="s">
        <v>1320</v>
      </c>
      <c r="H487" s="144"/>
      <c r="I487" s="144" t="s">
        <v>136</v>
      </c>
      <c r="J487" s="144" t="s">
        <v>1321</v>
      </c>
      <c r="K487" s="144" t="s">
        <v>139</v>
      </c>
      <c r="L487" s="15" t="s">
        <v>69</v>
      </c>
    </row>
    <row r="488">
      <c r="A488" s="144">
        <v>10.0</v>
      </c>
      <c r="B488" s="144" t="s">
        <v>6</v>
      </c>
      <c r="C488" s="144" t="s">
        <v>1322</v>
      </c>
      <c r="D488" s="144" t="s">
        <v>228</v>
      </c>
      <c r="E488" s="144" t="s">
        <v>135</v>
      </c>
      <c r="F488" s="144" t="s">
        <v>135</v>
      </c>
      <c r="G488" s="144" t="s">
        <v>185</v>
      </c>
      <c r="H488" s="144" t="s">
        <v>1323</v>
      </c>
      <c r="I488" s="144" t="s">
        <v>135</v>
      </c>
      <c r="J488" s="144" t="s">
        <v>1324</v>
      </c>
      <c r="K488" s="144" t="s">
        <v>139</v>
      </c>
      <c r="L488" s="15" t="s">
        <v>69</v>
      </c>
    </row>
    <row r="489">
      <c r="A489" s="144">
        <v>12.0</v>
      </c>
      <c r="B489" s="144" t="s">
        <v>6</v>
      </c>
      <c r="C489" s="144" t="s">
        <v>1325</v>
      </c>
      <c r="D489" s="144" t="s">
        <v>228</v>
      </c>
      <c r="E489" s="144" t="s">
        <v>135</v>
      </c>
      <c r="F489" s="144" t="s">
        <v>135</v>
      </c>
      <c r="G489" s="144" t="s">
        <v>137</v>
      </c>
      <c r="H489" s="144"/>
      <c r="I489" s="144" t="s">
        <v>135</v>
      </c>
      <c r="J489" s="144" t="s">
        <v>1326</v>
      </c>
      <c r="K489" s="144" t="s">
        <v>139</v>
      </c>
      <c r="L489" s="15" t="s">
        <v>69</v>
      </c>
    </row>
    <row r="490">
      <c r="A490" s="144">
        <v>13.0</v>
      </c>
      <c r="B490" s="144" t="s">
        <v>6</v>
      </c>
      <c r="C490" s="144" t="s">
        <v>1327</v>
      </c>
      <c r="D490" s="144" t="s">
        <v>228</v>
      </c>
      <c r="E490" s="144" t="s">
        <v>135</v>
      </c>
      <c r="F490" s="144" t="s">
        <v>136</v>
      </c>
      <c r="G490" s="144" t="s">
        <v>137</v>
      </c>
      <c r="H490" s="144"/>
      <c r="I490" s="144" t="s">
        <v>136</v>
      </c>
      <c r="J490" s="144" t="s">
        <v>1328</v>
      </c>
      <c r="K490" s="144" t="s">
        <v>139</v>
      </c>
      <c r="L490" s="15" t="s">
        <v>69</v>
      </c>
    </row>
    <row r="491">
      <c r="A491" s="144">
        <v>52.0</v>
      </c>
      <c r="B491" s="144" t="s">
        <v>6</v>
      </c>
      <c r="C491" s="144" t="s">
        <v>1329</v>
      </c>
      <c r="D491" s="144" t="s">
        <v>214</v>
      </c>
      <c r="E491" s="144" t="s">
        <v>135</v>
      </c>
      <c r="F491" s="144" t="s">
        <v>136</v>
      </c>
      <c r="G491" s="144" t="s">
        <v>150</v>
      </c>
      <c r="H491" s="144"/>
      <c r="I491" s="144" t="s">
        <v>135</v>
      </c>
      <c r="J491" s="144" t="s">
        <v>1330</v>
      </c>
      <c r="K491" s="144" t="s">
        <v>139</v>
      </c>
      <c r="L491" s="7" t="s">
        <v>61</v>
      </c>
    </row>
    <row r="492">
      <c r="A492" s="144">
        <v>19.0</v>
      </c>
      <c r="B492" s="144" t="s">
        <v>7</v>
      </c>
      <c r="C492" s="144" t="s">
        <v>362</v>
      </c>
      <c r="D492" s="144" t="s">
        <v>202</v>
      </c>
      <c r="E492" s="144" t="s">
        <v>135</v>
      </c>
      <c r="F492" s="144" t="s">
        <v>135</v>
      </c>
      <c r="G492" s="144" t="s">
        <v>144</v>
      </c>
      <c r="H492" s="144"/>
      <c r="I492" s="144" t="s">
        <v>135</v>
      </c>
      <c r="J492" s="144" t="s">
        <v>1331</v>
      </c>
      <c r="K492" s="144" t="s">
        <v>139</v>
      </c>
      <c r="L492" s="7" t="s">
        <v>61</v>
      </c>
    </row>
    <row r="493">
      <c r="A493" s="144">
        <v>3.0</v>
      </c>
      <c r="B493" s="144" t="s">
        <v>6</v>
      </c>
      <c r="C493" s="144" t="s">
        <v>1116</v>
      </c>
      <c r="D493" s="144" t="s">
        <v>197</v>
      </c>
      <c r="E493" s="144" t="s">
        <v>135</v>
      </c>
      <c r="F493" s="144" t="s">
        <v>136</v>
      </c>
      <c r="G493" s="144" t="s">
        <v>185</v>
      </c>
      <c r="H493" s="144" t="s">
        <v>411</v>
      </c>
      <c r="I493" s="144" t="s">
        <v>136</v>
      </c>
      <c r="J493" s="144" t="s">
        <v>1332</v>
      </c>
      <c r="K493" s="144" t="s">
        <v>139</v>
      </c>
      <c r="L493" s="7" t="s">
        <v>61</v>
      </c>
    </row>
    <row r="494">
      <c r="A494" s="144">
        <v>27.0</v>
      </c>
      <c r="B494" s="144" t="s">
        <v>7</v>
      </c>
      <c r="C494" s="144" t="s">
        <v>1333</v>
      </c>
      <c r="D494" s="144" t="s">
        <v>233</v>
      </c>
      <c r="E494" s="144" t="s">
        <v>136</v>
      </c>
      <c r="F494" s="144" t="s">
        <v>136</v>
      </c>
      <c r="G494" s="144" t="s">
        <v>144</v>
      </c>
      <c r="H494" s="144"/>
      <c r="I494" s="144" t="s">
        <v>135</v>
      </c>
      <c r="J494" s="144" t="s">
        <v>1334</v>
      </c>
      <c r="K494" s="144" t="s">
        <v>139</v>
      </c>
      <c r="L494" s="7" t="s">
        <v>61</v>
      </c>
    </row>
    <row r="495">
      <c r="A495" s="144">
        <v>41.0</v>
      </c>
      <c r="B495" s="144" t="s">
        <v>6</v>
      </c>
      <c r="C495" s="144" t="s">
        <v>1253</v>
      </c>
      <c r="D495" s="144" t="s">
        <v>233</v>
      </c>
      <c r="E495" s="144" t="s">
        <v>136</v>
      </c>
      <c r="F495" s="144" t="s">
        <v>136</v>
      </c>
      <c r="G495" s="144" t="s">
        <v>185</v>
      </c>
      <c r="H495" s="144" t="s">
        <v>1335</v>
      </c>
      <c r="I495" s="144" t="s">
        <v>136</v>
      </c>
      <c r="J495" s="144" t="s">
        <v>1336</v>
      </c>
      <c r="K495" s="144" t="s">
        <v>139</v>
      </c>
      <c r="L495" s="7" t="s">
        <v>61</v>
      </c>
    </row>
    <row r="496">
      <c r="A496" s="144">
        <v>53.0</v>
      </c>
      <c r="B496" s="144" t="s">
        <v>7</v>
      </c>
      <c r="C496" s="144" t="s">
        <v>149</v>
      </c>
      <c r="D496" s="144" t="s">
        <v>134</v>
      </c>
      <c r="E496" s="144" t="s">
        <v>135</v>
      </c>
      <c r="F496" s="144" t="s">
        <v>136</v>
      </c>
      <c r="G496" s="144" t="s">
        <v>150</v>
      </c>
      <c r="H496" s="144"/>
      <c r="I496" s="144" t="s">
        <v>135</v>
      </c>
      <c r="J496" s="144" t="s">
        <v>1337</v>
      </c>
      <c r="K496" s="144" t="s">
        <v>139</v>
      </c>
      <c r="L496" s="7" t="s">
        <v>61</v>
      </c>
    </row>
    <row r="497">
      <c r="A497" s="144">
        <v>34.0</v>
      </c>
      <c r="B497" s="144" t="s">
        <v>7</v>
      </c>
      <c r="C497" s="144" t="s">
        <v>1338</v>
      </c>
      <c r="D497" s="144" t="s">
        <v>218</v>
      </c>
      <c r="E497" s="144" t="s">
        <v>136</v>
      </c>
      <c r="F497" s="144" t="s">
        <v>136</v>
      </c>
      <c r="G497" s="144" t="s">
        <v>1339</v>
      </c>
      <c r="H497" s="144"/>
      <c r="I497" s="144" t="s">
        <v>135</v>
      </c>
      <c r="J497" s="144" t="s">
        <v>1340</v>
      </c>
      <c r="K497" s="144" t="s">
        <v>139</v>
      </c>
      <c r="L497" s="7" t="s">
        <v>61</v>
      </c>
    </row>
    <row r="498">
      <c r="A498" s="144">
        <v>44.0</v>
      </c>
      <c r="B498" s="144" t="s">
        <v>7</v>
      </c>
      <c r="C498" s="144" t="s">
        <v>1116</v>
      </c>
      <c r="D498" s="144" t="s">
        <v>197</v>
      </c>
      <c r="E498" s="144" t="s">
        <v>136</v>
      </c>
      <c r="F498" s="144" t="s">
        <v>136</v>
      </c>
      <c r="G498" s="144" t="s">
        <v>185</v>
      </c>
      <c r="H498" s="144" t="s">
        <v>411</v>
      </c>
      <c r="I498" s="144" t="s">
        <v>135</v>
      </c>
      <c r="J498" s="144" t="s">
        <v>1341</v>
      </c>
      <c r="K498" s="144" t="s">
        <v>139</v>
      </c>
      <c r="L498" s="7" t="s">
        <v>61</v>
      </c>
    </row>
    <row r="499">
      <c r="A499" s="144">
        <v>40.0</v>
      </c>
      <c r="B499" s="144" t="s">
        <v>7</v>
      </c>
      <c r="C499" s="144" t="s">
        <v>1132</v>
      </c>
      <c r="D499" s="144" t="s">
        <v>233</v>
      </c>
      <c r="E499" s="144" t="s">
        <v>135</v>
      </c>
      <c r="F499" s="144" t="s">
        <v>136</v>
      </c>
      <c r="G499" s="144" t="s">
        <v>174</v>
      </c>
      <c r="H499" s="144"/>
      <c r="I499" s="144" t="s">
        <v>135</v>
      </c>
      <c r="J499" s="144" t="s">
        <v>1342</v>
      </c>
      <c r="K499" s="144" t="s">
        <v>139</v>
      </c>
      <c r="L499" s="7" t="s">
        <v>61</v>
      </c>
    </row>
    <row r="500">
      <c r="A500" s="144">
        <v>43.0</v>
      </c>
      <c r="B500" s="144" t="s">
        <v>6</v>
      </c>
      <c r="C500" s="144" t="s">
        <v>1134</v>
      </c>
      <c r="D500" s="144" t="s">
        <v>233</v>
      </c>
      <c r="E500" s="144" t="s">
        <v>135</v>
      </c>
      <c r="F500" s="144" t="s">
        <v>136</v>
      </c>
      <c r="G500" s="144" t="s">
        <v>174</v>
      </c>
      <c r="H500" s="144"/>
      <c r="I500" s="144" t="s">
        <v>135</v>
      </c>
      <c r="J500" s="144" t="s">
        <v>1343</v>
      </c>
      <c r="K500" s="144" t="s">
        <v>139</v>
      </c>
      <c r="L500" s="7" t="s">
        <v>61</v>
      </c>
    </row>
    <row r="501">
      <c r="A501" s="144">
        <v>2.0</v>
      </c>
      <c r="B501" s="144" t="s">
        <v>7</v>
      </c>
      <c r="C501" s="144" t="s">
        <v>1136</v>
      </c>
      <c r="D501" s="144" t="s">
        <v>202</v>
      </c>
      <c r="E501" s="144" t="s">
        <v>135</v>
      </c>
      <c r="F501" s="144" t="s">
        <v>136</v>
      </c>
      <c r="G501" s="144" t="s">
        <v>144</v>
      </c>
      <c r="H501" s="144"/>
      <c r="I501" s="144" t="s">
        <v>136</v>
      </c>
      <c r="J501" s="144" t="s">
        <v>1344</v>
      </c>
      <c r="K501" s="144" t="s">
        <v>139</v>
      </c>
      <c r="L501" s="7" t="s">
        <v>61</v>
      </c>
    </row>
    <row r="502">
      <c r="A502" s="144">
        <v>28.0</v>
      </c>
      <c r="B502" s="144" t="s">
        <v>7</v>
      </c>
      <c r="C502" s="144" t="s">
        <v>1279</v>
      </c>
      <c r="D502" s="144" t="s">
        <v>233</v>
      </c>
      <c r="E502" s="144" t="s">
        <v>135</v>
      </c>
      <c r="F502" s="144" t="s">
        <v>136</v>
      </c>
      <c r="G502" s="144" t="s">
        <v>1345</v>
      </c>
      <c r="H502" s="144"/>
      <c r="I502" s="144" t="s">
        <v>135</v>
      </c>
      <c r="J502" s="144" t="s">
        <v>1346</v>
      </c>
      <c r="K502" s="144" t="s">
        <v>139</v>
      </c>
      <c r="L502" s="7" t="s">
        <v>61</v>
      </c>
    </row>
    <row r="503">
      <c r="A503" s="144">
        <v>31.0</v>
      </c>
      <c r="B503" s="144" t="s">
        <v>7</v>
      </c>
      <c r="C503" s="144" t="s">
        <v>1347</v>
      </c>
      <c r="D503" s="144" t="s">
        <v>233</v>
      </c>
      <c r="E503" s="144" t="s">
        <v>135</v>
      </c>
      <c r="F503" s="144" t="s">
        <v>136</v>
      </c>
      <c r="G503" s="144" t="s">
        <v>185</v>
      </c>
      <c r="H503" s="144" t="s">
        <v>1348</v>
      </c>
      <c r="I503" s="144" t="s">
        <v>135</v>
      </c>
      <c r="J503" s="144" t="s">
        <v>1349</v>
      </c>
      <c r="K503" s="144" t="s">
        <v>139</v>
      </c>
      <c r="L503" s="7" t="s">
        <v>61</v>
      </c>
    </row>
    <row r="504">
      <c r="A504" s="144">
        <v>18.0</v>
      </c>
      <c r="B504" s="144" t="s">
        <v>7</v>
      </c>
      <c r="C504" s="144" t="s">
        <v>200</v>
      </c>
      <c r="D504" s="144" t="s">
        <v>143</v>
      </c>
      <c r="E504" s="144" t="s">
        <v>136</v>
      </c>
      <c r="F504" s="144" t="s">
        <v>136</v>
      </c>
      <c r="G504" s="144" t="s">
        <v>1350</v>
      </c>
      <c r="H504" s="144"/>
      <c r="I504" s="144" t="s">
        <v>135</v>
      </c>
      <c r="J504" s="144" t="s">
        <v>1351</v>
      </c>
      <c r="K504" s="144" t="s">
        <v>139</v>
      </c>
      <c r="L504" s="7" t="s">
        <v>61</v>
      </c>
    </row>
    <row r="505">
      <c r="A505" s="144">
        <v>37.0</v>
      </c>
      <c r="B505" s="144" t="s">
        <v>7</v>
      </c>
      <c r="C505" s="144" t="s">
        <v>1188</v>
      </c>
      <c r="D505" s="144" t="s">
        <v>233</v>
      </c>
      <c r="E505" s="144" t="s">
        <v>136</v>
      </c>
      <c r="F505" s="144" t="s">
        <v>136</v>
      </c>
      <c r="G505" s="144" t="s">
        <v>185</v>
      </c>
      <c r="H505" s="144" t="s">
        <v>1217</v>
      </c>
      <c r="I505" s="144" t="s">
        <v>135</v>
      </c>
      <c r="J505" s="144" t="s">
        <v>1352</v>
      </c>
      <c r="K505" s="144" t="s">
        <v>139</v>
      </c>
      <c r="L505" s="7" t="s">
        <v>61</v>
      </c>
    </row>
    <row r="506">
      <c r="A506" s="144">
        <v>47.0</v>
      </c>
      <c r="B506" s="144" t="s">
        <v>6</v>
      </c>
      <c r="C506" s="144" t="s">
        <v>240</v>
      </c>
      <c r="D506" s="144" t="s">
        <v>197</v>
      </c>
      <c r="E506" s="144" t="s">
        <v>136</v>
      </c>
      <c r="F506" s="144" t="s">
        <v>136</v>
      </c>
      <c r="G506" s="144" t="s">
        <v>1353</v>
      </c>
      <c r="H506" s="144"/>
      <c r="I506" s="144" t="s">
        <v>135</v>
      </c>
      <c r="J506" s="144" t="s">
        <v>1354</v>
      </c>
      <c r="K506" s="144" t="s">
        <v>139</v>
      </c>
      <c r="L506" s="7" t="s">
        <v>61</v>
      </c>
    </row>
    <row r="507">
      <c r="A507" s="144">
        <v>21.0</v>
      </c>
      <c r="B507" s="144" t="s">
        <v>7</v>
      </c>
      <c r="C507" s="144" t="s">
        <v>362</v>
      </c>
      <c r="D507" s="144" t="s">
        <v>202</v>
      </c>
      <c r="E507" s="144" t="s">
        <v>136</v>
      </c>
      <c r="F507" s="144" t="s">
        <v>136</v>
      </c>
      <c r="G507" s="144" t="s">
        <v>144</v>
      </c>
      <c r="H507" s="144"/>
      <c r="I507" s="144" t="s">
        <v>135</v>
      </c>
      <c r="J507" s="144" t="s">
        <v>1355</v>
      </c>
      <c r="K507" s="144" t="s">
        <v>139</v>
      </c>
      <c r="L507" s="7" t="s">
        <v>61</v>
      </c>
    </row>
    <row r="508">
      <c r="A508" s="144">
        <v>29.0</v>
      </c>
      <c r="B508" s="144" t="s">
        <v>6</v>
      </c>
      <c r="C508" s="144" t="s">
        <v>1356</v>
      </c>
      <c r="D508" s="144" t="s">
        <v>233</v>
      </c>
      <c r="E508" s="144" t="s">
        <v>136</v>
      </c>
      <c r="F508" s="144" t="s">
        <v>136</v>
      </c>
      <c r="G508" s="144" t="s">
        <v>226</v>
      </c>
      <c r="H508" s="144"/>
      <c r="I508" s="144" t="s">
        <v>135</v>
      </c>
      <c r="J508" s="144" t="s">
        <v>1357</v>
      </c>
      <c r="K508" s="144" t="s">
        <v>139</v>
      </c>
      <c r="L508" s="7" t="s">
        <v>61</v>
      </c>
    </row>
    <row r="509">
      <c r="A509" s="144">
        <v>56.0</v>
      </c>
      <c r="B509" s="144" t="s">
        <v>7</v>
      </c>
      <c r="C509" s="144" t="s">
        <v>250</v>
      </c>
      <c r="D509" s="144" t="s">
        <v>209</v>
      </c>
      <c r="E509" s="144" t="s">
        <v>135</v>
      </c>
      <c r="F509" s="144" t="s">
        <v>136</v>
      </c>
      <c r="G509" s="144" t="s">
        <v>1358</v>
      </c>
      <c r="H509" s="144" t="s">
        <v>252</v>
      </c>
      <c r="I509" s="144" t="s">
        <v>135</v>
      </c>
      <c r="J509" s="144" t="s">
        <v>1359</v>
      </c>
      <c r="K509" s="144" t="s">
        <v>139</v>
      </c>
      <c r="L509" s="7" t="s">
        <v>61</v>
      </c>
    </row>
    <row r="510">
      <c r="A510" s="144">
        <v>57.0</v>
      </c>
      <c r="B510" s="144" t="s">
        <v>7</v>
      </c>
      <c r="C510" s="144" t="s">
        <v>1360</v>
      </c>
      <c r="D510" s="144" t="s">
        <v>134</v>
      </c>
      <c r="E510" s="144" t="s">
        <v>136</v>
      </c>
      <c r="F510" s="144" t="s">
        <v>136</v>
      </c>
      <c r="G510" s="144" t="s">
        <v>385</v>
      </c>
      <c r="H510" s="144" t="s">
        <v>1361</v>
      </c>
      <c r="I510" s="144" t="s">
        <v>136</v>
      </c>
      <c r="J510" s="144" t="s">
        <v>1362</v>
      </c>
      <c r="K510" s="144" t="s">
        <v>139</v>
      </c>
      <c r="L510" s="7" t="s">
        <v>61</v>
      </c>
    </row>
    <row r="511">
      <c r="A511" s="144">
        <v>42.0</v>
      </c>
      <c r="B511" s="144" t="s">
        <v>7</v>
      </c>
      <c r="C511" s="144" t="s">
        <v>338</v>
      </c>
      <c r="D511" s="144" t="s">
        <v>143</v>
      </c>
      <c r="E511" s="144" t="s">
        <v>136</v>
      </c>
      <c r="F511" s="144" t="s">
        <v>136</v>
      </c>
      <c r="G511" s="144" t="s">
        <v>401</v>
      </c>
      <c r="H511" s="144"/>
      <c r="I511" s="144" t="s">
        <v>135</v>
      </c>
      <c r="J511" s="144" t="s">
        <v>1363</v>
      </c>
      <c r="K511" s="144" t="s">
        <v>139</v>
      </c>
      <c r="L511" s="7" t="s">
        <v>61</v>
      </c>
    </row>
    <row r="512">
      <c r="A512" s="144">
        <v>25.0</v>
      </c>
      <c r="B512" s="144" t="s">
        <v>7</v>
      </c>
      <c r="C512" s="144" t="s">
        <v>1364</v>
      </c>
      <c r="D512" s="144" t="s">
        <v>233</v>
      </c>
      <c r="E512" s="144" t="s">
        <v>136</v>
      </c>
      <c r="F512" s="144" t="s">
        <v>136</v>
      </c>
      <c r="G512" s="144" t="s">
        <v>185</v>
      </c>
      <c r="H512" s="144" t="s">
        <v>1365</v>
      </c>
      <c r="I512" s="144" t="s">
        <v>136</v>
      </c>
      <c r="J512" s="144" t="s">
        <v>1366</v>
      </c>
      <c r="K512" s="144" t="s">
        <v>139</v>
      </c>
      <c r="L512" s="7" t="s">
        <v>61</v>
      </c>
    </row>
    <row r="513">
      <c r="A513" s="144">
        <v>36.0</v>
      </c>
      <c r="B513" s="144" t="s">
        <v>7</v>
      </c>
      <c r="C513" s="144" t="s">
        <v>1367</v>
      </c>
      <c r="D513" s="144" t="s">
        <v>209</v>
      </c>
      <c r="E513" s="144" t="s">
        <v>136</v>
      </c>
      <c r="F513" s="144" t="s">
        <v>136</v>
      </c>
      <c r="G513" s="144" t="s">
        <v>401</v>
      </c>
      <c r="H513" s="144"/>
      <c r="I513" s="144" t="s">
        <v>135</v>
      </c>
      <c r="J513" s="144" t="s">
        <v>1368</v>
      </c>
      <c r="K513" s="144" t="s">
        <v>139</v>
      </c>
      <c r="L513" s="7" t="s">
        <v>61</v>
      </c>
    </row>
    <row r="514">
      <c r="A514" s="144">
        <v>58.0</v>
      </c>
      <c r="B514" s="144" t="s">
        <v>7</v>
      </c>
      <c r="C514" s="144" t="s">
        <v>1369</v>
      </c>
      <c r="D514" s="144" t="s">
        <v>209</v>
      </c>
      <c r="E514" s="144" t="s">
        <v>136</v>
      </c>
      <c r="F514" s="144" t="s">
        <v>136</v>
      </c>
      <c r="G514" s="144" t="s">
        <v>385</v>
      </c>
      <c r="H514" s="144"/>
      <c r="I514" s="144" t="s">
        <v>136</v>
      </c>
      <c r="J514" s="144" t="s">
        <v>1370</v>
      </c>
      <c r="K514" s="144" t="s">
        <v>139</v>
      </c>
      <c r="L514" s="7" t="s">
        <v>61</v>
      </c>
    </row>
    <row r="515">
      <c r="A515" s="144">
        <v>50.0</v>
      </c>
      <c r="B515" s="144" t="s">
        <v>7</v>
      </c>
      <c r="C515" s="144" t="s">
        <v>315</v>
      </c>
      <c r="D515" s="144" t="s">
        <v>164</v>
      </c>
      <c r="E515" s="144" t="s">
        <v>135</v>
      </c>
      <c r="F515" s="144" t="s">
        <v>136</v>
      </c>
      <c r="G515" s="144" t="s">
        <v>1197</v>
      </c>
      <c r="H515" s="144" t="s">
        <v>1371</v>
      </c>
      <c r="I515" s="144" t="s">
        <v>135</v>
      </c>
      <c r="J515" s="144" t="s">
        <v>1372</v>
      </c>
      <c r="K515" s="144" t="s">
        <v>139</v>
      </c>
      <c r="L515" s="7" t="s">
        <v>61</v>
      </c>
    </row>
    <row r="516">
      <c r="A516" s="144">
        <v>35.0</v>
      </c>
      <c r="B516" s="144" t="s">
        <v>7</v>
      </c>
      <c r="C516" s="144" t="s">
        <v>250</v>
      </c>
      <c r="D516" s="144" t="s">
        <v>209</v>
      </c>
      <c r="E516" s="144" t="s">
        <v>135</v>
      </c>
      <c r="F516" s="144" t="s">
        <v>136</v>
      </c>
      <c r="G516" s="144" t="s">
        <v>1358</v>
      </c>
      <c r="H516" s="144" t="s">
        <v>1373</v>
      </c>
      <c r="I516" s="144" t="s">
        <v>135</v>
      </c>
      <c r="J516" s="144" t="s">
        <v>1374</v>
      </c>
      <c r="K516" s="144" t="s">
        <v>139</v>
      </c>
      <c r="L516" s="7" t="s">
        <v>61</v>
      </c>
    </row>
    <row r="517">
      <c r="A517" s="144">
        <v>15.0</v>
      </c>
      <c r="B517" s="144" t="s">
        <v>7</v>
      </c>
      <c r="C517" s="144" t="s">
        <v>1174</v>
      </c>
      <c r="D517" s="144" t="s">
        <v>134</v>
      </c>
      <c r="E517" s="144" t="s">
        <v>135</v>
      </c>
      <c r="F517" s="144" t="s">
        <v>136</v>
      </c>
      <c r="G517" s="144" t="s">
        <v>1175</v>
      </c>
      <c r="H517" s="144"/>
      <c r="I517" s="144" t="s">
        <v>135</v>
      </c>
      <c r="J517" s="144" t="s">
        <v>1375</v>
      </c>
      <c r="K517" s="144" t="s">
        <v>139</v>
      </c>
      <c r="L517" s="7" t="s">
        <v>61</v>
      </c>
    </row>
    <row r="518">
      <c r="A518" s="144">
        <v>30.0</v>
      </c>
      <c r="B518" s="144" t="s">
        <v>7</v>
      </c>
      <c r="C518" s="144" t="s">
        <v>356</v>
      </c>
      <c r="D518" s="144" t="s">
        <v>228</v>
      </c>
      <c r="E518" s="144" t="s">
        <v>136</v>
      </c>
      <c r="F518" s="144" t="s">
        <v>136</v>
      </c>
      <c r="G518" s="144" t="s">
        <v>144</v>
      </c>
      <c r="H518" s="144"/>
      <c r="I518" s="144" t="s">
        <v>135</v>
      </c>
      <c r="J518" s="144" t="s">
        <v>1376</v>
      </c>
      <c r="K518" s="144" t="s">
        <v>139</v>
      </c>
      <c r="L518" s="7" t="s">
        <v>61</v>
      </c>
    </row>
    <row r="519">
      <c r="A519" s="144">
        <v>54.0</v>
      </c>
      <c r="B519" s="144" t="s">
        <v>6</v>
      </c>
      <c r="C519" s="144" t="s">
        <v>1377</v>
      </c>
      <c r="D519" s="144" t="s">
        <v>164</v>
      </c>
      <c r="E519" s="144" t="s">
        <v>135</v>
      </c>
      <c r="F519" s="144" t="s">
        <v>136</v>
      </c>
      <c r="G519" s="144" t="s">
        <v>157</v>
      </c>
      <c r="H519" s="144"/>
      <c r="I519" s="144" t="s">
        <v>135</v>
      </c>
      <c r="J519" s="144" t="s">
        <v>1378</v>
      </c>
      <c r="K519" s="144" t="s">
        <v>139</v>
      </c>
      <c r="L519" s="7" t="s">
        <v>61</v>
      </c>
    </row>
    <row r="520">
      <c r="A520" s="144">
        <v>59.0</v>
      </c>
      <c r="B520" s="144" t="s">
        <v>6</v>
      </c>
      <c r="C520" s="144" t="s">
        <v>1379</v>
      </c>
      <c r="D520" s="144" t="s">
        <v>134</v>
      </c>
      <c r="E520" s="144" t="s">
        <v>136</v>
      </c>
      <c r="F520" s="144" t="s">
        <v>136</v>
      </c>
      <c r="G520" s="144" t="s">
        <v>767</v>
      </c>
      <c r="H520" s="144"/>
      <c r="I520" s="144" t="s">
        <v>135</v>
      </c>
      <c r="J520" s="144" t="s">
        <v>1380</v>
      </c>
      <c r="K520" s="144" t="s">
        <v>139</v>
      </c>
      <c r="L520" s="7" t="s">
        <v>61</v>
      </c>
    </row>
    <row r="521">
      <c r="A521" s="144">
        <v>9.0</v>
      </c>
      <c r="B521" s="144" t="s">
        <v>7</v>
      </c>
      <c r="C521" s="144" t="s">
        <v>1177</v>
      </c>
      <c r="D521" s="144" t="s">
        <v>233</v>
      </c>
      <c r="E521" s="144" t="s">
        <v>136</v>
      </c>
      <c r="F521" s="144" t="s">
        <v>136</v>
      </c>
      <c r="G521" s="144" t="s">
        <v>144</v>
      </c>
      <c r="H521" s="144" t="s">
        <v>903</v>
      </c>
      <c r="I521" s="144" t="s">
        <v>135</v>
      </c>
      <c r="J521" s="144" t="s">
        <v>1381</v>
      </c>
      <c r="K521" s="144" t="s">
        <v>139</v>
      </c>
      <c r="L521" s="7" t="s">
        <v>61</v>
      </c>
    </row>
    <row r="522">
      <c r="A522" s="144">
        <v>16.0</v>
      </c>
      <c r="B522" s="144" t="s">
        <v>7</v>
      </c>
      <c r="C522" s="144" t="s">
        <v>276</v>
      </c>
      <c r="D522" s="144" t="s">
        <v>218</v>
      </c>
      <c r="E522" s="144" t="s">
        <v>136</v>
      </c>
      <c r="F522" s="144" t="s">
        <v>135</v>
      </c>
      <c r="G522" s="144" t="s">
        <v>221</v>
      </c>
      <c r="H522" s="144"/>
      <c r="I522" s="144" t="s">
        <v>136</v>
      </c>
      <c r="J522" s="144" t="s">
        <v>1382</v>
      </c>
      <c r="K522" s="144" t="s">
        <v>139</v>
      </c>
      <c r="L522" s="7" t="s">
        <v>61</v>
      </c>
    </row>
    <row r="523">
      <c r="A523" s="144">
        <v>8.0</v>
      </c>
      <c r="B523" s="144" t="s">
        <v>7</v>
      </c>
      <c r="C523" s="144" t="s">
        <v>1116</v>
      </c>
      <c r="D523" s="144" t="s">
        <v>197</v>
      </c>
      <c r="E523" s="144" t="s">
        <v>136</v>
      </c>
      <c r="F523" s="144" t="s">
        <v>136</v>
      </c>
      <c r="G523" s="144" t="s">
        <v>401</v>
      </c>
      <c r="H523" s="144"/>
      <c r="I523" s="144" t="s">
        <v>135</v>
      </c>
      <c r="J523" s="144" t="s">
        <v>1383</v>
      </c>
      <c r="K523" s="144" t="s">
        <v>139</v>
      </c>
      <c r="L523" s="7" t="s">
        <v>61</v>
      </c>
    </row>
    <row r="524">
      <c r="A524" s="144">
        <v>11.0</v>
      </c>
      <c r="B524" s="144" t="s">
        <v>6</v>
      </c>
      <c r="C524" s="144" t="s">
        <v>1127</v>
      </c>
      <c r="D524" s="144" t="s">
        <v>233</v>
      </c>
      <c r="E524" s="144" t="s">
        <v>136</v>
      </c>
      <c r="F524" s="144" t="s">
        <v>136</v>
      </c>
      <c r="G524" s="144" t="s">
        <v>185</v>
      </c>
      <c r="H524" s="144" t="s">
        <v>1384</v>
      </c>
      <c r="I524" s="144" t="s">
        <v>135</v>
      </c>
      <c r="J524" s="144" t="s">
        <v>1385</v>
      </c>
      <c r="K524" s="144" t="s">
        <v>139</v>
      </c>
      <c r="L524" s="7" t="s">
        <v>61</v>
      </c>
    </row>
    <row r="525">
      <c r="A525" s="144">
        <v>1.0</v>
      </c>
      <c r="B525" s="144" t="s">
        <v>7</v>
      </c>
      <c r="C525" s="144" t="s">
        <v>1127</v>
      </c>
      <c r="D525" s="144" t="s">
        <v>233</v>
      </c>
      <c r="E525" s="144" t="s">
        <v>136</v>
      </c>
      <c r="F525" s="144" t="s">
        <v>136</v>
      </c>
      <c r="G525" s="144" t="s">
        <v>157</v>
      </c>
      <c r="H525" s="144" t="s">
        <v>1386</v>
      </c>
      <c r="I525" s="144" t="s">
        <v>135</v>
      </c>
      <c r="J525" s="144" t="s">
        <v>1387</v>
      </c>
      <c r="K525" s="144" t="s">
        <v>139</v>
      </c>
      <c r="L525" s="7" t="s">
        <v>61</v>
      </c>
    </row>
    <row r="526">
      <c r="A526" s="144">
        <v>14.0</v>
      </c>
      <c r="B526" s="144" t="s">
        <v>6</v>
      </c>
      <c r="C526" s="144" t="s">
        <v>142</v>
      </c>
      <c r="D526" s="144" t="s">
        <v>143</v>
      </c>
      <c r="E526" s="144" t="s">
        <v>136</v>
      </c>
      <c r="F526" s="144" t="s">
        <v>136</v>
      </c>
      <c r="G526" s="144" t="s">
        <v>144</v>
      </c>
      <c r="H526" s="144" t="s">
        <v>1388</v>
      </c>
      <c r="I526" s="144" t="s">
        <v>135</v>
      </c>
      <c r="J526" s="144" t="s">
        <v>1389</v>
      </c>
      <c r="K526" s="144" t="s">
        <v>139</v>
      </c>
      <c r="L526" s="7" t="s">
        <v>61</v>
      </c>
    </row>
    <row r="527">
      <c r="A527" s="144">
        <v>5.0</v>
      </c>
      <c r="B527" s="144" t="s">
        <v>7</v>
      </c>
      <c r="C527" s="144" t="s">
        <v>371</v>
      </c>
      <c r="D527" s="144" t="s">
        <v>197</v>
      </c>
      <c r="E527" s="144" t="s">
        <v>136</v>
      </c>
      <c r="F527" s="144" t="s">
        <v>136</v>
      </c>
      <c r="G527" s="144" t="s">
        <v>599</v>
      </c>
      <c r="H527" s="144"/>
      <c r="I527" s="144" t="s">
        <v>135</v>
      </c>
      <c r="J527" s="144" t="s">
        <v>1332</v>
      </c>
      <c r="K527" s="144" t="s">
        <v>139</v>
      </c>
      <c r="L527" s="7" t="s">
        <v>61</v>
      </c>
    </row>
    <row r="528">
      <c r="A528" s="144">
        <v>23.0</v>
      </c>
      <c r="B528" s="144" t="s">
        <v>7</v>
      </c>
      <c r="C528" s="144" t="s">
        <v>1390</v>
      </c>
      <c r="D528" s="144" t="s">
        <v>233</v>
      </c>
      <c r="E528" s="144" t="s">
        <v>135</v>
      </c>
      <c r="F528" s="144" t="s">
        <v>136</v>
      </c>
      <c r="G528" s="144" t="s">
        <v>185</v>
      </c>
      <c r="H528" s="144" t="s">
        <v>1236</v>
      </c>
      <c r="I528" s="144" t="s">
        <v>135</v>
      </c>
      <c r="J528" s="144" t="s">
        <v>1391</v>
      </c>
      <c r="K528" s="144" t="s">
        <v>139</v>
      </c>
      <c r="L528" s="7" t="s">
        <v>61</v>
      </c>
    </row>
    <row r="529">
      <c r="A529" s="144">
        <v>26.0</v>
      </c>
      <c r="B529" s="144" t="s">
        <v>7</v>
      </c>
      <c r="C529" s="144" t="s">
        <v>1046</v>
      </c>
      <c r="D529" s="144" t="s">
        <v>243</v>
      </c>
      <c r="E529" s="144" t="s">
        <v>135</v>
      </c>
      <c r="F529" s="144" t="s">
        <v>136</v>
      </c>
      <c r="G529" s="144" t="s">
        <v>180</v>
      </c>
      <c r="H529" s="144"/>
      <c r="I529" s="144" t="s">
        <v>136</v>
      </c>
      <c r="J529" s="144" t="s">
        <v>1392</v>
      </c>
      <c r="K529" s="144" t="s">
        <v>139</v>
      </c>
      <c r="L529" s="7" t="s">
        <v>61</v>
      </c>
    </row>
    <row r="530">
      <c r="A530" s="144">
        <v>10.0</v>
      </c>
      <c r="B530" s="144" t="s">
        <v>7</v>
      </c>
      <c r="C530" s="144" t="s">
        <v>167</v>
      </c>
      <c r="D530" s="144" t="s">
        <v>143</v>
      </c>
      <c r="E530" s="144" t="s">
        <v>136</v>
      </c>
      <c r="F530" s="144" t="s">
        <v>136</v>
      </c>
      <c r="G530" s="144" t="s">
        <v>1393</v>
      </c>
      <c r="H530" s="144"/>
      <c r="I530" s="144" t="s">
        <v>135</v>
      </c>
      <c r="J530" s="144" t="s">
        <v>1381</v>
      </c>
      <c r="K530" s="144" t="s">
        <v>139</v>
      </c>
      <c r="L530" s="7" t="s">
        <v>61</v>
      </c>
    </row>
    <row r="531">
      <c r="A531" s="144">
        <v>20.0</v>
      </c>
      <c r="B531" s="144" t="s">
        <v>7</v>
      </c>
      <c r="C531" s="144" t="s">
        <v>362</v>
      </c>
      <c r="D531" s="144" t="s">
        <v>202</v>
      </c>
      <c r="E531" s="144" t="s">
        <v>135</v>
      </c>
      <c r="F531" s="144" t="s">
        <v>136</v>
      </c>
      <c r="G531" s="144" t="s">
        <v>382</v>
      </c>
      <c r="H531" s="144"/>
      <c r="I531" s="144" t="s">
        <v>135</v>
      </c>
      <c r="J531" s="144" t="s">
        <v>1394</v>
      </c>
      <c r="K531" s="144" t="s">
        <v>139</v>
      </c>
      <c r="L531" s="7" t="s">
        <v>61</v>
      </c>
    </row>
    <row r="532">
      <c r="A532" s="144">
        <v>24.0</v>
      </c>
      <c r="B532" s="144" t="s">
        <v>6</v>
      </c>
      <c r="C532" s="144" t="s">
        <v>1395</v>
      </c>
      <c r="D532" s="144" t="s">
        <v>233</v>
      </c>
      <c r="E532" s="144" t="s">
        <v>136</v>
      </c>
      <c r="F532" s="144" t="s">
        <v>136</v>
      </c>
      <c r="G532" s="144" t="s">
        <v>185</v>
      </c>
      <c r="H532" s="144" t="s">
        <v>1396</v>
      </c>
      <c r="I532" s="144" t="s">
        <v>135</v>
      </c>
      <c r="J532" s="144" t="s">
        <v>1397</v>
      </c>
      <c r="K532" s="144" t="s">
        <v>139</v>
      </c>
      <c r="L532" s="7" t="s">
        <v>61</v>
      </c>
    </row>
    <row r="533">
      <c r="A533" s="144">
        <v>22.0</v>
      </c>
      <c r="B533" s="144" t="s">
        <v>7</v>
      </c>
      <c r="C533" s="144" t="s">
        <v>1398</v>
      </c>
      <c r="D533" s="144" t="s">
        <v>213</v>
      </c>
      <c r="E533" s="144" t="s">
        <v>135</v>
      </c>
      <c r="F533" s="144" t="s">
        <v>136</v>
      </c>
      <c r="G533" s="144" t="s">
        <v>180</v>
      </c>
      <c r="H533" s="144"/>
      <c r="I533" s="144" t="s">
        <v>136</v>
      </c>
      <c r="J533" s="144" t="s">
        <v>1399</v>
      </c>
      <c r="K533" s="144" t="s">
        <v>139</v>
      </c>
      <c r="L533" s="7" t="s">
        <v>61</v>
      </c>
    </row>
    <row r="534">
      <c r="A534" s="144">
        <v>49.0</v>
      </c>
      <c r="B534" s="144" t="s">
        <v>6</v>
      </c>
      <c r="C534" s="144" t="s">
        <v>1400</v>
      </c>
      <c r="D534" s="144" t="s">
        <v>143</v>
      </c>
      <c r="E534" s="144" t="s">
        <v>135</v>
      </c>
      <c r="F534" s="144" t="s">
        <v>135</v>
      </c>
      <c r="G534" s="144" t="s">
        <v>1401</v>
      </c>
      <c r="H534" s="144"/>
      <c r="I534" s="144" t="s">
        <v>136</v>
      </c>
      <c r="J534" s="144" t="s">
        <v>1402</v>
      </c>
      <c r="K534" s="144" t="s">
        <v>139</v>
      </c>
      <c r="L534" s="7" t="s">
        <v>61</v>
      </c>
    </row>
    <row r="535">
      <c r="A535" s="144">
        <v>39.0</v>
      </c>
      <c r="B535" s="144" t="s">
        <v>7</v>
      </c>
      <c r="C535" s="144" t="s">
        <v>1403</v>
      </c>
      <c r="D535" s="144" t="s">
        <v>233</v>
      </c>
      <c r="E535" s="144" t="s">
        <v>135</v>
      </c>
      <c r="F535" s="144" t="s">
        <v>135</v>
      </c>
      <c r="G535" s="144" t="s">
        <v>671</v>
      </c>
      <c r="H535" s="144" t="s">
        <v>1404</v>
      </c>
      <c r="I535" s="144" t="s">
        <v>135</v>
      </c>
      <c r="J535" s="144" t="s">
        <v>1405</v>
      </c>
      <c r="K535" s="144" t="s">
        <v>139</v>
      </c>
      <c r="L535" s="7" t="s">
        <v>61</v>
      </c>
    </row>
    <row r="536">
      <c r="A536" s="144">
        <v>51.0</v>
      </c>
      <c r="B536" s="144" t="s">
        <v>7</v>
      </c>
      <c r="C536" s="144" t="s">
        <v>1406</v>
      </c>
      <c r="D536" s="144" t="s">
        <v>134</v>
      </c>
      <c r="E536" s="144" t="s">
        <v>136</v>
      </c>
      <c r="F536" s="144" t="s">
        <v>136</v>
      </c>
      <c r="G536" s="144" t="s">
        <v>401</v>
      </c>
      <c r="H536" s="144"/>
      <c r="I536" s="144" t="s">
        <v>135</v>
      </c>
      <c r="J536" s="144" t="s">
        <v>1407</v>
      </c>
      <c r="K536" s="144" t="s">
        <v>139</v>
      </c>
      <c r="L536" s="7" t="s">
        <v>61</v>
      </c>
    </row>
    <row r="537">
      <c r="A537" s="144">
        <v>32.0</v>
      </c>
      <c r="B537" s="144" t="s">
        <v>7</v>
      </c>
      <c r="C537" s="144" t="s">
        <v>1408</v>
      </c>
      <c r="D537" s="144" t="s">
        <v>233</v>
      </c>
      <c r="E537" s="144" t="s">
        <v>135</v>
      </c>
      <c r="F537" s="144" t="s">
        <v>136</v>
      </c>
      <c r="G537" s="144" t="s">
        <v>185</v>
      </c>
      <c r="H537" s="144" t="s">
        <v>1409</v>
      </c>
      <c r="I537" s="144" t="s">
        <v>136</v>
      </c>
      <c r="J537" s="144" t="s">
        <v>1410</v>
      </c>
      <c r="K537" s="144" t="s">
        <v>139</v>
      </c>
      <c r="L537" s="7" t="s">
        <v>61</v>
      </c>
    </row>
    <row r="538">
      <c r="A538" s="144">
        <v>48.0</v>
      </c>
      <c r="B538" s="144" t="s">
        <v>6</v>
      </c>
      <c r="C538" s="144" t="s">
        <v>1411</v>
      </c>
      <c r="D538" s="144" t="s">
        <v>202</v>
      </c>
      <c r="E538" s="144" t="s">
        <v>136</v>
      </c>
      <c r="F538" s="144" t="s">
        <v>136</v>
      </c>
      <c r="G538" s="144" t="s">
        <v>1412</v>
      </c>
      <c r="H538" s="144" t="s">
        <v>1413</v>
      </c>
      <c r="I538" s="144" t="s">
        <v>136</v>
      </c>
      <c r="J538" s="144" t="s">
        <v>1414</v>
      </c>
      <c r="K538" s="144" t="s">
        <v>139</v>
      </c>
      <c r="L538" s="7" t="s">
        <v>61</v>
      </c>
    </row>
    <row r="539">
      <c r="A539" s="144">
        <v>45.0</v>
      </c>
      <c r="B539" s="144" t="s">
        <v>8</v>
      </c>
      <c r="C539" s="144" t="s">
        <v>1415</v>
      </c>
      <c r="D539" s="144" t="s">
        <v>134</v>
      </c>
      <c r="E539" s="144" t="s">
        <v>136</v>
      </c>
      <c r="F539" s="144" t="s">
        <v>136</v>
      </c>
      <c r="G539" s="144" t="s">
        <v>1416</v>
      </c>
      <c r="H539" s="144"/>
      <c r="I539" s="144" t="s">
        <v>135</v>
      </c>
      <c r="J539" s="144" t="s">
        <v>1417</v>
      </c>
      <c r="K539" s="144" t="s">
        <v>139</v>
      </c>
      <c r="L539" s="7" t="s">
        <v>61</v>
      </c>
    </row>
    <row r="540">
      <c r="A540" s="144">
        <v>13.0</v>
      </c>
      <c r="B540" s="144" t="s">
        <v>8</v>
      </c>
      <c r="C540" s="144" t="s">
        <v>1243</v>
      </c>
      <c r="D540" s="144" t="s">
        <v>187</v>
      </c>
      <c r="E540" s="144" t="s">
        <v>136</v>
      </c>
      <c r="F540" s="144" t="s">
        <v>136</v>
      </c>
      <c r="G540" s="144" t="s">
        <v>174</v>
      </c>
      <c r="H540" s="144"/>
      <c r="I540" s="144" t="s">
        <v>135</v>
      </c>
      <c r="J540" s="144" t="s">
        <v>1418</v>
      </c>
      <c r="K540" s="144" t="s">
        <v>139</v>
      </c>
      <c r="L540" s="7" t="s">
        <v>61</v>
      </c>
    </row>
    <row r="541">
      <c r="A541" s="144">
        <v>7.0</v>
      </c>
      <c r="B541" s="144" t="s">
        <v>7</v>
      </c>
      <c r="C541" s="144" t="s">
        <v>1127</v>
      </c>
      <c r="D541" s="144" t="s">
        <v>233</v>
      </c>
      <c r="E541" s="144" t="s">
        <v>136</v>
      </c>
      <c r="F541" s="144" t="s">
        <v>136</v>
      </c>
      <c r="G541" s="144" t="s">
        <v>185</v>
      </c>
      <c r="H541" s="144"/>
      <c r="I541" s="144" t="s">
        <v>135</v>
      </c>
      <c r="J541" s="144" t="s">
        <v>1383</v>
      </c>
      <c r="K541" s="144" t="s">
        <v>139</v>
      </c>
      <c r="L541" s="7" t="s">
        <v>61</v>
      </c>
    </row>
    <row r="542">
      <c r="A542" s="144">
        <v>6.0</v>
      </c>
      <c r="B542" s="144" t="s">
        <v>6</v>
      </c>
      <c r="C542" s="144" t="s">
        <v>1249</v>
      </c>
      <c r="D542" s="144" t="s">
        <v>143</v>
      </c>
      <c r="E542" s="144" t="s">
        <v>135</v>
      </c>
      <c r="F542" s="144" t="s">
        <v>136</v>
      </c>
      <c r="G542" s="144" t="s">
        <v>1250</v>
      </c>
      <c r="H542" s="144"/>
      <c r="I542" s="144" t="s">
        <v>135</v>
      </c>
      <c r="J542" s="144" t="s">
        <v>1332</v>
      </c>
      <c r="K542" s="144" t="s">
        <v>139</v>
      </c>
      <c r="L542" s="7" t="s">
        <v>61</v>
      </c>
    </row>
    <row r="543">
      <c r="A543" s="144">
        <v>38.0</v>
      </c>
      <c r="B543" s="144" t="s">
        <v>6</v>
      </c>
      <c r="C543" s="144" t="s">
        <v>1419</v>
      </c>
      <c r="D543" s="144" t="s">
        <v>233</v>
      </c>
      <c r="E543" s="144" t="s">
        <v>135</v>
      </c>
      <c r="F543" s="144" t="s">
        <v>136</v>
      </c>
      <c r="G543" s="144" t="s">
        <v>185</v>
      </c>
      <c r="H543" s="144" t="s">
        <v>1217</v>
      </c>
      <c r="I543" s="144" t="s">
        <v>135</v>
      </c>
      <c r="J543" s="144" t="s">
        <v>1420</v>
      </c>
      <c r="K543" s="144" t="s">
        <v>139</v>
      </c>
      <c r="L543" s="7" t="s">
        <v>61</v>
      </c>
    </row>
    <row r="544">
      <c r="A544" s="144">
        <v>4.0</v>
      </c>
      <c r="B544" s="144" t="s">
        <v>6</v>
      </c>
      <c r="C544" s="144" t="s">
        <v>1282</v>
      </c>
      <c r="D544" s="144" t="s">
        <v>134</v>
      </c>
      <c r="E544" s="144" t="s">
        <v>136</v>
      </c>
      <c r="F544" s="144" t="s">
        <v>136</v>
      </c>
      <c r="G544" s="144" t="s">
        <v>1421</v>
      </c>
      <c r="H544" s="144"/>
      <c r="I544" s="144" t="s">
        <v>136</v>
      </c>
      <c r="J544" s="144" t="s">
        <v>1332</v>
      </c>
      <c r="K544" s="144" t="s">
        <v>139</v>
      </c>
      <c r="L544" s="7" t="s">
        <v>61</v>
      </c>
    </row>
    <row r="545">
      <c r="A545" s="144">
        <v>17.0</v>
      </c>
      <c r="B545" s="144" t="s">
        <v>7</v>
      </c>
      <c r="C545" s="144" t="s">
        <v>1422</v>
      </c>
      <c r="D545" s="144" t="s">
        <v>202</v>
      </c>
      <c r="E545" s="144" t="s">
        <v>136</v>
      </c>
      <c r="F545" s="144" t="s">
        <v>136</v>
      </c>
      <c r="G545" s="144" t="s">
        <v>1423</v>
      </c>
      <c r="H545" s="144" t="s">
        <v>1424</v>
      </c>
      <c r="I545" s="144" t="s">
        <v>135</v>
      </c>
      <c r="J545" s="144" t="s">
        <v>1425</v>
      </c>
      <c r="K545" s="144" t="s">
        <v>139</v>
      </c>
      <c r="L545" s="7" t="s">
        <v>61</v>
      </c>
    </row>
    <row r="546">
      <c r="A546" s="144">
        <v>12.0</v>
      </c>
      <c r="B546" s="144" t="s">
        <v>6</v>
      </c>
      <c r="C546" s="144" t="s">
        <v>1127</v>
      </c>
      <c r="D546" s="144" t="s">
        <v>233</v>
      </c>
      <c r="E546" s="144" t="s">
        <v>136</v>
      </c>
      <c r="F546" s="144" t="s">
        <v>136</v>
      </c>
      <c r="G546" s="144" t="s">
        <v>185</v>
      </c>
      <c r="H546" s="144"/>
      <c r="I546" s="144" t="s">
        <v>135</v>
      </c>
      <c r="J546" s="144" t="s">
        <v>1426</v>
      </c>
      <c r="K546" s="144" t="s">
        <v>139</v>
      </c>
      <c r="L546" s="7" t="s">
        <v>61</v>
      </c>
    </row>
    <row r="547">
      <c r="A547" s="144">
        <v>55.0</v>
      </c>
      <c r="B547" s="144" t="s">
        <v>7</v>
      </c>
      <c r="C547" s="144" t="s">
        <v>315</v>
      </c>
      <c r="D547" s="144" t="s">
        <v>164</v>
      </c>
      <c r="E547" s="144" t="s">
        <v>136</v>
      </c>
      <c r="F547" s="144" t="s">
        <v>136</v>
      </c>
      <c r="G547" s="144" t="s">
        <v>185</v>
      </c>
      <c r="H547" s="144"/>
      <c r="I547" s="144" t="s">
        <v>135</v>
      </c>
      <c r="J547" s="144" t="s">
        <v>1427</v>
      </c>
      <c r="K547" s="144" t="s">
        <v>139</v>
      </c>
      <c r="L547" s="7" t="s">
        <v>61</v>
      </c>
    </row>
    <row r="548">
      <c r="A548" s="144">
        <v>46.0</v>
      </c>
      <c r="B548" s="144" t="s">
        <v>7</v>
      </c>
      <c r="C548" s="144" t="s">
        <v>466</v>
      </c>
      <c r="D548" s="144" t="s">
        <v>255</v>
      </c>
      <c r="E548" s="144" t="s">
        <v>135</v>
      </c>
      <c r="F548" s="144" t="s">
        <v>136</v>
      </c>
      <c r="G548" s="144" t="s">
        <v>1108</v>
      </c>
      <c r="H548" s="144"/>
      <c r="I548" s="144" t="s">
        <v>135</v>
      </c>
      <c r="J548" s="144" t="s">
        <v>1428</v>
      </c>
      <c r="K548" s="144" t="s">
        <v>139</v>
      </c>
      <c r="L548" s="7" t="s">
        <v>61</v>
      </c>
    </row>
    <row r="549">
      <c r="A549" s="144">
        <v>33.0</v>
      </c>
      <c r="B549" s="144" t="s">
        <v>6</v>
      </c>
      <c r="C549" s="144" t="s">
        <v>250</v>
      </c>
      <c r="D549" s="144" t="s">
        <v>209</v>
      </c>
      <c r="E549" s="144" t="s">
        <v>135</v>
      </c>
      <c r="F549" s="144" t="s">
        <v>136</v>
      </c>
      <c r="G549" s="144" t="s">
        <v>157</v>
      </c>
      <c r="H549" s="144"/>
      <c r="I549" s="144" t="s">
        <v>135</v>
      </c>
      <c r="J549" s="144" t="s">
        <v>1429</v>
      </c>
      <c r="K549" s="144" t="s">
        <v>139</v>
      </c>
      <c r="L549" s="7" t="s">
        <v>61</v>
      </c>
    </row>
    <row r="550">
      <c r="A550" s="146">
        <v>10.0</v>
      </c>
      <c r="B550" s="147" t="s">
        <v>6</v>
      </c>
      <c r="C550" s="147" t="s">
        <v>1430</v>
      </c>
      <c r="D550" s="147" t="s">
        <v>263</v>
      </c>
      <c r="E550" s="147" t="s">
        <v>136</v>
      </c>
      <c r="F550" s="147" t="s">
        <v>135</v>
      </c>
      <c r="G550" s="148"/>
      <c r="H550" s="148"/>
      <c r="I550" s="147" t="s">
        <v>136</v>
      </c>
      <c r="J550" s="147" t="s">
        <v>1431</v>
      </c>
      <c r="K550" s="147" t="s">
        <v>139</v>
      </c>
      <c r="L550" s="15" t="s">
        <v>53</v>
      </c>
    </row>
    <row r="551">
      <c r="A551" s="146">
        <v>14.0</v>
      </c>
      <c r="B551" s="147" t="s">
        <v>7</v>
      </c>
      <c r="C551" s="147" t="s">
        <v>1432</v>
      </c>
      <c r="D551" s="147" t="s">
        <v>143</v>
      </c>
      <c r="E551" s="147" t="s">
        <v>136</v>
      </c>
      <c r="F551" s="147" t="s">
        <v>136</v>
      </c>
      <c r="G551" s="148"/>
      <c r="H551" s="148"/>
      <c r="I551" s="147" t="s">
        <v>136</v>
      </c>
      <c r="J551" s="147" t="s">
        <v>1433</v>
      </c>
      <c r="K551" s="147" t="s">
        <v>139</v>
      </c>
      <c r="L551" s="15" t="s">
        <v>53</v>
      </c>
    </row>
    <row r="552">
      <c r="A552" s="146">
        <v>34.0</v>
      </c>
      <c r="B552" s="147" t="s">
        <v>7</v>
      </c>
      <c r="C552" s="147" t="s">
        <v>1434</v>
      </c>
      <c r="D552" s="147" t="s">
        <v>263</v>
      </c>
      <c r="E552" s="147" t="s">
        <v>136</v>
      </c>
      <c r="F552" s="147" t="s">
        <v>136</v>
      </c>
      <c r="G552" s="148"/>
      <c r="H552" s="148"/>
      <c r="I552" s="147" t="s">
        <v>136</v>
      </c>
      <c r="J552" s="147" t="s">
        <v>1435</v>
      </c>
      <c r="K552" s="147" t="s">
        <v>139</v>
      </c>
      <c r="L552" s="15" t="s">
        <v>53</v>
      </c>
    </row>
    <row r="553">
      <c r="A553" s="146">
        <v>25.0</v>
      </c>
      <c r="B553" s="147" t="s">
        <v>7</v>
      </c>
      <c r="C553" s="147" t="s">
        <v>1436</v>
      </c>
      <c r="D553" s="147" t="s">
        <v>153</v>
      </c>
      <c r="E553" s="147" t="s">
        <v>136</v>
      </c>
      <c r="F553" s="147" t="s">
        <v>136</v>
      </c>
      <c r="G553" s="148"/>
      <c r="H553" s="148"/>
      <c r="I553" s="147" t="s">
        <v>136</v>
      </c>
      <c r="J553" s="147" t="s">
        <v>1437</v>
      </c>
      <c r="K553" s="147" t="s">
        <v>139</v>
      </c>
      <c r="L553" s="15" t="s">
        <v>53</v>
      </c>
    </row>
    <row r="554">
      <c r="A554" s="146">
        <v>18.0</v>
      </c>
      <c r="B554" s="147" t="s">
        <v>6</v>
      </c>
      <c r="C554" s="147" t="s">
        <v>1438</v>
      </c>
      <c r="D554" s="147" t="s">
        <v>134</v>
      </c>
      <c r="E554" s="147" t="s">
        <v>136</v>
      </c>
      <c r="F554" s="147" t="s">
        <v>136</v>
      </c>
      <c r="G554" s="148"/>
      <c r="H554" s="148"/>
      <c r="I554" s="147" t="s">
        <v>136</v>
      </c>
      <c r="J554" s="147" t="s">
        <v>1439</v>
      </c>
      <c r="K554" s="147" t="s">
        <v>139</v>
      </c>
      <c r="L554" s="15" t="s">
        <v>53</v>
      </c>
    </row>
    <row r="555">
      <c r="A555" s="146">
        <v>12.0</v>
      </c>
      <c r="B555" s="147" t="s">
        <v>6</v>
      </c>
      <c r="C555" s="147" t="s">
        <v>1440</v>
      </c>
      <c r="D555" s="147" t="s">
        <v>187</v>
      </c>
      <c r="E555" s="147" t="s">
        <v>136</v>
      </c>
      <c r="F555" s="147" t="s">
        <v>136</v>
      </c>
      <c r="G555" s="148"/>
      <c r="H555" s="148"/>
      <c r="I555" s="147" t="s">
        <v>135</v>
      </c>
      <c r="J555" s="147" t="s">
        <v>1441</v>
      </c>
      <c r="K555" s="147" t="s">
        <v>139</v>
      </c>
      <c r="L555" s="15" t="s">
        <v>53</v>
      </c>
    </row>
    <row r="556">
      <c r="A556" s="146">
        <v>24.0</v>
      </c>
      <c r="B556" s="147" t="s">
        <v>6</v>
      </c>
      <c r="C556" s="147" t="s">
        <v>1442</v>
      </c>
      <c r="D556" s="147" t="s">
        <v>255</v>
      </c>
      <c r="E556" s="147" t="s">
        <v>136</v>
      </c>
      <c r="F556" s="147" t="s">
        <v>136</v>
      </c>
      <c r="G556" s="148"/>
      <c r="H556" s="148"/>
      <c r="I556" s="147" t="s">
        <v>136</v>
      </c>
      <c r="J556" s="147" t="s">
        <v>1443</v>
      </c>
      <c r="K556" s="147" t="s">
        <v>139</v>
      </c>
      <c r="L556" s="15" t="s">
        <v>53</v>
      </c>
    </row>
    <row r="557">
      <c r="A557" s="146">
        <v>17.0</v>
      </c>
      <c r="B557" s="147" t="s">
        <v>7</v>
      </c>
      <c r="C557" s="147" t="s">
        <v>1444</v>
      </c>
      <c r="D557" s="147" t="s">
        <v>164</v>
      </c>
      <c r="E557" s="147" t="s">
        <v>136</v>
      </c>
      <c r="F557" s="147" t="s">
        <v>136</v>
      </c>
      <c r="G557" s="148"/>
      <c r="H557" s="148"/>
      <c r="I557" s="147" t="s">
        <v>135</v>
      </c>
      <c r="J557" s="147" t="s">
        <v>1445</v>
      </c>
      <c r="K557" s="147" t="s">
        <v>139</v>
      </c>
      <c r="L557" s="15" t="s">
        <v>53</v>
      </c>
    </row>
    <row r="558">
      <c r="A558" s="146">
        <v>6.0</v>
      </c>
      <c r="B558" s="147" t="s">
        <v>6</v>
      </c>
      <c r="C558" s="147" t="s">
        <v>1446</v>
      </c>
      <c r="D558" s="147" t="s">
        <v>187</v>
      </c>
      <c r="E558" s="147" t="s">
        <v>136</v>
      </c>
      <c r="F558" s="147" t="s">
        <v>136</v>
      </c>
      <c r="G558" s="148"/>
      <c r="H558" s="148"/>
      <c r="I558" s="147" t="s">
        <v>135</v>
      </c>
      <c r="J558" s="147" t="s">
        <v>1447</v>
      </c>
      <c r="K558" s="147" t="s">
        <v>139</v>
      </c>
      <c r="L558" s="15" t="s">
        <v>53</v>
      </c>
    </row>
    <row r="559">
      <c r="A559" s="146">
        <v>33.0</v>
      </c>
      <c r="B559" s="147" t="s">
        <v>6</v>
      </c>
      <c r="C559" s="147" t="s">
        <v>1448</v>
      </c>
      <c r="D559" s="147" t="s">
        <v>202</v>
      </c>
      <c r="E559" s="147" t="s">
        <v>136</v>
      </c>
      <c r="F559" s="147" t="s">
        <v>136</v>
      </c>
      <c r="G559" s="148"/>
      <c r="H559" s="148"/>
      <c r="I559" s="147" t="s">
        <v>136</v>
      </c>
      <c r="J559" s="147" t="s">
        <v>1449</v>
      </c>
      <c r="K559" s="147" t="s">
        <v>139</v>
      </c>
      <c r="L559" s="15" t="s">
        <v>53</v>
      </c>
    </row>
    <row r="560">
      <c r="A560" s="146">
        <v>30.0</v>
      </c>
      <c r="B560" s="147" t="s">
        <v>7</v>
      </c>
      <c r="C560" s="147" t="s">
        <v>1450</v>
      </c>
      <c r="D560" s="147" t="s">
        <v>263</v>
      </c>
      <c r="E560" s="147" t="s">
        <v>136</v>
      </c>
      <c r="F560" s="147" t="s">
        <v>136</v>
      </c>
      <c r="G560" s="148"/>
      <c r="H560" s="148"/>
      <c r="I560" s="147" t="s">
        <v>135</v>
      </c>
      <c r="J560" s="147" t="s">
        <v>1451</v>
      </c>
      <c r="K560" s="147" t="s">
        <v>139</v>
      </c>
      <c r="L560" s="15" t="s">
        <v>53</v>
      </c>
    </row>
    <row r="561">
      <c r="A561" s="146">
        <v>20.0</v>
      </c>
      <c r="B561" s="147" t="s">
        <v>6</v>
      </c>
      <c r="C561" s="147" t="s">
        <v>1452</v>
      </c>
      <c r="D561" s="147" t="s">
        <v>209</v>
      </c>
      <c r="E561" s="147" t="s">
        <v>136</v>
      </c>
      <c r="F561" s="147" t="s">
        <v>136</v>
      </c>
      <c r="G561" s="148"/>
      <c r="H561" s="148"/>
      <c r="I561" s="147" t="s">
        <v>136</v>
      </c>
      <c r="J561" s="147" t="s">
        <v>1453</v>
      </c>
      <c r="K561" s="147" t="s">
        <v>139</v>
      </c>
      <c r="L561" s="15" t="s">
        <v>53</v>
      </c>
    </row>
    <row r="562">
      <c r="A562" s="146">
        <v>23.0</v>
      </c>
      <c r="B562" s="147" t="s">
        <v>6</v>
      </c>
      <c r="C562" s="147" t="s">
        <v>1454</v>
      </c>
      <c r="D562" s="147" t="s">
        <v>255</v>
      </c>
      <c r="E562" s="147" t="s">
        <v>136</v>
      </c>
      <c r="F562" s="147" t="s">
        <v>136</v>
      </c>
      <c r="G562" s="148"/>
      <c r="H562" s="148"/>
      <c r="I562" s="147" t="s">
        <v>136</v>
      </c>
      <c r="J562" s="147" t="s">
        <v>1455</v>
      </c>
      <c r="K562" s="147" t="s">
        <v>139</v>
      </c>
      <c r="L562" s="15" t="s">
        <v>53</v>
      </c>
    </row>
    <row r="563">
      <c r="A563" s="146">
        <v>22.0</v>
      </c>
      <c r="B563" s="147" t="s">
        <v>6</v>
      </c>
      <c r="C563" s="147" t="s">
        <v>1456</v>
      </c>
      <c r="D563" s="147" t="s">
        <v>203</v>
      </c>
      <c r="E563" s="147" t="s">
        <v>135</v>
      </c>
      <c r="F563" s="147" t="s">
        <v>136</v>
      </c>
      <c r="G563" s="148"/>
      <c r="H563" s="148"/>
      <c r="I563" s="147" t="s">
        <v>136</v>
      </c>
      <c r="J563" s="147" t="s">
        <v>1457</v>
      </c>
      <c r="K563" s="147" t="s">
        <v>139</v>
      </c>
      <c r="L563" s="15" t="s">
        <v>53</v>
      </c>
    </row>
    <row r="564">
      <c r="A564" s="146">
        <v>15.0</v>
      </c>
      <c r="B564" s="147" t="s">
        <v>6</v>
      </c>
      <c r="C564" s="147" t="s">
        <v>1458</v>
      </c>
      <c r="D564" s="147" t="s">
        <v>249</v>
      </c>
      <c r="E564" s="147" t="s">
        <v>136</v>
      </c>
      <c r="F564" s="147" t="s">
        <v>136</v>
      </c>
      <c r="G564" s="148"/>
      <c r="H564" s="148"/>
      <c r="I564" s="147" t="s">
        <v>136</v>
      </c>
      <c r="J564" s="147" t="s">
        <v>1459</v>
      </c>
      <c r="K564" s="147" t="s">
        <v>139</v>
      </c>
      <c r="L564" s="15" t="s">
        <v>53</v>
      </c>
    </row>
    <row r="565">
      <c r="A565" s="146">
        <v>5.0</v>
      </c>
      <c r="B565" s="147" t="s">
        <v>7</v>
      </c>
      <c r="C565" s="147" t="s">
        <v>1460</v>
      </c>
      <c r="D565" s="147" t="s">
        <v>164</v>
      </c>
      <c r="E565" s="147" t="s">
        <v>135</v>
      </c>
      <c r="F565" s="147" t="s">
        <v>136</v>
      </c>
      <c r="G565" s="148"/>
      <c r="H565" s="148"/>
      <c r="I565" s="147" t="s">
        <v>135</v>
      </c>
      <c r="J565" s="147" t="s">
        <v>1461</v>
      </c>
      <c r="K565" s="147" t="s">
        <v>139</v>
      </c>
      <c r="L565" s="15" t="s">
        <v>53</v>
      </c>
    </row>
    <row r="566">
      <c r="A566" s="146">
        <v>35.0</v>
      </c>
      <c r="B566" s="147" t="s">
        <v>6</v>
      </c>
      <c r="C566" s="147" t="s">
        <v>1434</v>
      </c>
      <c r="D566" s="147" t="s">
        <v>263</v>
      </c>
      <c r="E566" s="147" t="s">
        <v>135</v>
      </c>
      <c r="F566" s="147" t="s">
        <v>136</v>
      </c>
      <c r="G566" s="148"/>
      <c r="H566" s="148"/>
      <c r="I566" s="147" t="s">
        <v>136</v>
      </c>
      <c r="J566" s="147" t="s">
        <v>1462</v>
      </c>
      <c r="K566" s="147" t="s">
        <v>139</v>
      </c>
      <c r="L566" s="15" t="s">
        <v>53</v>
      </c>
    </row>
    <row r="567">
      <c r="A567" s="146">
        <v>32.0</v>
      </c>
      <c r="B567" s="147" t="s">
        <v>7</v>
      </c>
      <c r="C567" s="147" t="s">
        <v>1463</v>
      </c>
      <c r="D567" s="147" t="s">
        <v>263</v>
      </c>
      <c r="E567" s="147" t="s">
        <v>135</v>
      </c>
      <c r="F567" s="147" t="s">
        <v>136</v>
      </c>
      <c r="G567" s="148"/>
      <c r="H567" s="148"/>
      <c r="I567" s="147" t="s">
        <v>136</v>
      </c>
      <c r="J567" s="147" t="s">
        <v>1464</v>
      </c>
      <c r="K567" s="147" t="s">
        <v>139</v>
      </c>
      <c r="L567" s="15" t="s">
        <v>53</v>
      </c>
    </row>
    <row r="568">
      <c r="A568" s="146">
        <v>28.0</v>
      </c>
      <c r="B568" s="147" t="s">
        <v>6</v>
      </c>
      <c r="C568" s="147" t="s">
        <v>1465</v>
      </c>
      <c r="D568" s="147" t="s">
        <v>358</v>
      </c>
      <c r="E568" s="147" t="s">
        <v>136</v>
      </c>
      <c r="F568" s="147" t="s">
        <v>136</v>
      </c>
      <c r="G568" s="148"/>
      <c r="H568" s="148"/>
      <c r="I568" s="147" t="s">
        <v>136</v>
      </c>
      <c r="J568" s="147" t="s">
        <v>1466</v>
      </c>
      <c r="K568" s="147" t="s">
        <v>139</v>
      </c>
      <c r="L568" s="15" t="s">
        <v>53</v>
      </c>
    </row>
    <row r="569">
      <c r="A569" s="146">
        <v>11.0</v>
      </c>
      <c r="B569" s="147" t="s">
        <v>7</v>
      </c>
      <c r="C569" s="147" t="s">
        <v>1467</v>
      </c>
      <c r="D569" s="147" t="s">
        <v>219</v>
      </c>
      <c r="E569" s="147" t="s">
        <v>136</v>
      </c>
      <c r="F569" s="147" t="s">
        <v>136</v>
      </c>
      <c r="G569" s="148"/>
      <c r="H569" s="148"/>
      <c r="I569" s="147" t="s">
        <v>136</v>
      </c>
      <c r="J569" s="147" t="s">
        <v>1468</v>
      </c>
      <c r="K569" s="147" t="s">
        <v>139</v>
      </c>
      <c r="L569" s="15" t="s">
        <v>53</v>
      </c>
    </row>
    <row r="570">
      <c r="A570" s="146">
        <v>31.0</v>
      </c>
      <c r="B570" s="147" t="s">
        <v>7</v>
      </c>
      <c r="C570" s="147" t="s">
        <v>469</v>
      </c>
      <c r="D570" s="147" t="s">
        <v>202</v>
      </c>
      <c r="E570" s="147" t="s">
        <v>136</v>
      </c>
      <c r="F570" s="147" t="s">
        <v>136</v>
      </c>
      <c r="G570" s="148"/>
      <c r="H570" s="148"/>
      <c r="I570" s="147" t="s">
        <v>136</v>
      </c>
      <c r="J570" s="147" t="s">
        <v>1469</v>
      </c>
      <c r="K570" s="147" t="s">
        <v>139</v>
      </c>
      <c r="L570" s="15" t="s">
        <v>53</v>
      </c>
    </row>
    <row r="571">
      <c r="A571" s="146">
        <v>27.0</v>
      </c>
      <c r="B571" s="147" t="s">
        <v>6</v>
      </c>
      <c r="C571" s="147" t="s">
        <v>1470</v>
      </c>
      <c r="D571" s="147" t="s">
        <v>143</v>
      </c>
      <c r="E571" s="147" t="s">
        <v>136</v>
      </c>
      <c r="F571" s="147" t="s">
        <v>136</v>
      </c>
      <c r="G571" s="148"/>
      <c r="H571" s="148"/>
      <c r="I571" s="147" t="s">
        <v>136</v>
      </c>
      <c r="J571" s="147" t="s">
        <v>1471</v>
      </c>
      <c r="K571" s="147" t="s">
        <v>139</v>
      </c>
      <c r="L571" s="15" t="s">
        <v>53</v>
      </c>
    </row>
    <row r="572">
      <c r="A572" s="146">
        <v>7.0</v>
      </c>
      <c r="B572" s="147" t="s">
        <v>6</v>
      </c>
      <c r="C572" s="147" t="s">
        <v>1460</v>
      </c>
      <c r="D572" s="147" t="s">
        <v>164</v>
      </c>
      <c r="E572" s="147" t="s">
        <v>136</v>
      </c>
      <c r="F572" s="147" t="s">
        <v>136</v>
      </c>
      <c r="G572" s="148"/>
      <c r="H572" s="148"/>
      <c r="I572" s="147" t="s">
        <v>135</v>
      </c>
      <c r="J572" s="147" t="s">
        <v>1472</v>
      </c>
      <c r="K572" s="147" t="s">
        <v>139</v>
      </c>
      <c r="L572" s="15" t="s">
        <v>53</v>
      </c>
    </row>
    <row r="573">
      <c r="A573" s="146">
        <v>9.0</v>
      </c>
      <c r="B573" s="147" t="s">
        <v>6</v>
      </c>
      <c r="C573" s="147" t="s">
        <v>1473</v>
      </c>
      <c r="D573" s="147" t="s">
        <v>263</v>
      </c>
      <c r="E573" s="147" t="s">
        <v>136</v>
      </c>
      <c r="F573" s="147" t="s">
        <v>136</v>
      </c>
      <c r="G573" s="148"/>
      <c r="H573" s="148"/>
      <c r="I573" s="147" t="s">
        <v>136</v>
      </c>
      <c r="J573" s="147" t="s">
        <v>1474</v>
      </c>
      <c r="K573" s="147" t="s">
        <v>139</v>
      </c>
      <c r="L573" s="15" t="s">
        <v>53</v>
      </c>
    </row>
    <row r="574">
      <c r="A574" s="146">
        <v>13.0</v>
      </c>
      <c r="B574" s="147" t="s">
        <v>7</v>
      </c>
      <c r="C574" s="147" t="s">
        <v>184</v>
      </c>
      <c r="D574" s="147" t="s">
        <v>143</v>
      </c>
      <c r="E574" s="147" t="s">
        <v>136</v>
      </c>
      <c r="F574" s="147" t="s">
        <v>136</v>
      </c>
      <c r="G574" s="148"/>
      <c r="H574" s="148"/>
      <c r="I574" s="147" t="s">
        <v>136</v>
      </c>
      <c r="J574" s="147" t="s">
        <v>1475</v>
      </c>
      <c r="K574" s="147" t="s">
        <v>139</v>
      </c>
      <c r="L574" s="15" t="s">
        <v>53</v>
      </c>
    </row>
    <row r="575">
      <c r="A575" s="146">
        <v>26.0</v>
      </c>
      <c r="B575" s="147" t="s">
        <v>7</v>
      </c>
      <c r="C575" s="147" t="s">
        <v>1470</v>
      </c>
      <c r="D575" s="147" t="s">
        <v>143</v>
      </c>
      <c r="E575" s="147" t="s">
        <v>136</v>
      </c>
      <c r="F575" s="147" t="s">
        <v>136</v>
      </c>
      <c r="G575" s="148"/>
      <c r="H575" s="148"/>
      <c r="I575" s="147" t="s">
        <v>136</v>
      </c>
      <c r="J575" s="147" t="s">
        <v>1476</v>
      </c>
      <c r="K575" s="147" t="s">
        <v>139</v>
      </c>
      <c r="L575" s="15" t="s">
        <v>53</v>
      </c>
    </row>
    <row r="576">
      <c r="A576" s="146">
        <v>16.0</v>
      </c>
      <c r="B576" s="147" t="s">
        <v>6</v>
      </c>
      <c r="C576" s="147" t="s">
        <v>1477</v>
      </c>
      <c r="D576" s="147" t="s">
        <v>187</v>
      </c>
      <c r="E576" s="147" t="s">
        <v>136</v>
      </c>
      <c r="F576" s="147" t="s">
        <v>135</v>
      </c>
      <c r="G576" s="148"/>
      <c r="H576" s="148"/>
      <c r="I576" s="147" t="s">
        <v>136</v>
      </c>
      <c r="J576" s="147" t="s">
        <v>1478</v>
      </c>
      <c r="K576" s="147" t="s">
        <v>139</v>
      </c>
      <c r="L576" s="15" t="s">
        <v>53</v>
      </c>
    </row>
    <row r="577">
      <c r="A577" s="146">
        <v>29.0</v>
      </c>
      <c r="B577" s="147" t="s">
        <v>6</v>
      </c>
      <c r="C577" s="147" t="s">
        <v>1479</v>
      </c>
      <c r="D577" s="147" t="s">
        <v>164</v>
      </c>
      <c r="E577" s="147" t="s">
        <v>136</v>
      </c>
      <c r="F577" s="147" t="s">
        <v>135</v>
      </c>
      <c r="G577" s="148"/>
      <c r="H577" s="148"/>
      <c r="I577" s="147" t="s">
        <v>136</v>
      </c>
      <c r="J577" s="147" t="s">
        <v>1480</v>
      </c>
      <c r="K577" s="147" t="s">
        <v>139</v>
      </c>
      <c r="L577" s="15" t="s">
        <v>53</v>
      </c>
    </row>
    <row r="578">
      <c r="A578" s="146">
        <v>19.0</v>
      </c>
      <c r="B578" s="147" t="s">
        <v>7</v>
      </c>
      <c r="C578" s="147" t="s">
        <v>1481</v>
      </c>
      <c r="D578" s="140" t="s">
        <v>383</v>
      </c>
      <c r="E578" s="147" t="s">
        <v>135</v>
      </c>
      <c r="F578" s="147" t="s">
        <v>136</v>
      </c>
      <c r="G578" s="148"/>
      <c r="H578" s="148"/>
      <c r="I578" s="147" t="s">
        <v>136</v>
      </c>
      <c r="J578" s="147" t="s">
        <v>1482</v>
      </c>
      <c r="K578" s="147" t="s">
        <v>139</v>
      </c>
      <c r="L578" s="15" t="s">
        <v>53</v>
      </c>
    </row>
    <row r="579">
      <c r="A579" s="146">
        <v>8.0</v>
      </c>
      <c r="B579" s="147" t="s">
        <v>6</v>
      </c>
      <c r="C579" s="147" t="s">
        <v>1460</v>
      </c>
      <c r="D579" s="147" t="s">
        <v>164</v>
      </c>
      <c r="E579" s="147" t="s">
        <v>136</v>
      </c>
      <c r="F579" s="147" t="s">
        <v>136</v>
      </c>
      <c r="G579" s="148"/>
      <c r="H579" s="148"/>
      <c r="I579" s="147" t="s">
        <v>135</v>
      </c>
      <c r="J579" s="147" t="s">
        <v>1483</v>
      </c>
      <c r="K579" s="147" t="s">
        <v>139</v>
      </c>
      <c r="L579" s="15" t="s">
        <v>53</v>
      </c>
    </row>
    <row r="580">
      <c r="A580" s="146">
        <v>4.0</v>
      </c>
      <c r="B580" s="147" t="s">
        <v>7</v>
      </c>
      <c r="C580" s="147" t="s">
        <v>952</v>
      </c>
      <c r="D580" s="147" t="s">
        <v>164</v>
      </c>
      <c r="E580" s="147" t="s">
        <v>135</v>
      </c>
      <c r="F580" s="147" t="s">
        <v>135</v>
      </c>
      <c r="G580" s="148"/>
      <c r="H580" s="148"/>
      <c r="I580" s="147" t="s">
        <v>135</v>
      </c>
      <c r="J580" s="147" t="s">
        <v>1484</v>
      </c>
      <c r="K580" s="147" t="s">
        <v>1485</v>
      </c>
      <c r="L580" s="15" t="s">
        <v>53</v>
      </c>
    </row>
    <row r="581">
      <c r="A581" s="146">
        <v>21.0</v>
      </c>
      <c r="B581" s="147" t="s">
        <v>6</v>
      </c>
      <c r="C581" s="147" t="s">
        <v>1486</v>
      </c>
      <c r="D581" s="147" t="s">
        <v>193</v>
      </c>
      <c r="E581" s="147" t="s">
        <v>135</v>
      </c>
      <c r="F581" s="147" t="s">
        <v>136</v>
      </c>
      <c r="G581" s="148"/>
      <c r="H581" s="148"/>
      <c r="I581" s="147" t="s">
        <v>136</v>
      </c>
      <c r="J581" s="147" t="s">
        <v>1487</v>
      </c>
      <c r="K581" s="147" t="s">
        <v>139</v>
      </c>
      <c r="L581" s="15" t="s">
        <v>53</v>
      </c>
    </row>
    <row r="582">
      <c r="A582" s="146">
        <v>62.0</v>
      </c>
      <c r="B582" s="147" t="s">
        <v>1488</v>
      </c>
      <c r="C582" s="147" t="s">
        <v>1489</v>
      </c>
      <c r="D582" s="147" t="s">
        <v>263</v>
      </c>
      <c r="E582" s="147" t="s">
        <v>136</v>
      </c>
      <c r="F582" s="147" t="s">
        <v>136</v>
      </c>
      <c r="G582" s="149" t="s">
        <v>1490</v>
      </c>
      <c r="H582" s="148"/>
      <c r="I582" s="147" t="s">
        <v>136</v>
      </c>
      <c r="J582" s="150">
        <v>45525.6625</v>
      </c>
      <c r="K582" s="147" t="s">
        <v>139</v>
      </c>
      <c r="L582" s="15" t="s">
        <v>53</v>
      </c>
    </row>
    <row r="583">
      <c r="A583" s="146">
        <v>34.0</v>
      </c>
      <c r="B583" s="147" t="s">
        <v>1491</v>
      </c>
      <c r="C583" s="147" t="s">
        <v>1492</v>
      </c>
      <c r="D583" s="147" t="s">
        <v>143</v>
      </c>
      <c r="E583" s="147" t="s">
        <v>135</v>
      </c>
      <c r="F583" s="147" t="s">
        <v>136</v>
      </c>
      <c r="G583" s="147" t="s">
        <v>1493</v>
      </c>
      <c r="H583" s="148"/>
      <c r="I583" s="147" t="s">
        <v>136</v>
      </c>
      <c r="J583" s="147" t="s">
        <v>1494</v>
      </c>
      <c r="K583" s="147" t="s">
        <v>139</v>
      </c>
      <c r="L583" s="15" t="s">
        <v>53</v>
      </c>
    </row>
    <row r="584">
      <c r="A584" s="146">
        <v>16.0</v>
      </c>
      <c r="B584" s="147" t="s">
        <v>7</v>
      </c>
      <c r="C584" s="147" t="s">
        <v>973</v>
      </c>
      <c r="D584" s="147" t="s">
        <v>164</v>
      </c>
      <c r="E584" s="147" t="s">
        <v>135</v>
      </c>
      <c r="F584" s="147" t="s">
        <v>136</v>
      </c>
      <c r="G584" s="147" t="s">
        <v>1495</v>
      </c>
      <c r="H584" s="148"/>
      <c r="I584" s="147" t="s">
        <v>136</v>
      </c>
      <c r="J584" s="147" t="s">
        <v>1496</v>
      </c>
      <c r="K584" s="147" t="s">
        <v>139</v>
      </c>
      <c r="L584" s="15" t="s">
        <v>53</v>
      </c>
    </row>
    <row r="585">
      <c r="A585" s="146">
        <v>43.0</v>
      </c>
      <c r="B585" s="147" t="s">
        <v>6</v>
      </c>
      <c r="C585" s="147" t="s">
        <v>1497</v>
      </c>
      <c r="D585" s="147" t="s">
        <v>165</v>
      </c>
      <c r="E585" s="147" t="s">
        <v>135</v>
      </c>
      <c r="F585" s="147" t="s">
        <v>136</v>
      </c>
      <c r="G585" s="147" t="s">
        <v>1498</v>
      </c>
      <c r="H585" s="148"/>
      <c r="I585" s="147" t="s">
        <v>135</v>
      </c>
      <c r="J585" s="147" t="s">
        <v>1499</v>
      </c>
      <c r="K585" s="147" t="s">
        <v>139</v>
      </c>
      <c r="L585" s="15" t="s">
        <v>53</v>
      </c>
    </row>
    <row r="586">
      <c r="A586" s="146">
        <v>56.0</v>
      </c>
      <c r="B586" s="147" t="s">
        <v>7</v>
      </c>
      <c r="C586" s="147" t="s">
        <v>1500</v>
      </c>
      <c r="D586" s="147" t="s">
        <v>259</v>
      </c>
      <c r="E586" s="147" t="s">
        <v>135</v>
      </c>
      <c r="F586" s="147" t="s">
        <v>135</v>
      </c>
      <c r="G586" s="149" t="s">
        <v>137</v>
      </c>
      <c r="H586" s="148"/>
      <c r="I586" s="147" t="s">
        <v>136</v>
      </c>
      <c r="J586" s="150">
        <v>45509.57083333333</v>
      </c>
      <c r="K586" s="147" t="s">
        <v>139</v>
      </c>
      <c r="L586" s="15" t="s">
        <v>53</v>
      </c>
    </row>
    <row r="587">
      <c r="A587" s="146">
        <v>81.0</v>
      </c>
      <c r="B587" s="147" t="s">
        <v>6</v>
      </c>
      <c r="C587" s="147" t="s">
        <v>1501</v>
      </c>
      <c r="D587" s="147" t="s">
        <v>187</v>
      </c>
      <c r="E587" s="147" t="s">
        <v>135</v>
      </c>
      <c r="F587" s="147" t="s">
        <v>136</v>
      </c>
      <c r="G587" s="147" t="s">
        <v>1502</v>
      </c>
      <c r="H587" s="148"/>
      <c r="I587" s="147" t="s">
        <v>136</v>
      </c>
      <c r="J587" s="150">
        <v>45532.67638888889</v>
      </c>
      <c r="K587" s="147" t="s">
        <v>139</v>
      </c>
      <c r="L587" s="15" t="s">
        <v>53</v>
      </c>
    </row>
    <row r="588">
      <c r="A588" s="146">
        <v>88.0</v>
      </c>
      <c r="B588" s="147" t="s">
        <v>6</v>
      </c>
      <c r="C588" s="147" t="s">
        <v>235</v>
      </c>
      <c r="D588" s="147" t="s">
        <v>164</v>
      </c>
      <c r="E588" s="147" t="s">
        <v>136</v>
      </c>
      <c r="F588" s="147" t="s">
        <v>136</v>
      </c>
      <c r="G588" s="147" t="s">
        <v>1503</v>
      </c>
      <c r="H588" s="148"/>
      <c r="I588" s="147" t="s">
        <v>136</v>
      </c>
      <c r="J588" s="150">
        <v>45534.67152777778</v>
      </c>
      <c r="K588" s="147" t="s">
        <v>139</v>
      </c>
      <c r="L588" s="15" t="s">
        <v>53</v>
      </c>
    </row>
    <row r="589">
      <c r="A589" s="146">
        <v>87.0</v>
      </c>
      <c r="B589" s="147" t="s">
        <v>6</v>
      </c>
      <c r="C589" s="147" t="s">
        <v>1504</v>
      </c>
      <c r="D589" s="147" t="s">
        <v>358</v>
      </c>
      <c r="E589" s="147" t="s">
        <v>135</v>
      </c>
      <c r="F589" s="147" t="s">
        <v>136</v>
      </c>
      <c r="G589" s="147" t="s">
        <v>1505</v>
      </c>
      <c r="H589" s="148"/>
      <c r="I589" s="147" t="s">
        <v>135</v>
      </c>
      <c r="J589" s="150">
        <v>45534.623611111114</v>
      </c>
      <c r="K589" s="147" t="s">
        <v>139</v>
      </c>
      <c r="L589" s="15" t="s">
        <v>53</v>
      </c>
    </row>
    <row r="590">
      <c r="A590" s="146">
        <v>30.0</v>
      </c>
      <c r="B590" s="147" t="s">
        <v>6</v>
      </c>
      <c r="C590" s="147" t="s">
        <v>1506</v>
      </c>
      <c r="D590" s="147" t="s">
        <v>390</v>
      </c>
      <c r="E590" s="147" t="s">
        <v>135</v>
      </c>
      <c r="F590" s="147" t="s">
        <v>136</v>
      </c>
      <c r="G590" s="147" t="s">
        <v>1507</v>
      </c>
      <c r="H590" s="148"/>
      <c r="I590" s="147" t="s">
        <v>135</v>
      </c>
      <c r="J590" s="147" t="s">
        <v>1508</v>
      </c>
      <c r="K590" s="147" t="s">
        <v>139</v>
      </c>
      <c r="L590" s="15" t="s">
        <v>53</v>
      </c>
    </row>
    <row r="591">
      <c r="A591" s="146">
        <v>64.0</v>
      </c>
      <c r="B591" s="147" t="s">
        <v>6</v>
      </c>
      <c r="C591" s="147" t="s">
        <v>315</v>
      </c>
      <c r="D591" s="147" t="s">
        <v>164</v>
      </c>
      <c r="E591" s="147" t="s">
        <v>135</v>
      </c>
      <c r="F591" s="147" t="s">
        <v>136</v>
      </c>
      <c r="G591" s="147" t="s">
        <v>1509</v>
      </c>
      <c r="H591" s="148"/>
      <c r="I591" s="147" t="s">
        <v>136</v>
      </c>
      <c r="J591" s="150">
        <v>45527.645833333336</v>
      </c>
      <c r="K591" s="147" t="s">
        <v>139</v>
      </c>
      <c r="L591" s="15" t="s">
        <v>53</v>
      </c>
    </row>
    <row r="592">
      <c r="A592" s="146">
        <v>12.0</v>
      </c>
      <c r="B592" s="147" t="s">
        <v>1491</v>
      </c>
      <c r="C592" s="147" t="s">
        <v>1510</v>
      </c>
      <c r="D592" s="147" t="s">
        <v>177</v>
      </c>
      <c r="E592" s="147" t="s">
        <v>135</v>
      </c>
      <c r="F592" s="147" t="s">
        <v>136</v>
      </c>
      <c r="G592" s="147" t="s">
        <v>1511</v>
      </c>
      <c r="H592" s="148"/>
      <c r="I592" s="147" t="s">
        <v>136</v>
      </c>
      <c r="J592" s="147" t="s">
        <v>1512</v>
      </c>
      <c r="K592" s="147" t="s">
        <v>139</v>
      </c>
      <c r="L592" s="15" t="s">
        <v>53</v>
      </c>
    </row>
    <row r="593">
      <c r="A593" s="146">
        <v>35.0</v>
      </c>
      <c r="B593" s="147" t="s">
        <v>6</v>
      </c>
      <c r="C593" s="147" t="s">
        <v>1513</v>
      </c>
      <c r="D593" s="147" t="s">
        <v>263</v>
      </c>
      <c r="E593" s="147" t="s">
        <v>135</v>
      </c>
      <c r="F593" s="147" t="s">
        <v>136</v>
      </c>
      <c r="G593" s="149" t="s">
        <v>647</v>
      </c>
      <c r="H593" s="148"/>
      <c r="I593" s="147" t="s">
        <v>136</v>
      </c>
      <c r="J593" s="147" t="s">
        <v>1514</v>
      </c>
      <c r="K593" s="147" t="s">
        <v>139</v>
      </c>
      <c r="L593" s="15" t="s">
        <v>53</v>
      </c>
    </row>
    <row r="594">
      <c r="A594" s="146">
        <v>97.0</v>
      </c>
      <c r="B594" s="147" t="s">
        <v>1491</v>
      </c>
      <c r="C594" s="147" t="s">
        <v>1515</v>
      </c>
      <c r="D594" s="147" t="s">
        <v>209</v>
      </c>
      <c r="E594" s="147" t="s">
        <v>135</v>
      </c>
      <c r="F594" s="147" t="s">
        <v>136</v>
      </c>
      <c r="G594" s="147" t="s">
        <v>647</v>
      </c>
      <c r="H594" s="148"/>
      <c r="I594" s="147" t="s">
        <v>136</v>
      </c>
      <c r="J594" s="147" t="s">
        <v>1516</v>
      </c>
      <c r="K594" s="147" t="s">
        <v>139</v>
      </c>
      <c r="L594" s="15" t="s">
        <v>53</v>
      </c>
    </row>
    <row r="595">
      <c r="A595" s="146">
        <v>48.0</v>
      </c>
      <c r="B595" s="147" t="s">
        <v>6</v>
      </c>
      <c r="C595" s="147" t="s">
        <v>1517</v>
      </c>
      <c r="D595" s="147" t="s">
        <v>187</v>
      </c>
      <c r="E595" s="147" t="s">
        <v>136</v>
      </c>
      <c r="F595" s="147" t="s">
        <v>136</v>
      </c>
      <c r="G595" s="147" t="s">
        <v>1490</v>
      </c>
      <c r="H595" s="148"/>
      <c r="I595" s="147" t="s">
        <v>136</v>
      </c>
      <c r="J595" s="147" t="s">
        <v>1518</v>
      </c>
      <c r="K595" s="147" t="s">
        <v>139</v>
      </c>
      <c r="L595" s="15" t="s">
        <v>53</v>
      </c>
    </row>
    <row r="596">
      <c r="A596" s="146">
        <v>10.0</v>
      </c>
      <c r="B596" s="147" t="s">
        <v>6</v>
      </c>
      <c r="C596" s="147" t="s">
        <v>1519</v>
      </c>
      <c r="D596" s="147" t="s">
        <v>202</v>
      </c>
      <c r="E596" s="147" t="s">
        <v>136</v>
      </c>
      <c r="F596" s="147" t="s">
        <v>136</v>
      </c>
      <c r="G596" s="149" t="s">
        <v>1520</v>
      </c>
      <c r="H596" s="148"/>
      <c r="I596" s="147" t="s">
        <v>136</v>
      </c>
      <c r="J596" s="147" t="s">
        <v>1521</v>
      </c>
      <c r="K596" s="147" t="s">
        <v>139</v>
      </c>
      <c r="L596" s="15" t="s">
        <v>53</v>
      </c>
    </row>
    <row r="597">
      <c r="A597" s="146">
        <v>3.0</v>
      </c>
      <c r="B597" s="147" t="s">
        <v>6</v>
      </c>
      <c r="C597" s="147" t="s">
        <v>633</v>
      </c>
      <c r="D597" s="147" t="s">
        <v>164</v>
      </c>
      <c r="E597" s="147" t="s">
        <v>136</v>
      </c>
      <c r="F597" s="147" t="s">
        <v>136</v>
      </c>
      <c r="G597" s="147" t="s">
        <v>1522</v>
      </c>
      <c r="H597" s="148"/>
      <c r="I597" s="147" t="s">
        <v>136</v>
      </c>
      <c r="J597" s="147" t="s">
        <v>1523</v>
      </c>
      <c r="K597" s="147" t="s">
        <v>139</v>
      </c>
      <c r="L597" s="15" t="s">
        <v>53</v>
      </c>
    </row>
    <row r="598">
      <c r="A598" s="146">
        <v>92.0</v>
      </c>
      <c r="B598" s="147" t="s">
        <v>6</v>
      </c>
      <c r="C598" s="147" t="s">
        <v>1524</v>
      </c>
      <c r="D598" s="147" t="s">
        <v>159</v>
      </c>
      <c r="E598" s="147" t="s">
        <v>136</v>
      </c>
      <c r="F598" s="147" t="s">
        <v>136</v>
      </c>
      <c r="G598" s="147" t="s">
        <v>1525</v>
      </c>
      <c r="H598" s="148"/>
      <c r="I598" s="147" t="s">
        <v>136</v>
      </c>
      <c r="J598" s="150">
        <v>45535.92152777778</v>
      </c>
      <c r="K598" s="147" t="s">
        <v>139</v>
      </c>
      <c r="L598" s="15" t="s">
        <v>53</v>
      </c>
    </row>
    <row r="599">
      <c r="A599" s="146">
        <v>82.0</v>
      </c>
      <c r="B599" s="147" t="s">
        <v>1491</v>
      </c>
      <c r="C599" s="147" t="s">
        <v>315</v>
      </c>
      <c r="D599" s="147" t="s">
        <v>164</v>
      </c>
      <c r="E599" s="147" t="s">
        <v>136</v>
      </c>
      <c r="F599" s="147" t="s">
        <v>136</v>
      </c>
      <c r="G599" s="147" t="s">
        <v>1526</v>
      </c>
      <c r="H599" s="148"/>
      <c r="I599" s="147" t="s">
        <v>136</v>
      </c>
      <c r="J599" s="150">
        <v>45533.525</v>
      </c>
      <c r="K599" s="147" t="s">
        <v>139</v>
      </c>
      <c r="L599" s="15" t="s">
        <v>53</v>
      </c>
    </row>
    <row r="600">
      <c r="A600" s="146">
        <v>68.0</v>
      </c>
      <c r="B600" s="147" t="s">
        <v>6</v>
      </c>
      <c r="C600" s="147" t="s">
        <v>1527</v>
      </c>
      <c r="D600" s="147" t="s">
        <v>164</v>
      </c>
      <c r="E600" s="147" t="s">
        <v>136</v>
      </c>
      <c r="F600" s="147" t="s">
        <v>136</v>
      </c>
      <c r="G600" s="149" t="s">
        <v>1528</v>
      </c>
      <c r="H600" s="148"/>
      <c r="I600" s="147" t="s">
        <v>136</v>
      </c>
      <c r="J600" s="150">
        <v>45530.32361111111</v>
      </c>
      <c r="K600" s="147" t="s">
        <v>139</v>
      </c>
      <c r="L600" s="15" t="s">
        <v>53</v>
      </c>
    </row>
    <row r="601">
      <c r="A601" s="146">
        <v>32.0</v>
      </c>
      <c r="B601" s="147" t="s">
        <v>1491</v>
      </c>
      <c r="C601" s="147" t="s">
        <v>1513</v>
      </c>
      <c r="D601" s="147" t="s">
        <v>263</v>
      </c>
      <c r="E601" s="147" t="s">
        <v>136</v>
      </c>
      <c r="F601" s="147" t="s">
        <v>136</v>
      </c>
      <c r="G601" s="147" t="s">
        <v>1529</v>
      </c>
      <c r="H601" s="148"/>
      <c r="I601" s="147" t="s">
        <v>136</v>
      </c>
      <c r="J601" s="147" t="s">
        <v>1530</v>
      </c>
      <c r="K601" s="147" t="s">
        <v>139</v>
      </c>
      <c r="L601" s="15" t="s">
        <v>53</v>
      </c>
    </row>
    <row r="602">
      <c r="A602" s="146">
        <v>80.0</v>
      </c>
      <c r="B602" s="147" t="s">
        <v>6</v>
      </c>
      <c r="C602" s="147" t="s">
        <v>315</v>
      </c>
      <c r="D602" s="147" t="s">
        <v>164</v>
      </c>
      <c r="E602" s="147" t="s">
        <v>136</v>
      </c>
      <c r="F602" s="147" t="s">
        <v>136</v>
      </c>
      <c r="G602" s="149" t="s">
        <v>1531</v>
      </c>
      <c r="H602" s="148"/>
      <c r="I602" s="147" t="s">
        <v>136</v>
      </c>
      <c r="J602" s="150">
        <v>45532.501388888886</v>
      </c>
      <c r="K602" s="147" t="s">
        <v>139</v>
      </c>
      <c r="L602" s="15" t="s">
        <v>53</v>
      </c>
    </row>
    <row r="603">
      <c r="A603" s="146">
        <v>89.0</v>
      </c>
      <c r="B603" s="147" t="s">
        <v>6</v>
      </c>
      <c r="C603" s="147" t="s">
        <v>1532</v>
      </c>
      <c r="D603" s="147" t="s">
        <v>358</v>
      </c>
      <c r="E603" s="147" t="s">
        <v>136</v>
      </c>
      <c r="F603" s="147" t="s">
        <v>136</v>
      </c>
      <c r="G603" s="147" t="s">
        <v>137</v>
      </c>
      <c r="H603" s="148"/>
      <c r="I603" s="147" t="s">
        <v>136</v>
      </c>
      <c r="J603" s="150">
        <v>45534.94097222222</v>
      </c>
      <c r="K603" s="147" t="s">
        <v>139</v>
      </c>
      <c r="L603" s="15" t="s">
        <v>53</v>
      </c>
    </row>
    <row r="604">
      <c r="A604" s="146">
        <v>47.0</v>
      </c>
      <c r="B604" s="147" t="s">
        <v>1533</v>
      </c>
      <c r="C604" s="147" t="s">
        <v>1492</v>
      </c>
      <c r="D604" s="147" t="s">
        <v>143</v>
      </c>
      <c r="E604" s="147" t="s">
        <v>135</v>
      </c>
      <c r="F604" s="147" t="s">
        <v>136</v>
      </c>
      <c r="G604" s="147" t="s">
        <v>1534</v>
      </c>
      <c r="H604" s="148"/>
      <c r="I604" s="147" t="s">
        <v>136</v>
      </c>
      <c r="J604" s="147" t="s">
        <v>1535</v>
      </c>
      <c r="K604" s="147" t="s">
        <v>139</v>
      </c>
      <c r="L604" s="15" t="s">
        <v>53</v>
      </c>
    </row>
    <row r="605">
      <c r="A605" s="146">
        <v>45.0</v>
      </c>
      <c r="B605" s="147" t="s">
        <v>6</v>
      </c>
      <c r="C605" s="147" t="s">
        <v>1536</v>
      </c>
      <c r="D605" s="147" t="s">
        <v>134</v>
      </c>
      <c r="E605" s="147" t="s">
        <v>136</v>
      </c>
      <c r="F605" s="147" t="s">
        <v>136</v>
      </c>
      <c r="G605" s="147" t="s">
        <v>1537</v>
      </c>
      <c r="H605" s="148"/>
      <c r="I605" s="147" t="s">
        <v>136</v>
      </c>
      <c r="J605" s="147" t="s">
        <v>1538</v>
      </c>
      <c r="K605" s="147" t="s">
        <v>139</v>
      </c>
      <c r="L605" s="15" t="s">
        <v>53</v>
      </c>
    </row>
    <row r="606">
      <c r="A606" s="146">
        <v>37.0</v>
      </c>
      <c r="B606" s="147" t="s">
        <v>6</v>
      </c>
      <c r="C606" s="147" t="s">
        <v>560</v>
      </c>
      <c r="D606" s="147" t="s">
        <v>213</v>
      </c>
      <c r="E606" s="147" t="s">
        <v>135</v>
      </c>
      <c r="F606" s="147" t="s">
        <v>136</v>
      </c>
      <c r="G606" s="149" t="s">
        <v>1539</v>
      </c>
      <c r="H606" s="148"/>
      <c r="I606" s="147" t="s">
        <v>135</v>
      </c>
      <c r="J606" s="147" t="s">
        <v>1540</v>
      </c>
      <c r="K606" s="147" t="s">
        <v>139</v>
      </c>
      <c r="L606" s="15" t="s">
        <v>53</v>
      </c>
    </row>
    <row r="607">
      <c r="A607" s="146">
        <v>73.0</v>
      </c>
      <c r="B607" s="147" t="s">
        <v>6</v>
      </c>
      <c r="C607" s="147" t="s">
        <v>1541</v>
      </c>
      <c r="D607" s="147" t="s">
        <v>203</v>
      </c>
      <c r="E607" s="147" t="s">
        <v>136</v>
      </c>
      <c r="F607" s="147" t="s">
        <v>136</v>
      </c>
      <c r="G607" s="149" t="s">
        <v>1542</v>
      </c>
      <c r="H607" s="148"/>
      <c r="I607" s="147" t="s">
        <v>136</v>
      </c>
      <c r="J607" s="150">
        <v>45531.57083333333</v>
      </c>
      <c r="K607" s="147" t="s">
        <v>139</v>
      </c>
      <c r="L607" s="15" t="s">
        <v>53</v>
      </c>
    </row>
    <row r="608">
      <c r="A608" s="146">
        <v>76.0</v>
      </c>
      <c r="B608" s="147" t="s">
        <v>7</v>
      </c>
      <c r="C608" s="147" t="s">
        <v>315</v>
      </c>
      <c r="D608" s="147" t="s">
        <v>164</v>
      </c>
      <c r="E608" s="147" t="s">
        <v>135</v>
      </c>
      <c r="F608" s="147" t="s">
        <v>136</v>
      </c>
      <c r="G608" s="147" t="s">
        <v>137</v>
      </c>
      <c r="H608" s="148"/>
      <c r="I608" s="147" t="s">
        <v>136</v>
      </c>
      <c r="J608" s="150">
        <v>45531.606944444444</v>
      </c>
      <c r="K608" s="147" t="s">
        <v>139</v>
      </c>
      <c r="L608" s="15" t="s">
        <v>53</v>
      </c>
    </row>
    <row r="609">
      <c r="A609" s="146">
        <v>51.0</v>
      </c>
      <c r="B609" s="147" t="s">
        <v>6</v>
      </c>
      <c r="C609" s="147" t="s">
        <v>1515</v>
      </c>
      <c r="D609" s="147" t="s">
        <v>209</v>
      </c>
      <c r="E609" s="147" t="s">
        <v>135</v>
      </c>
      <c r="F609" s="147" t="s">
        <v>136</v>
      </c>
      <c r="G609" s="147" t="s">
        <v>1543</v>
      </c>
      <c r="H609" s="148"/>
      <c r="I609" s="147" t="s">
        <v>136</v>
      </c>
      <c r="J609" s="147" t="s">
        <v>1544</v>
      </c>
      <c r="K609" s="147" t="s">
        <v>139</v>
      </c>
      <c r="L609" s="15" t="s">
        <v>53</v>
      </c>
    </row>
    <row r="610">
      <c r="A610" s="146">
        <v>69.0</v>
      </c>
      <c r="B610" s="147" t="s">
        <v>6</v>
      </c>
      <c r="C610" s="147" t="s">
        <v>1545</v>
      </c>
      <c r="D610" s="147" t="s">
        <v>296</v>
      </c>
      <c r="E610" s="147" t="s">
        <v>135</v>
      </c>
      <c r="F610" s="147" t="s">
        <v>136</v>
      </c>
      <c r="G610" s="149" t="s">
        <v>1546</v>
      </c>
      <c r="H610" s="148"/>
      <c r="I610" s="147" t="s">
        <v>136</v>
      </c>
      <c r="J610" s="150">
        <v>45531.39375</v>
      </c>
      <c r="K610" s="147" t="s">
        <v>139</v>
      </c>
      <c r="L610" s="15" t="s">
        <v>53</v>
      </c>
    </row>
    <row r="611">
      <c r="A611" s="146">
        <v>24.0</v>
      </c>
      <c r="B611" s="147" t="s">
        <v>6</v>
      </c>
      <c r="C611" s="147" t="s">
        <v>270</v>
      </c>
      <c r="D611" s="147" t="s">
        <v>134</v>
      </c>
      <c r="E611" s="147" t="s">
        <v>135</v>
      </c>
      <c r="F611" s="147" t="s">
        <v>136</v>
      </c>
      <c r="G611" s="147" t="s">
        <v>1547</v>
      </c>
      <c r="H611" s="148"/>
      <c r="I611" s="147" t="s">
        <v>136</v>
      </c>
      <c r="J611" s="147" t="s">
        <v>1548</v>
      </c>
      <c r="K611" s="147" t="s">
        <v>139</v>
      </c>
      <c r="L611" s="15" t="s">
        <v>53</v>
      </c>
    </row>
    <row r="612">
      <c r="A612" s="146">
        <v>85.0</v>
      </c>
      <c r="B612" s="147" t="s">
        <v>7</v>
      </c>
      <c r="C612" s="147" t="s">
        <v>315</v>
      </c>
      <c r="D612" s="147" t="s">
        <v>164</v>
      </c>
      <c r="E612" s="147" t="s">
        <v>136</v>
      </c>
      <c r="F612" s="147" t="s">
        <v>136</v>
      </c>
      <c r="G612" s="147" t="s">
        <v>1549</v>
      </c>
      <c r="H612" s="148"/>
      <c r="I612" s="147" t="s">
        <v>136</v>
      </c>
      <c r="J612" s="150">
        <v>45533.76875</v>
      </c>
      <c r="K612" s="147" t="s">
        <v>139</v>
      </c>
      <c r="L612" s="15" t="s">
        <v>53</v>
      </c>
    </row>
    <row r="613">
      <c r="A613" s="146">
        <v>27.0</v>
      </c>
      <c r="B613" s="147" t="s">
        <v>1491</v>
      </c>
      <c r="C613" s="147" t="s">
        <v>1550</v>
      </c>
      <c r="D613" s="147" t="s">
        <v>143</v>
      </c>
      <c r="E613" s="147" t="s">
        <v>135</v>
      </c>
      <c r="F613" s="147" t="s">
        <v>136</v>
      </c>
      <c r="G613" s="147" t="s">
        <v>1551</v>
      </c>
      <c r="H613" s="148"/>
      <c r="I613" s="147" t="s">
        <v>136</v>
      </c>
      <c r="J613" s="147" t="s">
        <v>1552</v>
      </c>
      <c r="K613" s="147" t="s">
        <v>139</v>
      </c>
      <c r="L613" s="15" t="s">
        <v>53</v>
      </c>
    </row>
    <row r="614">
      <c r="A614" s="146">
        <v>74.0</v>
      </c>
      <c r="B614" s="147" t="s">
        <v>6</v>
      </c>
      <c r="C614" s="147" t="s">
        <v>1553</v>
      </c>
      <c r="D614" s="147" t="s">
        <v>203</v>
      </c>
      <c r="E614" s="147" t="s">
        <v>136</v>
      </c>
      <c r="F614" s="147" t="s">
        <v>136</v>
      </c>
      <c r="G614" s="147" t="s">
        <v>1554</v>
      </c>
      <c r="H614" s="148"/>
      <c r="I614" s="147" t="s">
        <v>136</v>
      </c>
      <c r="J614" s="150">
        <v>45531.57152777778</v>
      </c>
      <c r="K614" s="147" t="s">
        <v>139</v>
      </c>
      <c r="L614" s="15" t="s">
        <v>53</v>
      </c>
    </row>
    <row r="615">
      <c r="A615" s="146">
        <v>93.0</v>
      </c>
      <c r="B615" s="147" t="s">
        <v>1491</v>
      </c>
      <c r="C615" s="147" t="s">
        <v>1555</v>
      </c>
      <c r="D615" s="147" t="s">
        <v>263</v>
      </c>
      <c r="E615" s="147" t="s">
        <v>136</v>
      </c>
      <c r="F615" s="147" t="s">
        <v>136</v>
      </c>
      <c r="G615" s="149" t="s">
        <v>1556</v>
      </c>
      <c r="H615" s="148"/>
      <c r="I615" s="147" t="s">
        <v>135</v>
      </c>
      <c r="J615" s="147" t="s">
        <v>1557</v>
      </c>
      <c r="K615" s="147" t="s">
        <v>139</v>
      </c>
      <c r="L615" s="15" t="s">
        <v>53</v>
      </c>
    </row>
    <row r="616">
      <c r="A616" s="146">
        <v>23.0</v>
      </c>
      <c r="B616" s="147" t="s">
        <v>6</v>
      </c>
      <c r="C616" s="147" t="s">
        <v>1558</v>
      </c>
      <c r="D616" s="140" t="s">
        <v>383</v>
      </c>
      <c r="E616" s="147" t="s">
        <v>136</v>
      </c>
      <c r="F616" s="147" t="s">
        <v>136</v>
      </c>
      <c r="G616" s="147" t="s">
        <v>1559</v>
      </c>
      <c r="H616" s="148"/>
      <c r="I616" s="147" t="s">
        <v>136</v>
      </c>
      <c r="J616" s="147" t="s">
        <v>1560</v>
      </c>
      <c r="K616" s="147" t="s">
        <v>139</v>
      </c>
      <c r="L616" s="15" t="s">
        <v>53</v>
      </c>
    </row>
    <row r="617">
      <c r="A617" s="146">
        <v>57.0</v>
      </c>
      <c r="B617" s="147" t="s">
        <v>6</v>
      </c>
      <c r="C617" s="147" t="s">
        <v>1561</v>
      </c>
      <c r="D617" s="147" t="s">
        <v>134</v>
      </c>
      <c r="E617" s="147" t="s">
        <v>135</v>
      </c>
      <c r="F617" s="147" t="s">
        <v>136</v>
      </c>
      <c r="G617" s="147" t="s">
        <v>1562</v>
      </c>
      <c r="H617" s="148"/>
      <c r="I617" s="147" t="s">
        <v>136</v>
      </c>
      <c r="J617" s="150">
        <v>45509.62152777778</v>
      </c>
      <c r="K617" s="147" t="s">
        <v>139</v>
      </c>
      <c r="L617" s="15" t="s">
        <v>53</v>
      </c>
    </row>
    <row r="618">
      <c r="A618" s="146">
        <v>61.0</v>
      </c>
      <c r="B618" s="147" t="s">
        <v>1491</v>
      </c>
      <c r="C618" s="147" t="s">
        <v>1563</v>
      </c>
      <c r="D618" s="147" t="s">
        <v>134</v>
      </c>
      <c r="E618" s="147" t="s">
        <v>136</v>
      </c>
      <c r="F618" s="147" t="s">
        <v>136</v>
      </c>
      <c r="G618" s="147" t="s">
        <v>1564</v>
      </c>
      <c r="H618" s="148"/>
      <c r="I618" s="147" t="s">
        <v>136</v>
      </c>
      <c r="J618" s="150">
        <v>45525.50486111111</v>
      </c>
      <c r="K618" s="147" t="s">
        <v>139</v>
      </c>
      <c r="L618" s="15" t="s">
        <v>53</v>
      </c>
    </row>
    <row r="619">
      <c r="A619" s="146">
        <v>53.0</v>
      </c>
      <c r="B619" s="147" t="s">
        <v>1491</v>
      </c>
      <c r="C619" s="147" t="s">
        <v>1565</v>
      </c>
      <c r="D619" s="147" t="s">
        <v>296</v>
      </c>
      <c r="E619" s="147" t="s">
        <v>135</v>
      </c>
      <c r="F619" s="147" t="s">
        <v>136</v>
      </c>
      <c r="G619" s="147" t="s">
        <v>1566</v>
      </c>
      <c r="H619" s="148"/>
      <c r="I619" s="147" t="s">
        <v>136</v>
      </c>
      <c r="J619" s="147" t="s">
        <v>1567</v>
      </c>
      <c r="K619" s="147" t="s">
        <v>139</v>
      </c>
      <c r="L619" s="15" t="s">
        <v>53</v>
      </c>
    </row>
    <row r="620">
      <c r="A620" s="146">
        <v>55.0</v>
      </c>
      <c r="B620" s="147" t="s">
        <v>6</v>
      </c>
      <c r="C620" s="147" t="s">
        <v>1500</v>
      </c>
      <c r="D620" s="147" t="s">
        <v>259</v>
      </c>
      <c r="E620" s="147" t="s">
        <v>135</v>
      </c>
      <c r="F620" s="147" t="s">
        <v>135</v>
      </c>
      <c r="G620" s="147" t="s">
        <v>1568</v>
      </c>
      <c r="H620" s="148"/>
      <c r="I620" s="147" t="s">
        <v>136</v>
      </c>
      <c r="J620" s="150">
        <v>45509.36388888889</v>
      </c>
      <c r="K620" s="147" t="s">
        <v>139</v>
      </c>
      <c r="L620" s="15" t="s">
        <v>53</v>
      </c>
    </row>
    <row r="621">
      <c r="A621" s="146">
        <v>100.0</v>
      </c>
      <c r="B621" s="147" t="s">
        <v>1569</v>
      </c>
      <c r="C621" s="147" t="s">
        <v>1570</v>
      </c>
      <c r="D621" s="147" t="s">
        <v>203</v>
      </c>
      <c r="E621" s="147" t="s">
        <v>136</v>
      </c>
      <c r="F621" s="147" t="s">
        <v>136</v>
      </c>
      <c r="G621" s="147" t="s">
        <v>1571</v>
      </c>
      <c r="H621" s="148"/>
      <c r="I621" s="147" t="s">
        <v>136</v>
      </c>
      <c r="J621" s="147" t="s">
        <v>1572</v>
      </c>
      <c r="K621" s="147" t="s">
        <v>139</v>
      </c>
      <c r="L621" s="15" t="s">
        <v>53</v>
      </c>
    </row>
    <row r="622">
      <c r="A622" s="146">
        <v>67.0</v>
      </c>
      <c r="B622" s="147" t="s">
        <v>6</v>
      </c>
      <c r="C622" s="147" t="s">
        <v>235</v>
      </c>
      <c r="D622" s="147" t="s">
        <v>164</v>
      </c>
      <c r="E622" s="147" t="s">
        <v>136</v>
      </c>
      <c r="F622" s="147" t="s">
        <v>136</v>
      </c>
      <c r="G622" s="149" t="s">
        <v>1573</v>
      </c>
      <c r="H622" s="148"/>
      <c r="I622" s="147" t="s">
        <v>136</v>
      </c>
      <c r="J622" s="150">
        <v>45530.31875</v>
      </c>
      <c r="K622" s="147" t="s">
        <v>139</v>
      </c>
      <c r="L622" s="15" t="s">
        <v>53</v>
      </c>
    </row>
    <row r="623">
      <c r="A623" s="146">
        <v>99.0</v>
      </c>
      <c r="B623" s="147" t="s">
        <v>6</v>
      </c>
      <c r="C623" s="147" t="s">
        <v>1515</v>
      </c>
      <c r="D623" s="147" t="s">
        <v>209</v>
      </c>
      <c r="E623" s="147" t="s">
        <v>135</v>
      </c>
      <c r="F623" s="147" t="s">
        <v>136</v>
      </c>
      <c r="G623" s="147" t="s">
        <v>1574</v>
      </c>
      <c r="H623" s="148"/>
      <c r="I623" s="147" t="s">
        <v>136</v>
      </c>
      <c r="J623" s="147" t="s">
        <v>1575</v>
      </c>
      <c r="K623" s="147" t="s">
        <v>139</v>
      </c>
      <c r="L623" s="15" t="s">
        <v>53</v>
      </c>
    </row>
    <row r="624">
      <c r="A624" s="146">
        <v>20.0</v>
      </c>
      <c r="B624" s="147" t="s">
        <v>1576</v>
      </c>
      <c r="C624" s="147" t="s">
        <v>1577</v>
      </c>
      <c r="D624" s="147" t="s">
        <v>202</v>
      </c>
      <c r="E624" s="147" t="s">
        <v>135</v>
      </c>
      <c r="F624" s="147" t="s">
        <v>136</v>
      </c>
      <c r="G624" s="147" t="s">
        <v>1578</v>
      </c>
      <c r="H624" s="148"/>
      <c r="I624" s="147" t="s">
        <v>136</v>
      </c>
      <c r="J624" s="147" t="s">
        <v>1579</v>
      </c>
      <c r="K624" s="147" t="s">
        <v>139</v>
      </c>
      <c r="L624" s="15" t="s">
        <v>53</v>
      </c>
    </row>
    <row r="625">
      <c r="A625" s="146">
        <v>50.0</v>
      </c>
      <c r="B625" s="147" t="s">
        <v>6</v>
      </c>
      <c r="C625" s="147" t="s">
        <v>1563</v>
      </c>
      <c r="D625" s="147" t="s">
        <v>134</v>
      </c>
      <c r="E625" s="147" t="s">
        <v>136</v>
      </c>
      <c r="F625" s="147" t="s">
        <v>136</v>
      </c>
      <c r="G625" s="147" t="s">
        <v>1580</v>
      </c>
      <c r="H625" s="148"/>
      <c r="I625" s="147" t="s">
        <v>136</v>
      </c>
      <c r="J625" s="147" t="s">
        <v>1581</v>
      </c>
      <c r="K625" s="147" t="s">
        <v>139</v>
      </c>
      <c r="L625" s="15" t="s">
        <v>53</v>
      </c>
    </row>
    <row r="626">
      <c r="A626" s="146">
        <v>72.0</v>
      </c>
      <c r="B626" s="147" t="s">
        <v>6</v>
      </c>
      <c r="C626" s="147" t="s">
        <v>1541</v>
      </c>
      <c r="D626" s="147" t="s">
        <v>203</v>
      </c>
      <c r="E626" s="147" t="s">
        <v>135</v>
      </c>
      <c r="F626" s="147" t="s">
        <v>136</v>
      </c>
      <c r="G626" s="147" t="s">
        <v>647</v>
      </c>
      <c r="H626" s="148"/>
      <c r="I626" s="147" t="s">
        <v>136</v>
      </c>
      <c r="J626" s="150">
        <v>45531.56458333333</v>
      </c>
      <c r="K626" s="147" t="s">
        <v>139</v>
      </c>
      <c r="L626" s="15" t="s">
        <v>53</v>
      </c>
    </row>
    <row r="627">
      <c r="A627" s="146">
        <v>11.0</v>
      </c>
      <c r="B627" s="147" t="s">
        <v>6</v>
      </c>
      <c r="C627" s="147" t="s">
        <v>1582</v>
      </c>
      <c r="D627" s="147" t="s">
        <v>255</v>
      </c>
      <c r="E627" s="147" t="s">
        <v>135</v>
      </c>
      <c r="F627" s="147" t="s">
        <v>136</v>
      </c>
      <c r="G627" s="147" t="s">
        <v>1583</v>
      </c>
      <c r="H627" s="148"/>
      <c r="I627" s="147" t="s">
        <v>136</v>
      </c>
      <c r="J627" s="147" t="s">
        <v>1584</v>
      </c>
      <c r="K627" s="147" t="s">
        <v>139</v>
      </c>
      <c r="L627" s="15" t="s">
        <v>53</v>
      </c>
    </row>
    <row r="628">
      <c r="A628" s="146">
        <v>19.0</v>
      </c>
      <c r="B628" s="147" t="s">
        <v>7</v>
      </c>
      <c r="C628" s="147" t="s">
        <v>1585</v>
      </c>
      <c r="D628" s="147" t="s">
        <v>263</v>
      </c>
      <c r="E628" s="147" t="s">
        <v>135</v>
      </c>
      <c r="F628" s="147" t="s">
        <v>136</v>
      </c>
      <c r="G628" s="147" t="s">
        <v>1586</v>
      </c>
      <c r="H628" s="148"/>
      <c r="I628" s="147" t="s">
        <v>136</v>
      </c>
      <c r="J628" s="147" t="s">
        <v>1587</v>
      </c>
      <c r="K628" s="147" t="s">
        <v>139</v>
      </c>
      <c r="L628" s="15" t="s">
        <v>53</v>
      </c>
    </row>
    <row r="629">
      <c r="A629" s="146">
        <v>71.0</v>
      </c>
      <c r="B629" s="147" t="s">
        <v>7</v>
      </c>
      <c r="C629" s="147" t="s">
        <v>1588</v>
      </c>
      <c r="D629" s="147" t="s">
        <v>143</v>
      </c>
      <c r="E629" s="147" t="s">
        <v>135</v>
      </c>
      <c r="F629" s="147" t="s">
        <v>136</v>
      </c>
      <c r="G629" s="147" t="s">
        <v>455</v>
      </c>
      <c r="H629" s="148"/>
      <c r="I629" s="147" t="s">
        <v>136</v>
      </c>
      <c r="J629" s="150">
        <v>45531.447222222225</v>
      </c>
      <c r="K629" s="147" t="s">
        <v>139</v>
      </c>
      <c r="L629" s="15" t="s">
        <v>53</v>
      </c>
    </row>
    <row r="630">
      <c r="A630" s="146">
        <v>75.0</v>
      </c>
      <c r="B630" s="147" t="s">
        <v>6</v>
      </c>
      <c r="C630" s="147" t="s">
        <v>1589</v>
      </c>
      <c r="D630" s="140" t="s">
        <v>383</v>
      </c>
      <c r="E630" s="147" t="s">
        <v>135</v>
      </c>
      <c r="F630" s="147" t="s">
        <v>136</v>
      </c>
      <c r="G630" s="147" t="s">
        <v>1590</v>
      </c>
      <c r="H630" s="148"/>
      <c r="I630" s="147" t="s">
        <v>136</v>
      </c>
      <c r="J630" s="150">
        <v>45531.604166666664</v>
      </c>
      <c r="K630" s="147" t="s">
        <v>139</v>
      </c>
      <c r="L630" s="15" t="s">
        <v>53</v>
      </c>
    </row>
    <row r="631">
      <c r="A631" s="146">
        <v>65.0</v>
      </c>
      <c r="B631" s="147" t="s">
        <v>6</v>
      </c>
      <c r="C631" s="147" t="s">
        <v>1591</v>
      </c>
      <c r="D631" s="147" t="s">
        <v>164</v>
      </c>
      <c r="E631" s="147" t="s">
        <v>136</v>
      </c>
      <c r="F631" s="147" t="s">
        <v>136</v>
      </c>
      <c r="G631" s="147" t="s">
        <v>1592</v>
      </c>
      <c r="H631" s="148"/>
      <c r="I631" s="147" t="s">
        <v>136</v>
      </c>
      <c r="J631" s="150">
        <v>45527.65833333333</v>
      </c>
      <c r="K631" s="147" t="s">
        <v>139</v>
      </c>
      <c r="L631" s="15" t="s">
        <v>53</v>
      </c>
    </row>
    <row r="632">
      <c r="A632" s="146">
        <v>58.0</v>
      </c>
      <c r="B632" s="147" t="s">
        <v>6</v>
      </c>
      <c r="C632" s="147" t="s">
        <v>1501</v>
      </c>
      <c r="D632" s="147" t="s">
        <v>187</v>
      </c>
      <c r="E632" s="147" t="s">
        <v>135</v>
      </c>
      <c r="F632" s="147" t="s">
        <v>136</v>
      </c>
      <c r="G632" s="147" t="s">
        <v>1593</v>
      </c>
      <c r="H632" s="148"/>
      <c r="I632" s="147" t="s">
        <v>135</v>
      </c>
      <c r="J632" s="150">
        <v>45510.44583333333</v>
      </c>
      <c r="K632" s="147" t="s">
        <v>1594</v>
      </c>
      <c r="L632" s="15" t="s">
        <v>53</v>
      </c>
    </row>
    <row r="633">
      <c r="A633" s="146">
        <v>83.0</v>
      </c>
      <c r="B633" s="147" t="s">
        <v>7</v>
      </c>
      <c r="C633" s="147" t="s">
        <v>1595</v>
      </c>
      <c r="D633" s="147" t="s">
        <v>166</v>
      </c>
      <c r="E633" s="147" t="s">
        <v>135</v>
      </c>
      <c r="F633" s="147" t="s">
        <v>136</v>
      </c>
      <c r="G633" s="147" t="s">
        <v>1596</v>
      </c>
      <c r="H633" s="148"/>
      <c r="I633" s="147" t="s">
        <v>136</v>
      </c>
      <c r="J633" s="150">
        <v>45533.55694444444</v>
      </c>
      <c r="K633" s="147" t="s">
        <v>139</v>
      </c>
      <c r="L633" s="15" t="s">
        <v>53</v>
      </c>
    </row>
    <row r="634">
      <c r="A634" s="146">
        <v>90.0</v>
      </c>
      <c r="B634" s="147" t="s">
        <v>7</v>
      </c>
      <c r="C634" s="147" t="s">
        <v>315</v>
      </c>
      <c r="D634" s="147" t="s">
        <v>164</v>
      </c>
      <c r="E634" s="147" t="s">
        <v>135</v>
      </c>
      <c r="F634" s="147" t="s">
        <v>136</v>
      </c>
      <c r="G634" s="147" t="s">
        <v>137</v>
      </c>
      <c r="H634" s="148"/>
      <c r="I634" s="147" t="s">
        <v>135</v>
      </c>
      <c r="J634" s="150">
        <v>45535.709027777775</v>
      </c>
      <c r="K634" s="147" t="s">
        <v>139</v>
      </c>
      <c r="L634" s="15" t="s">
        <v>53</v>
      </c>
    </row>
    <row r="635">
      <c r="A635" s="146">
        <v>63.0</v>
      </c>
      <c r="B635" s="147" t="s">
        <v>1491</v>
      </c>
      <c r="C635" s="147" t="s">
        <v>1563</v>
      </c>
      <c r="D635" s="147" t="s">
        <v>134</v>
      </c>
      <c r="E635" s="147" t="s">
        <v>136</v>
      </c>
      <c r="F635" s="147" t="s">
        <v>136</v>
      </c>
      <c r="G635" s="147" t="s">
        <v>1597</v>
      </c>
      <c r="H635" s="148"/>
      <c r="I635" s="147" t="s">
        <v>136</v>
      </c>
      <c r="J635" s="150">
        <v>45526.66458333333</v>
      </c>
      <c r="K635" s="147" t="s">
        <v>139</v>
      </c>
      <c r="L635" s="15" t="s">
        <v>53</v>
      </c>
    </row>
    <row r="636">
      <c r="A636" s="146">
        <v>86.0</v>
      </c>
      <c r="B636" s="147" t="s">
        <v>6</v>
      </c>
      <c r="C636" s="147" t="s">
        <v>921</v>
      </c>
      <c r="D636" s="147" t="s">
        <v>358</v>
      </c>
      <c r="E636" s="147" t="s">
        <v>135</v>
      </c>
      <c r="F636" s="147" t="s">
        <v>136</v>
      </c>
      <c r="G636" s="147" t="s">
        <v>1598</v>
      </c>
      <c r="H636" s="148"/>
      <c r="I636" s="147" t="s">
        <v>136</v>
      </c>
      <c r="J636" s="150">
        <v>45534.62013888889</v>
      </c>
      <c r="K636" s="147" t="s">
        <v>139</v>
      </c>
      <c r="L636" s="15" t="s">
        <v>53</v>
      </c>
    </row>
    <row r="637">
      <c r="A637" s="146">
        <v>13.0</v>
      </c>
      <c r="B637" s="147" t="s">
        <v>6</v>
      </c>
      <c r="C637" s="147" t="s">
        <v>1599</v>
      </c>
      <c r="D637" s="147" t="s">
        <v>164</v>
      </c>
      <c r="E637" s="147" t="s">
        <v>135</v>
      </c>
      <c r="F637" s="147" t="s">
        <v>136</v>
      </c>
      <c r="G637" s="147" t="s">
        <v>1600</v>
      </c>
      <c r="H637" s="148"/>
      <c r="I637" s="147" t="s">
        <v>136</v>
      </c>
      <c r="J637" s="147" t="s">
        <v>1601</v>
      </c>
      <c r="K637" s="147" t="s">
        <v>139</v>
      </c>
      <c r="L637" s="15" t="s">
        <v>53</v>
      </c>
    </row>
    <row r="638">
      <c r="A638" s="146">
        <v>5.0</v>
      </c>
      <c r="B638" s="147" t="s">
        <v>6</v>
      </c>
      <c r="C638" s="147" t="s">
        <v>315</v>
      </c>
      <c r="D638" s="147" t="s">
        <v>164</v>
      </c>
      <c r="E638" s="147" t="s">
        <v>135</v>
      </c>
      <c r="F638" s="147" t="s">
        <v>136</v>
      </c>
      <c r="G638" s="147" t="s">
        <v>1602</v>
      </c>
      <c r="H638" s="148"/>
      <c r="I638" s="147" t="s">
        <v>136</v>
      </c>
      <c r="J638" s="147" t="s">
        <v>1603</v>
      </c>
      <c r="K638" s="147" t="s">
        <v>139</v>
      </c>
      <c r="L638" s="15" t="s">
        <v>53</v>
      </c>
    </row>
    <row r="639">
      <c r="A639" s="146">
        <v>36.0</v>
      </c>
      <c r="B639" s="147" t="s">
        <v>7</v>
      </c>
      <c r="C639" s="147" t="s">
        <v>1513</v>
      </c>
      <c r="D639" s="147" t="s">
        <v>263</v>
      </c>
      <c r="E639" s="147" t="s">
        <v>135</v>
      </c>
      <c r="F639" s="147" t="s">
        <v>136</v>
      </c>
      <c r="G639" s="147" t="s">
        <v>1604</v>
      </c>
      <c r="H639" s="148"/>
      <c r="I639" s="147" t="s">
        <v>136</v>
      </c>
      <c r="J639" s="147" t="s">
        <v>1605</v>
      </c>
      <c r="K639" s="147" t="s">
        <v>139</v>
      </c>
      <c r="L639" s="15" t="s">
        <v>53</v>
      </c>
    </row>
    <row r="640">
      <c r="A640" s="146">
        <v>6.0</v>
      </c>
      <c r="B640" s="147" t="s">
        <v>7</v>
      </c>
      <c r="C640" s="147" t="s">
        <v>315</v>
      </c>
      <c r="D640" s="147" t="s">
        <v>164</v>
      </c>
      <c r="E640" s="147" t="s">
        <v>135</v>
      </c>
      <c r="F640" s="147" t="s">
        <v>136</v>
      </c>
      <c r="G640" s="147" t="s">
        <v>1606</v>
      </c>
      <c r="H640" s="148"/>
      <c r="I640" s="147" t="s">
        <v>135</v>
      </c>
      <c r="J640" s="147" t="s">
        <v>1607</v>
      </c>
      <c r="K640" s="147" t="s">
        <v>139</v>
      </c>
      <c r="L640" s="15" t="s">
        <v>53</v>
      </c>
    </row>
    <row r="641">
      <c r="A641" s="146">
        <v>60.0</v>
      </c>
      <c r="B641" s="147" t="s">
        <v>6</v>
      </c>
      <c r="C641" s="147" t="s">
        <v>1608</v>
      </c>
      <c r="D641" s="147" t="s">
        <v>358</v>
      </c>
      <c r="E641" s="147" t="s">
        <v>136</v>
      </c>
      <c r="F641" s="147" t="s">
        <v>136</v>
      </c>
      <c r="G641" s="147" t="s">
        <v>1609</v>
      </c>
      <c r="H641" s="148"/>
      <c r="I641" s="147" t="s">
        <v>136</v>
      </c>
      <c r="J641" s="150">
        <v>45525.34097222222</v>
      </c>
      <c r="K641" s="147" t="s">
        <v>139</v>
      </c>
      <c r="L641" s="15" t="s">
        <v>53</v>
      </c>
    </row>
    <row r="642">
      <c r="A642" s="146">
        <v>77.0</v>
      </c>
      <c r="B642" s="147" t="s">
        <v>7</v>
      </c>
      <c r="C642" s="147" t="s">
        <v>1610</v>
      </c>
      <c r="D642" s="147" t="s">
        <v>263</v>
      </c>
      <c r="E642" s="147" t="s">
        <v>136</v>
      </c>
      <c r="F642" s="147" t="s">
        <v>135</v>
      </c>
      <c r="G642" s="147" t="s">
        <v>1611</v>
      </c>
      <c r="H642" s="148"/>
      <c r="I642" s="147" t="s">
        <v>136</v>
      </c>
      <c r="J642" s="150">
        <v>45531.67222222222</v>
      </c>
      <c r="K642" s="147" t="s">
        <v>139</v>
      </c>
      <c r="L642" s="15" t="s">
        <v>53</v>
      </c>
    </row>
    <row r="643">
      <c r="A643" s="146">
        <v>49.0</v>
      </c>
      <c r="B643" s="147" t="s">
        <v>6</v>
      </c>
      <c r="C643" s="147" t="s">
        <v>366</v>
      </c>
      <c r="D643" s="147" t="s">
        <v>218</v>
      </c>
      <c r="E643" s="147" t="s">
        <v>136</v>
      </c>
      <c r="F643" s="147" t="s">
        <v>136</v>
      </c>
      <c r="G643" s="147" t="s">
        <v>1612</v>
      </c>
      <c r="H643" s="148"/>
      <c r="I643" s="147" t="s">
        <v>135</v>
      </c>
      <c r="J643" s="147" t="s">
        <v>1613</v>
      </c>
      <c r="K643" s="147" t="s">
        <v>139</v>
      </c>
      <c r="L643" s="15" t="s">
        <v>53</v>
      </c>
    </row>
    <row r="644">
      <c r="A644" s="146">
        <v>44.0</v>
      </c>
      <c r="B644" s="147" t="s">
        <v>6</v>
      </c>
      <c r="C644" s="147" t="s">
        <v>1614</v>
      </c>
      <c r="D644" s="147" t="s">
        <v>143</v>
      </c>
      <c r="E644" s="147" t="s">
        <v>135</v>
      </c>
      <c r="F644" s="147" t="s">
        <v>136</v>
      </c>
      <c r="G644" s="147" t="s">
        <v>1615</v>
      </c>
      <c r="H644" s="148"/>
      <c r="I644" s="147" t="s">
        <v>135</v>
      </c>
      <c r="J644" s="147" t="s">
        <v>1616</v>
      </c>
      <c r="K644" s="147" t="s">
        <v>139</v>
      </c>
      <c r="L644" s="15" t="s">
        <v>53</v>
      </c>
    </row>
    <row r="645">
      <c r="A645" s="146">
        <v>28.0</v>
      </c>
      <c r="B645" s="147" t="s">
        <v>7</v>
      </c>
      <c r="C645" s="147" t="s">
        <v>1617</v>
      </c>
      <c r="D645" s="147" t="s">
        <v>143</v>
      </c>
      <c r="E645" s="147" t="s">
        <v>136</v>
      </c>
      <c r="F645" s="147" t="s">
        <v>136</v>
      </c>
      <c r="G645" s="147" t="s">
        <v>1618</v>
      </c>
      <c r="H645" s="148"/>
      <c r="I645" s="147" t="s">
        <v>136</v>
      </c>
      <c r="J645" s="147" t="s">
        <v>1619</v>
      </c>
      <c r="K645" s="147" t="s">
        <v>139</v>
      </c>
      <c r="L645" s="15" t="s">
        <v>53</v>
      </c>
    </row>
    <row r="646">
      <c r="A646" s="146">
        <v>42.0</v>
      </c>
      <c r="B646" s="147" t="s">
        <v>6</v>
      </c>
      <c r="C646" s="147" t="s">
        <v>1620</v>
      </c>
      <c r="D646" s="147" t="s">
        <v>143</v>
      </c>
      <c r="E646" s="147" t="s">
        <v>135</v>
      </c>
      <c r="F646" s="147" t="s">
        <v>136</v>
      </c>
      <c r="G646" s="147" t="s">
        <v>1621</v>
      </c>
      <c r="H646" s="148"/>
      <c r="I646" s="147" t="s">
        <v>136</v>
      </c>
      <c r="J646" s="147" t="s">
        <v>1622</v>
      </c>
      <c r="K646" s="147" t="s">
        <v>139</v>
      </c>
      <c r="L646" s="15" t="s">
        <v>53</v>
      </c>
    </row>
    <row r="647">
      <c r="A647" s="146">
        <v>70.0</v>
      </c>
      <c r="B647" s="147" t="s">
        <v>7</v>
      </c>
      <c r="C647" s="147" t="s">
        <v>1492</v>
      </c>
      <c r="D647" s="147" t="s">
        <v>143</v>
      </c>
      <c r="E647" s="147" t="s">
        <v>136</v>
      </c>
      <c r="F647" s="147" t="s">
        <v>136</v>
      </c>
      <c r="G647" s="147" t="s">
        <v>1623</v>
      </c>
      <c r="H647" s="148"/>
      <c r="I647" s="147" t="s">
        <v>136</v>
      </c>
      <c r="J647" s="150">
        <v>45531.40277777778</v>
      </c>
      <c r="K647" s="147" t="s">
        <v>139</v>
      </c>
      <c r="L647" s="15" t="s">
        <v>53</v>
      </c>
    </row>
    <row r="648">
      <c r="A648" s="146">
        <v>46.0</v>
      </c>
      <c r="B648" s="147" t="s">
        <v>7</v>
      </c>
      <c r="C648" s="147" t="s">
        <v>787</v>
      </c>
      <c r="D648" s="147" t="s">
        <v>164</v>
      </c>
      <c r="E648" s="147" t="s">
        <v>135</v>
      </c>
      <c r="F648" s="147" t="s">
        <v>136</v>
      </c>
      <c r="G648" s="147" t="s">
        <v>1624</v>
      </c>
      <c r="H648" s="148"/>
      <c r="I648" s="147" t="s">
        <v>136</v>
      </c>
      <c r="J648" s="147" t="s">
        <v>1625</v>
      </c>
      <c r="K648" s="147" t="s">
        <v>139</v>
      </c>
      <c r="L648" s="15" t="s">
        <v>53</v>
      </c>
    </row>
    <row r="649">
      <c r="A649" s="146">
        <v>95.0</v>
      </c>
      <c r="B649" s="147" t="s">
        <v>7</v>
      </c>
      <c r="C649" s="147" t="s">
        <v>1626</v>
      </c>
      <c r="D649" s="147" t="s">
        <v>164</v>
      </c>
      <c r="E649" s="147" t="s">
        <v>135</v>
      </c>
      <c r="F649" s="147" t="s">
        <v>136</v>
      </c>
      <c r="G649" s="147" t="s">
        <v>1627</v>
      </c>
      <c r="H649" s="148"/>
      <c r="I649" s="147" t="s">
        <v>136</v>
      </c>
      <c r="J649" s="147" t="s">
        <v>1628</v>
      </c>
      <c r="K649" s="147" t="s">
        <v>139</v>
      </c>
      <c r="L649" s="15" t="s">
        <v>53</v>
      </c>
    </row>
    <row r="650">
      <c r="A650" s="146">
        <v>54.0</v>
      </c>
      <c r="B650" s="147" t="s">
        <v>7</v>
      </c>
      <c r="C650" s="147" t="s">
        <v>1489</v>
      </c>
      <c r="D650" s="147" t="s">
        <v>263</v>
      </c>
      <c r="E650" s="147" t="s">
        <v>136</v>
      </c>
      <c r="F650" s="147" t="s">
        <v>136</v>
      </c>
      <c r="G650" s="147" t="s">
        <v>1629</v>
      </c>
      <c r="H650" s="148"/>
      <c r="I650" s="147" t="s">
        <v>136</v>
      </c>
      <c r="J650" s="147" t="s">
        <v>1630</v>
      </c>
      <c r="K650" s="147" t="s">
        <v>139</v>
      </c>
      <c r="L650" s="15" t="s">
        <v>53</v>
      </c>
    </row>
    <row r="651">
      <c r="A651" s="146">
        <v>98.0</v>
      </c>
      <c r="B651" s="147" t="s">
        <v>6</v>
      </c>
      <c r="C651" s="147" t="s">
        <v>1631</v>
      </c>
      <c r="D651" s="147" t="s">
        <v>369</v>
      </c>
      <c r="E651" s="147" t="s">
        <v>136</v>
      </c>
      <c r="F651" s="147" t="s">
        <v>136</v>
      </c>
      <c r="G651" s="147" t="s">
        <v>1632</v>
      </c>
      <c r="H651" s="148"/>
      <c r="I651" s="147" t="s">
        <v>136</v>
      </c>
      <c r="J651" s="147" t="s">
        <v>1633</v>
      </c>
      <c r="K651" s="147" t="s">
        <v>139</v>
      </c>
      <c r="L651" s="15" t="s">
        <v>53</v>
      </c>
    </row>
    <row r="652">
      <c r="A652" s="146">
        <v>21.0</v>
      </c>
      <c r="B652" s="147" t="s">
        <v>6</v>
      </c>
      <c r="C652" s="147" t="s">
        <v>1411</v>
      </c>
      <c r="D652" s="147" t="s">
        <v>202</v>
      </c>
      <c r="E652" s="147" t="s">
        <v>136</v>
      </c>
      <c r="F652" s="147" t="s">
        <v>136</v>
      </c>
      <c r="G652" s="147" t="s">
        <v>1634</v>
      </c>
      <c r="H652" s="148"/>
      <c r="I652" s="147" t="s">
        <v>136</v>
      </c>
      <c r="J652" s="147" t="s">
        <v>1635</v>
      </c>
      <c r="K652" s="147" t="s">
        <v>139</v>
      </c>
      <c r="L652" s="15" t="s">
        <v>53</v>
      </c>
    </row>
    <row r="653">
      <c r="A653" s="146">
        <v>38.0</v>
      </c>
      <c r="B653" s="147" t="s">
        <v>6</v>
      </c>
      <c r="C653" s="147" t="s">
        <v>719</v>
      </c>
      <c r="D653" s="147" t="s">
        <v>143</v>
      </c>
      <c r="E653" s="147" t="s">
        <v>135</v>
      </c>
      <c r="F653" s="147" t="s">
        <v>136</v>
      </c>
      <c r="G653" s="147" t="s">
        <v>1636</v>
      </c>
      <c r="H653" s="148"/>
      <c r="I653" s="147" t="s">
        <v>136</v>
      </c>
      <c r="J653" s="147" t="s">
        <v>1637</v>
      </c>
      <c r="K653" s="147" t="s">
        <v>139</v>
      </c>
      <c r="L653" s="15" t="s">
        <v>53</v>
      </c>
    </row>
    <row r="654">
      <c r="A654" s="146">
        <v>84.0</v>
      </c>
      <c r="B654" s="147" t="s">
        <v>7</v>
      </c>
      <c r="C654" s="147" t="s">
        <v>1638</v>
      </c>
      <c r="D654" s="147" t="s">
        <v>164</v>
      </c>
      <c r="E654" s="147" t="s">
        <v>136</v>
      </c>
      <c r="F654" s="147" t="s">
        <v>136</v>
      </c>
      <c r="G654" s="147" t="s">
        <v>1639</v>
      </c>
      <c r="H654" s="148"/>
      <c r="I654" s="147" t="s">
        <v>136</v>
      </c>
      <c r="J654" s="150">
        <v>45533.58888888889</v>
      </c>
      <c r="K654" s="147" t="s">
        <v>139</v>
      </c>
      <c r="L654" s="15" t="s">
        <v>53</v>
      </c>
    </row>
    <row r="655">
      <c r="A655" s="146">
        <v>18.0</v>
      </c>
      <c r="B655" s="147" t="s">
        <v>7</v>
      </c>
      <c r="C655" s="147" t="s">
        <v>1640</v>
      </c>
      <c r="D655" s="147" t="s">
        <v>134</v>
      </c>
      <c r="E655" s="147" t="s">
        <v>135</v>
      </c>
      <c r="F655" s="147" t="s">
        <v>136</v>
      </c>
      <c r="G655" s="147" t="s">
        <v>1641</v>
      </c>
      <c r="H655" s="148"/>
      <c r="I655" s="147" t="s">
        <v>136</v>
      </c>
      <c r="J655" s="147" t="s">
        <v>1642</v>
      </c>
      <c r="K655" s="147" t="s">
        <v>139</v>
      </c>
      <c r="L655" s="15" t="s">
        <v>53</v>
      </c>
    </row>
    <row r="656">
      <c r="A656" s="146">
        <v>4.0</v>
      </c>
      <c r="B656" s="147" t="s">
        <v>7</v>
      </c>
      <c r="C656" s="147" t="s">
        <v>338</v>
      </c>
      <c r="D656" s="147" t="s">
        <v>143</v>
      </c>
      <c r="E656" s="147" t="s">
        <v>136</v>
      </c>
      <c r="F656" s="147" t="s">
        <v>136</v>
      </c>
      <c r="G656" s="147" t="s">
        <v>1643</v>
      </c>
      <c r="H656" s="148"/>
      <c r="I656" s="147" t="s">
        <v>136</v>
      </c>
      <c r="J656" s="147" t="s">
        <v>1431</v>
      </c>
      <c r="K656" s="147" t="s">
        <v>139</v>
      </c>
      <c r="L656" s="15" t="s">
        <v>53</v>
      </c>
    </row>
    <row r="657">
      <c r="A657" s="146">
        <v>78.0</v>
      </c>
      <c r="B657" s="147" t="s">
        <v>6</v>
      </c>
      <c r="C657" s="147" t="s">
        <v>1644</v>
      </c>
      <c r="D657" s="147" t="s">
        <v>143</v>
      </c>
      <c r="E657" s="147" t="s">
        <v>135</v>
      </c>
      <c r="F657" s="147" t="s">
        <v>136</v>
      </c>
      <c r="G657" s="147" t="s">
        <v>1645</v>
      </c>
      <c r="H657" s="148"/>
      <c r="I657" s="147" t="s">
        <v>135</v>
      </c>
      <c r="J657" s="150">
        <v>45531.88125</v>
      </c>
      <c r="K657" s="147" t="s">
        <v>139</v>
      </c>
      <c r="L657" s="15" t="s">
        <v>53</v>
      </c>
    </row>
    <row r="658">
      <c r="A658" s="146">
        <v>40.0</v>
      </c>
      <c r="B658" s="147" t="s">
        <v>6</v>
      </c>
      <c r="C658" s="147" t="s">
        <v>235</v>
      </c>
      <c r="D658" s="147" t="s">
        <v>164</v>
      </c>
      <c r="E658" s="147" t="s">
        <v>135</v>
      </c>
      <c r="F658" s="147" t="s">
        <v>136</v>
      </c>
      <c r="G658" s="147" t="s">
        <v>1646</v>
      </c>
      <c r="H658" s="148"/>
      <c r="I658" s="147" t="s">
        <v>136</v>
      </c>
      <c r="J658" s="147" t="s">
        <v>1647</v>
      </c>
      <c r="K658" s="147" t="s">
        <v>139</v>
      </c>
      <c r="L658" s="15" t="s">
        <v>53</v>
      </c>
    </row>
    <row r="659">
      <c r="A659" s="146">
        <v>59.0</v>
      </c>
      <c r="B659" s="147" t="s">
        <v>6</v>
      </c>
      <c r="C659" s="147" t="s">
        <v>315</v>
      </c>
      <c r="D659" s="147" t="s">
        <v>164</v>
      </c>
      <c r="E659" s="147" t="s">
        <v>136</v>
      </c>
      <c r="F659" s="147" t="s">
        <v>136</v>
      </c>
      <c r="G659" s="147" t="s">
        <v>1648</v>
      </c>
      <c r="H659" s="148"/>
      <c r="I659" s="147" t="s">
        <v>135</v>
      </c>
      <c r="J659" s="150">
        <v>45524.44861111111</v>
      </c>
      <c r="K659" s="147" t="s">
        <v>139</v>
      </c>
      <c r="L659" s="15" t="s">
        <v>53</v>
      </c>
    </row>
    <row r="660">
      <c r="A660" s="146">
        <v>96.0</v>
      </c>
      <c r="B660" s="147" t="s">
        <v>6</v>
      </c>
      <c r="C660" s="147" t="s">
        <v>1649</v>
      </c>
      <c r="D660" s="147" t="s">
        <v>134</v>
      </c>
      <c r="E660" s="147" t="s">
        <v>135</v>
      </c>
      <c r="F660" s="147" t="s">
        <v>136</v>
      </c>
      <c r="G660" s="147" t="s">
        <v>1650</v>
      </c>
      <c r="H660" s="148"/>
      <c r="I660" s="147" t="s">
        <v>136</v>
      </c>
      <c r="J660" s="147" t="s">
        <v>1651</v>
      </c>
      <c r="K660" s="147" t="s">
        <v>139</v>
      </c>
      <c r="L660" s="15" t="s">
        <v>53</v>
      </c>
    </row>
    <row r="661">
      <c r="A661" s="146">
        <v>33.0</v>
      </c>
      <c r="B661" s="147" t="s">
        <v>6</v>
      </c>
      <c r="C661" s="147" t="s">
        <v>1051</v>
      </c>
      <c r="D661" s="147" t="s">
        <v>214</v>
      </c>
      <c r="E661" s="147" t="s">
        <v>135</v>
      </c>
      <c r="F661" s="147" t="s">
        <v>136</v>
      </c>
      <c r="G661" s="147" t="s">
        <v>1652</v>
      </c>
      <c r="H661" s="148"/>
      <c r="I661" s="147" t="s">
        <v>136</v>
      </c>
      <c r="J661" s="147" t="s">
        <v>1653</v>
      </c>
      <c r="K661" s="147" t="s">
        <v>139</v>
      </c>
      <c r="L661" s="15" t="s">
        <v>53</v>
      </c>
    </row>
    <row r="662">
      <c r="A662" s="146">
        <v>91.0</v>
      </c>
      <c r="B662" s="147" t="s">
        <v>7</v>
      </c>
      <c r="C662" s="147" t="s">
        <v>1654</v>
      </c>
      <c r="D662" s="147" t="s">
        <v>263</v>
      </c>
      <c r="E662" s="147" t="s">
        <v>136</v>
      </c>
      <c r="F662" s="147" t="s">
        <v>136</v>
      </c>
      <c r="G662" s="147" t="s">
        <v>1655</v>
      </c>
      <c r="H662" s="148"/>
      <c r="I662" s="147" t="s">
        <v>136</v>
      </c>
      <c r="J662" s="150">
        <v>45535.78680555556</v>
      </c>
      <c r="K662" s="147" t="s">
        <v>139</v>
      </c>
      <c r="L662" s="15" t="s">
        <v>53</v>
      </c>
    </row>
    <row r="663">
      <c r="A663" s="146">
        <v>9.0</v>
      </c>
      <c r="B663" s="147" t="s">
        <v>7</v>
      </c>
      <c r="C663" s="147" t="s">
        <v>1656</v>
      </c>
      <c r="D663" s="147" t="s">
        <v>153</v>
      </c>
      <c r="E663" s="147" t="s">
        <v>135</v>
      </c>
      <c r="F663" s="147" t="s">
        <v>136</v>
      </c>
      <c r="G663" s="147" t="s">
        <v>1657</v>
      </c>
      <c r="H663" s="148"/>
      <c r="I663" s="147" t="s">
        <v>136</v>
      </c>
      <c r="J663" s="147" t="s">
        <v>1658</v>
      </c>
      <c r="K663" s="147" t="s">
        <v>139</v>
      </c>
      <c r="L663" s="15" t="s">
        <v>53</v>
      </c>
    </row>
    <row r="664">
      <c r="A664" s="146">
        <v>17.0</v>
      </c>
      <c r="B664" s="147" t="s">
        <v>6</v>
      </c>
      <c r="C664" s="147" t="s">
        <v>315</v>
      </c>
      <c r="D664" s="147" t="s">
        <v>164</v>
      </c>
      <c r="E664" s="147" t="s">
        <v>135</v>
      </c>
      <c r="F664" s="147" t="s">
        <v>136</v>
      </c>
      <c r="G664" s="149" t="s">
        <v>1659</v>
      </c>
      <c r="H664" s="148"/>
      <c r="I664" s="147" t="s">
        <v>135</v>
      </c>
      <c r="J664" s="147" t="s">
        <v>1660</v>
      </c>
      <c r="K664" s="147" t="s">
        <v>139</v>
      </c>
      <c r="L664" s="15" t="s">
        <v>53</v>
      </c>
    </row>
    <row r="665">
      <c r="A665" s="146">
        <v>41.0</v>
      </c>
      <c r="B665" s="147" t="s">
        <v>7</v>
      </c>
      <c r="C665" s="147" t="s">
        <v>1661</v>
      </c>
      <c r="D665" s="147" t="s">
        <v>143</v>
      </c>
      <c r="E665" s="147" t="s">
        <v>136</v>
      </c>
      <c r="F665" s="147" t="s">
        <v>136</v>
      </c>
      <c r="G665" s="147" t="s">
        <v>1662</v>
      </c>
      <c r="H665" s="148"/>
      <c r="I665" s="147" t="s">
        <v>136</v>
      </c>
      <c r="J665" s="147" t="s">
        <v>1663</v>
      </c>
      <c r="K665" s="147" t="s">
        <v>139</v>
      </c>
      <c r="L665" s="15" t="s">
        <v>53</v>
      </c>
    </row>
    <row r="666">
      <c r="A666" s="146">
        <v>31.0</v>
      </c>
      <c r="B666" s="147" t="s">
        <v>7</v>
      </c>
      <c r="C666" s="147" t="s">
        <v>1664</v>
      </c>
      <c r="D666" s="147" t="s">
        <v>164</v>
      </c>
      <c r="E666" s="147" t="s">
        <v>135</v>
      </c>
      <c r="F666" s="147" t="s">
        <v>136</v>
      </c>
      <c r="G666" s="147" t="s">
        <v>1665</v>
      </c>
      <c r="H666" s="148"/>
      <c r="I666" s="147" t="s">
        <v>136</v>
      </c>
      <c r="J666" s="147" t="s">
        <v>1666</v>
      </c>
      <c r="K666" s="147" t="s">
        <v>139</v>
      </c>
      <c r="L666" s="15" t="s">
        <v>53</v>
      </c>
    </row>
    <row r="667">
      <c r="A667" s="146">
        <v>25.0</v>
      </c>
      <c r="B667" s="147" t="s">
        <v>6</v>
      </c>
      <c r="C667" s="147" t="s">
        <v>973</v>
      </c>
      <c r="D667" s="147" t="s">
        <v>164</v>
      </c>
      <c r="E667" s="147" t="s">
        <v>135</v>
      </c>
      <c r="F667" s="147" t="s">
        <v>136</v>
      </c>
      <c r="G667" s="147" t="s">
        <v>1667</v>
      </c>
      <c r="H667" s="148"/>
      <c r="I667" s="147" t="s">
        <v>136</v>
      </c>
      <c r="J667" s="147" t="s">
        <v>1668</v>
      </c>
      <c r="K667" s="147" t="s">
        <v>139</v>
      </c>
      <c r="L667" s="15" t="s">
        <v>53</v>
      </c>
    </row>
    <row r="668">
      <c r="A668" s="146">
        <v>79.0</v>
      </c>
      <c r="B668" s="147" t="s">
        <v>7</v>
      </c>
      <c r="C668" s="147" t="s">
        <v>1669</v>
      </c>
      <c r="D668" s="151" t="s">
        <v>203</v>
      </c>
      <c r="E668" s="147" t="s">
        <v>135</v>
      </c>
      <c r="F668" s="147" t="s">
        <v>136</v>
      </c>
      <c r="G668" s="147" t="s">
        <v>1609</v>
      </c>
      <c r="H668" s="148"/>
      <c r="I668" s="147" t="s">
        <v>136</v>
      </c>
      <c r="J668" s="150">
        <v>45532.169444444444</v>
      </c>
      <c r="K668" s="147" t="s">
        <v>139</v>
      </c>
      <c r="L668" s="15" t="s">
        <v>53</v>
      </c>
    </row>
    <row r="669">
      <c r="A669" s="146">
        <v>66.0</v>
      </c>
      <c r="B669" s="147" t="s">
        <v>6</v>
      </c>
      <c r="C669" s="147" t="s">
        <v>315</v>
      </c>
      <c r="D669" s="147" t="s">
        <v>164</v>
      </c>
      <c r="E669" s="147" t="s">
        <v>135</v>
      </c>
      <c r="F669" s="147" t="s">
        <v>136</v>
      </c>
      <c r="G669" s="147" t="s">
        <v>1670</v>
      </c>
      <c r="H669" s="148"/>
      <c r="I669" s="147" t="s">
        <v>136</v>
      </c>
      <c r="J669" s="150">
        <v>45529.509722222225</v>
      </c>
      <c r="K669" s="147" t="s">
        <v>139</v>
      </c>
      <c r="L669" s="15" t="s">
        <v>53</v>
      </c>
    </row>
    <row r="670">
      <c r="A670" s="146">
        <v>22.0</v>
      </c>
      <c r="B670" s="147" t="s">
        <v>6</v>
      </c>
      <c r="C670" s="147" t="s">
        <v>1671</v>
      </c>
      <c r="D670" s="147" t="s">
        <v>203</v>
      </c>
      <c r="E670" s="147" t="s">
        <v>136</v>
      </c>
      <c r="F670" s="147" t="s">
        <v>136</v>
      </c>
      <c r="G670" s="147" t="s">
        <v>1672</v>
      </c>
      <c r="H670" s="148"/>
      <c r="I670" s="147" t="s">
        <v>136</v>
      </c>
      <c r="J670" s="147" t="s">
        <v>1673</v>
      </c>
      <c r="K670" s="147" t="s">
        <v>139</v>
      </c>
      <c r="L670" s="15" t="s">
        <v>53</v>
      </c>
    </row>
    <row r="671">
      <c r="A671" s="146">
        <v>94.0</v>
      </c>
      <c r="B671" s="147" t="s">
        <v>6</v>
      </c>
      <c r="C671" s="147" t="s">
        <v>1674</v>
      </c>
      <c r="D671" s="147" t="s">
        <v>134</v>
      </c>
      <c r="E671" s="147" t="s">
        <v>135</v>
      </c>
      <c r="F671" s="147" t="s">
        <v>136</v>
      </c>
      <c r="G671" s="147" t="s">
        <v>1675</v>
      </c>
      <c r="H671" s="148"/>
      <c r="I671" s="147" t="s">
        <v>136</v>
      </c>
      <c r="J671" s="147" t="s">
        <v>1676</v>
      </c>
      <c r="K671" s="147" t="s">
        <v>139</v>
      </c>
      <c r="L671" s="15" t="s">
        <v>53</v>
      </c>
    </row>
    <row r="672">
      <c r="A672" s="146">
        <v>29.0</v>
      </c>
      <c r="B672" s="147" t="s">
        <v>7</v>
      </c>
      <c r="C672" s="147" t="s">
        <v>633</v>
      </c>
      <c r="D672" s="147" t="s">
        <v>164</v>
      </c>
      <c r="E672" s="147" t="s">
        <v>135</v>
      </c>
      <c r="F672" s="147" t="s">
        <v>136</v>
      </c>
      <c r="G672" s="147" t="s">
        <v>1677</v>
      </c>
      <c r="H672" s="148"/>
      <c r="I672" s="147" t="s">
        <v>135</v>
      </c>
      <c r="J672" s="147" t="s">
        <v>1678</v>
      </c>
      <c r="K672" s="147" t="s">
        <v>139</v>
      </c>
      <c r="L672" s="15" t="s">
        <v>53</v>
      </c>
    </row>
    <row r="673">
      <c r="A673" s="146">
        <v>2.0</v>
      </c>
      <c r="B673" s="147" t="s">
        <v>6</v>
      </c>
      <c r="C673" s="147" t="s">
        <v>315</v>
      </c>
      <c r="D673" s="147" t="s">
        <v>164</v>
      </c>
      <c r="E673" s="147" t="s">
        <v>136</v>
      </c>
      <c r="F673" s="147" t="s">
        <v>136</v>
      </c>
      <c r="G673" s="147" t="s">
        <v>1679</v>
      </c>
      <c r="H673" s="148"/>
      <c r="I673" s="147" t="s">
        <v>135</v>
      </c>
      <c r="J673" s="147" t="s">
        <v>1680</v>
      </c>
      <c r="K673" s="147" t="s">
        <v>139</v>
      </c>
      <c r="L673" s="15" t="s">
        <v>53</v>
      </c>
    </row>
    <row r="674">
      <c r="A674" s="146">
        <v>8.0</v>
      </c>
      <c r="B674" s="147" t="s">
        <v>7</v>
      </c>
      <c r="C674" s="147" t="s">
        <v>379</v>
      </c>
      <c r="D674" s="147" t="s">
        <v>202</v>
      </c>
      <c r="E674" s="147" t="s">
        <v>136</v>
      </c>
      <c r="F674" s="147" t="s">
        <v>136</v>
      </c>
      <c r="G674" s="147" t="s">
        <v>1681</v>
      </c>
      <c r="H674" s="148"/>
      <c r="I674" s="147" t="s">
        <v>136</v>
      </c>
      <c r="J674" s="147" t="s">
        <v>1682</v>
      </c>
      <c r="K674" s="147" t="s">
        <v>139</v>
      </c>
      <c r="L674" s="15" t="s">
        <v>53</v>
      </c>
    </row>
    <row r="675">
      <c r="A675" s="146">
        <v>52.0</v>
      </c>
      <c r="B675" s="147" t="s">
        <v>7</v>
      </c>
      <c r="C675" s="147" t="s">
        <v>1683</v>
      </c>
      <c r="D675" s="147" t="s">
        <v>134</v>
      </c>
      <c r="E675" s="147" t="s">
        <v>136</v>
      </c>
      <c r="F675" s="147" t="s">
        <v>135</v>
      </c>
      <c r="G675" s="147" t="s">
        <v>1684</v>
      </c>
      <c r="H675" s="148"/>
      <c r="I675" s="147" t="s">
        <v>136</v>
      </c>
      <c r="J675" s="147" t="s">
        <v>1685</v>
      </c>
      <c r="K675" s="147" t="s">
        <v>139</v>
      </c>
      <c r="L675" s="15" t="s">
        <v>53</v>
      </c>
    </row>
    <row r="676">
      <c r="A676" s="146">
        <v>38.0</v>
      </c>
      <c r="B676" s="147" t="s">
        <v>7</v>
      </c>
      <c r="C676" s="147" t="s">
        <v>913</v>
      </c>
      <c r="D676" s="147" t="s">
        <v>153</v>
      </c>
      <c r="E676" s="147" t="s">
        <v>136</v>
      </c>
      <c r="F676" s="147" t="s">
        <v>136</v>
      </c>
      <c r="G676" s="152" t="s">
        <v>650</v>
      </c>
      <c r="H676" s="148"/>
      <c r="I676" s="147"/>
      <c r="J676" s="147" t="s">
        <v>1686</v>
      </c>
      <c r="K676" s="147" t="s">
        <v>139</v>
      </c>
      <c r="L676" s="7" t="s">
        <v>78</v>
      </c>
    </row>
    <row r="677">
      <c r="A677" s="146">
        <v>20.0</v>
      </c>
      <c r="B677" s="147" t="s">
        <v>7</v>
      </c>
      <c r="C677" s="147" t="s">
        <v>1687</v>
      </c>
      <c r="D677" s="147" t="s">
        <v>202</v>
      </c>
      <c r="E677" s="147" t="s">
        <v>135</v>
      </c>
      <c r="F677" s="147" t="s">
        <v>136</v>
      </c>
      <c r="G677" s="147" t="s">
        <v>137</v>
      </c>
      <c r="H677" s="148"/>
      <c r="I677" s="147"/>
      <c r="J677" s="147" t="s">
        <v>1688</v>
      </c>
      <c r="K677" s="147" t="s">
        <v>139</v>
      </c>
      <c r="L677" s="7" t="s">
        <v>78</v>
      </c>
    </row>
    <row r="678">
      <c r="A678" s="146">
        <v>4.0</v>
      </c>
      <c r="B678" s="147" t="s">
        <v>6</v>
      </c>
      <c r="C678" s="147" t="s">
        <v>1689</v>
      </c>
      <c r="D678" s="147" t="s">
        <v>176</v>
      </c>
      <c r="E678" s="147" t="s">
        <v>136</v>
      </c>
      <c r="F678" s="147" t="s">
        <v>136</v>
      </c>
      <c r="G678" s="147" t="s">
        <v>137</v>
      </c>
      <c r="H678" s="148"/>
      <c r="I678" s="147"/>
      <c r="J678" s="147" t="s">
        <v>1690</v>
      </c>
      <c r="K678" s="147" t="s">
        <v>139</v>
      </c>
      <c r="L678" s="7" t="s">
        <v>78</v>
      </c>
    </row>
    <row r="679">
      <c r="A679" s="146">
        <v>40.0</v>
      </c>
      <c r="B679" s="147" t="s">
        <v>7</v>
      </c>
      <c r="C679" s="147" t="s">
        <v>1691</v>
      </c>
      <c r="D679" s="147" t="s">
        <v>153</v>
      </c>
      <c r="E679" s="147" t="s">
        <v>136</v>
      </c>
      <c r="F679" s="147" t="s">
        <v>136</v>
      </c>
      <c r="G679" s="147" t="s">
        <v>137</v>
      </c>
      <c r="H679" s="148"/>
      <c r="I679" s="147"/>
      <c r="J679" s="147" t="s">
        <v>1692</v>
      </c>
      <c r="K679" s="147" t="s">
        <v>139</v>
      </c>
      <c r="L679" s="7" t="s">
        <v>78</v>
      </c>
    </row>
    <row r="680">
      <c r="A680" s="146">
        <v>12.0</v>
      </c>
      <c r="B680" s="147" t="s">
        <v>7</v>
      </c>
      <c r="C680" s="147" t="s">
        <v>1510</v>
      </c>
      <c r="D680" s="147" t="s">
        <v>177</v>
      </c>
      <c r="E680" s="147" t="s">
        <v>135</v>
      </c>
      <c r="F680" s="147" t="s">
        <v>136</v>
      </c>
      <c r="G680" s="147" t="s">
        <v>349</v>
      </c>
      <c r="H680" s="148"/>
      <c r="I680" s="147"/>
      <c r="J680" s="147" t="s">
        <v>1693</v>
      </c>
      <c r="K680" s="147" t="s">
        <v>139</v>
      </c>
      <c r="L680" s="7" t="s">
        <v>78</v>
      </c>
    </row>
    <row r="681">
      <c r="A681" s="146">
        <v>2.0</v>
      </c>
      <c r="B681" s="147" t="s">
        <v>7</v>
      </c>
      <c r="C681" s="147" t="s">
        <v>1694</v>
      </c>
      <c r="D681" s="147" t="s">
        <v>187</v>
      </c>
      <c r="E681" s="147" t="s">
        <v>136</v>
      </c>
      <c r="F681" s="147" t="s">
        <v>136</v>
      </c>
      <c r="G681" s="147" t="s">
        <v>221</v>
      </c>
      <c r="H681" s="148"/>
      <c r="I681" s="147"/>
      <c r="J681" s="147" t="s">
        <v>1695</v>
      </c>
      <c r="K681" s="147" t="s">
        <v>139</v>
      </c>
      <c r="L681" s="7" t="s">
        <v>78</v>
      </c>
    </row>
    <row r="682">
      <c r="A682" s="146">
        <v>37.0</v>
      </c>
      <c r="B682" s="147" t="s">
        <v>7</v>
      </c>
      <c r="C682" s="147" t="s">
        <v>1696</v>
      </c>
      <c r="D682" s="147" t="s">
        <v>164</v>
      </c>
      <c r="E682" s="147" t="s">
        <v>136</v>
      </c>
      <c r="F682" s="147" t="s">
        <v>136</v>
      </c>
      <c r="G682" s="147" t="s">
        <v>137</v>
      </c>
      <c r="H682" s="148"/>
      <c r="I682" s="147"/>
      <c r="J682" s="147" t="s">
        <v>1697</v>
      </c>
      <c r="K682" s="147" t="s">
        <v>139</v>
      </c>
      <c r="L682" s="7" t="s">
        <v>78</v>
      </c>
    </row>
    <row r="683">
      <c r="A683" s="146">
        <v>14.0</v>
      </c>
      <c r="B683" s="147" t="s">
        <v>6</v>
      </c>
      <c r="C683" s="147" t="s">
        <v>1698</v>
      </c>
      <c r="D683" s="147" t="s">
        <v>202</v>
      </c>
      <c r="E683" s="147" t="s">
        <v>136</v>
      </c>
      <c r="F683" s="147" t="s">
        <v>136</v>
      </c>
      <c r="G683" s="147" t="s">
        <v>221</v>
      </c>
      <c r="H683" s="148"/>
      <c r="I683" s="147"/>
      <c r="J683" s="147" t="s">
        <v>1699</v>
      </c>
      <c r="K683" s="147" t="s">
        <v>139</v>
      </c>
      <c r="L683" s="7" t="s">
        <v>78</v>
      </c>
    </row>
    <row r="684">
      <c r="A684" s="146">
        <v>35.0</v>
      </c>
      <c r="B684" s="147" t="s">
        <v>7</v>
      </c>
      <c r="C684" s="147" t="s">
        <v>179</v>
      </c>
      <c r="D684" s="147" t="s">
        <v>153</v>
      </c>
      <c r="E684" s="147" t="s">
        <v>136</v>
      </c>
      <c r="F684" s="147" t="s">
        <v>136</v>
      </c>
      <c r="G684" s="147" t="s">
        <v>137</v>
      </c>
      <c r="H684" s="148"/>
      <c r="I684" s="147"/>
      <c r="J684" s="147" t="s">
        <v>1700</v>
      </c>
      <c r="K684" s="147" t="s">
        <v>139</v>
      </c>
      <c r="L684" s="7" t="s">
        <v>78</v>
      </c>
    </row>
    <row r="685">
      <c r="A685" s="146">
        <v>9.0</v>
      </c>
      <c r="B685" s="147" t="s">
        <v>7</v>
      </c>
      <c r="C685" s="147" t="s">
        <v>1701</v>
      </c>
      <c r="D685" s="147" t="s">
        <v>398</v>
      </c>
      <c r="E685" s="147" t="s">
        <v>136</v>
      </c>
      <c r="F685" s="147" t="s">
        <v>136</v>
      </c>
      <c r="G685" s="147" t="s">
        <v>137</v>
      </c>
      <c r="H685" s="148"/>
      <c r="I685" s="147"/>
      <c r="J685" s="147" t="s">
        <v>1702</v>
      </c>
      <c r="K685" s="147" t="s">
        <v>139</v>
      </c>
      <c r="L685" s="7" t="s">
        <v>78</v>
      </c>
    </row>
    <row r="686">
      <c r="A686" s="146">
        <v>25.0</v>
      </c>
      <c r="B686" s="147" t="s">
        <v>6</v>
      </c>
      <c r="C686" s="147" t="s">
        <v>1703</v>
      </c>
      <c r="D686" s="147" t="s">
        <v>268</v>
      </c>
      <c r="E686" s="147" t="s">
        <v>136</v>
      </c>
      <c r="F686" s="147" t="s">
        <v>136</v>
      </c>
      <c r="G686" s="147" t="s">
        <v>137</v>
      </c>
      <c r="H686" s="148"/>
      <c r="I686" s="147"/>
      <c r="J686" s="147" t="s">
        <v>1704</v>
      </c>
      <c r="K686" s="147" t="s">
        <v>139</v>
      </c>
      <c r="L686" s="7" t="s">
        <v>78</v>
      </c>
    </row>
    <row r="687">
      <c r="A687" s="146">
        <v>45.0</v>
      </c>
      <c r="B687" s="147" t="s">
        <v>6</v>
      </c>
      <c r="C687" s="147" t="s">
        <v>1565</v>
      </c>
      <c r="D687" s="147" t="s">
        <v>296</v>
      </c>
      <c r="E687" s="147" t="s">
        <v>136</v>
      </c>
      <c r="F687" s="147" t="s">
        <v>136</v>
      </c>
      <c r="G687" s="147" t="s">
        <v>479</v>
      </c>
      <c r="H687" s="148"/>
      <c r="I687" s="147"/>
      <c r="J687" s="147" t="s">
        <v>1705</v>
      </c>
      <c r="K687" s="147" t="s">
        <v>139</v>
      </c>
      <c r="L687" s="7" t="s">
        <v>78</v>
      </c>
    </row>
    <row r="688">
      <c r="A688" s="146">
        <v>41.0</v>
      </c>
      <c r="B688" s="147" t="s">
        <v>7</v>
      </c>
      <c r="C688" s="147" t="s">
        <v>1706</v>
      </c>
      <c r="D688" s="147" t="s">
        <v>153</v>
      </c>
      <c r="E688" s="147" t="s">
        <v>135</v>
      </c>
      <c r="F688" s="147" t="s">
        <v>136</v>
      </c>
      <c r="G688" s="147" t="s">
        <v>137</v>
      </c>
      <c r="H688" s="147" t="s">
        <v>1707</v>
      </c>
      <c r="I688" s="147"/>
      <c r="J688" s="147" t="s">
        <v>1708</v>
      </c>
      <c r="K688" s="147" t="s">
        <v>139</v>
      </c>
      <c r="L688" s="7" t="s">
        <v>78</v>
      </c>
    </row>
    <row r="689">
      <c r="A689" s="146">
        <v>26.0</v>
      </c>
      <c r="B689" s="147" t="s">
        <v>6</v>
      </c>
      <c r="C689" s="147" t="s">
        <v>1709</v>
      </c>
      <c r="D689" s="147" t="s">
        <v>223</v>
      </c>
      <c r="E689" s="147" t="s">
        <v>136</v>
      </c>
      <c r="F689" s="147" t="s">
        <v>136</v>
      </c>
      <c r="G689" s="147" t="s">
        <v>137</v>
      </c>
      <c r="H689" s="148"/>
      <c r="I689" s="147"/>
      <c r="J689" s="147" t="s">
        <v>1710</v>
      </c>
      <c r="K689" s="147" t="s">
        <v>139</v>
      </c>
      <c r="L689" s="7" t="s">
        <v>78</v>
      </c>
    </row>
    <row r="690">
      <c r="A690" s="146">
        <v>33.0</v>
      </c>
      <c r="B690" s="147" t="s">
        <v>6</v>
      </c>
      <c r="C690" s="147" t="s">
        <v>1398</v>
      </c>
      <c r="D690" s="147" t="s">
        <v>213</v>
      </c>
      <c r="E690" s="147" t="s">
        <v>136</v>
      </c>
      <c r="F690" s="147" t="s">
        <v>136</v>
      </c>
      <c r="G690" s="147" t="s">
        <v>335</v>
      </c>
      <c r="H690" s="148"/>
      <c r="I690" s="147"/>
      <c r="J690" s="147" t="s">
        <v>1711</v>
      </c>
      <c r="K690" s="147" t="s">
        <v>139</v>
      </c>
      <c r="L690" s="7" t="s">
        <v>78</v>
      </c>
    </row>
    <row r="691">
      <c r="A691" s="146">
        <v>8.0</v>
      </c>
      <c r="B691" s="147" t="s">
        <v>6</v>
      </c>
      <c r="C691" s="147" t="s">
        <v>1712</v>
      </c>
      <c r="D691" s="147" t="s">
        <v>302</v>
      </c>
      <c r="E691" s="147" t="s">
        <v>136</v>
      </c>
      <c r="F691" s="147" t="s">
        <v>136</v>
      </c>
      <c r="G691" s="152" t="s">
        <v>157</v>
      </c>
      <c r="H691" s="148"/>
      <c r="I691" s="147"/>
      <c r="J691" s="147" t="s">
        <v>1713</v>
      </c>
      <c r="K691" s="147" t="s">
        <v>139</v>
      </c>
      <c r="L691" s="7" t="s">
        <v>78</v>
      </c>
    </row>
    <row r="692">
      <c r="A692" s="146">
        <v>39.0</v>
      </c>
      <c r="B692" s="147" t="s">
        <v>6</v>
      </c>
      <c r="C692" s="147" t="s">
        <v>211</v>
      </c>
      <c r="D692" s="147" t="s">
        <v>176</v>
      </c>
      <c r="E692" s="147" t="s">
        <v>136</v>
      </c>
      <c r="F692" s="147" t="s">
        <v>136</v>
      </c>
      <c r="G692" s="147" t="s">
        <v>137</v>
      </c>
      <c r="H692" s="148"/>
      <c r="I692" s="147"/>
      <c r="J692" s="147" t="s">
        <v>1714</v>
      </c>
      <c r="K692" s="147" t="s">
        <v>139</v>
      </c>
      <c r="L692" s="7" t="s">
        <v>78</v>
      </c>
    </row>
    <row r="693">
      <c r="A693" s="146">
        <v>19.0</v>
      </c>
      <c r="B693" s="147" t="s">
        <v>6</v>
      </c>
      <c r="C693" s="147" t="s">
        <v>1715</v>
      </c>
      <c r="D693" s="147" t="s">
        <v>164</v>
      </c>
      <c r="E693" s="147" t="s">
        <v>136</v>
      </c>
      <c r="F693" s="147" t="s">
        <v>136</v>
      </c>
      <c r="G693" s="149" t="s">
        <v>1716</v>
      </c>
      <c r="H693" s="148"/>
      <c r="I693" s="147"/>
      <c r="J693" s="147" t="s">
        <v>1717</v>
      </c>
      <c r="K693" s="147" t="s">
        <v>139</v>
      </c>
      <c r="L693" s="7" t="s">
        <v>78</v>
      </c>
    </row>
    <row r="694">
      <c r="A694" s="146">
        <v>15.0</v>
      </c>
      <c r="B694" s="147" t="s">
        <v>6</v>
      </c>
      <c r="C694" s="147" t="s">
        <v>1718</v>
      </c>
      <c r="D694" s="147" t="s">
        <v>209</v>
      </c>
      <c r="E694" s="147" t="s">
        <v>135</v>
      </c>
      <c r="F694" s="147" t="s">
        <v>136</v>
      </c>
      <c r="G694" s="147" t="s">
        <v>157</v>
      </c>
      <c r="H694" s="148"/>
      <c r="I694" s="147"/>
      <c r="J694" s="147" t="s">
        <v>1719</v>
      </c>
      <c r="K694" s="147" t="s">
        <v>139</v>
      </c>
      <c r="L694" s="7" t="s">
        <v>78</v>
      </c>
    </row>
    <row r="695">
      <c r="A695" s="146">
        <v>17.0</v>
      </c>
      <c r="B695" s="147" t="s">
        <v>6</v>
      </c>
      <c r="C695" s="147" t="s">
        <v>1720</v>
      </c>
      <c r="D695" s="147" t="s">
        <v>202</v>
      </c>
      <c r="E695" s="147" t="s">
        <v>136</v>
      </c>
      <c r="F695" s="147" t="s">
        <v>136</v>
      </c>
      <c r="G695" s="149" t="s">
        <v>1721</v>
      </c>
      <c r="H695" s="148"/>
      <c r="I695" s="147"/>
      <c r="J695" s="147" t="s">
        <v>1722</v>
      </c>
      <c r="K695" s="147" t="s">
        <v>139</v>
      </c>
      <c r="L695" s="7" t="s">
        <v>78</v>
      </c>
    </row>
    <row r="696">
      <c r="A696" s="146">
        <v>28.0</v>
      </c>
      <c r="B696" s="147" t="s">
        <v>6</v>
      </c>
      <c r="C696" s="147" t="s">
        <v>1709</v>
      </c>
      <c r="D696" s="147" t="s">
        <v>223</v>
      </c>
      <c r="E696" s="147" t="s">
        <v>136</v>
      </c>
      <c r="F696" s="147" t="s">
        <v>136</v>
      </c>
      <c r="G696" s="147" t="s">
        <v>969</v>
      </c>
      <c r="H696" s="147" t="s">
        <v>1723</v>
      </c>
      <c r="I696" s="147"/>
      <c r="J696" s="147" t="s">
        <v>1724</v>
      </c>
      <c r="K696" s="147" t="s">
        <v>139</v>
      </c>
      <c r="L696" s="7" t="s">
        <v>78</v>
      </c>
    </row>
    <row r="697">
      <c r="A697" s="146">
        <v>44.0</v>
      </c>
      <c r="B697" s="147" t="s">
        <v>7</v>
      </c>
      <c r="C697" s="147" t="s">
        <v>1725</v>
      </c>
      <c r="D697" s="147" t="s">
        <v>153</v>
      </c>
      <c r="E697" s="147" t="s">
        <v>135</v>
      </c>
      <c r="F697" s="147" t="s">
        <v>135</v>
      </c>
      <c r="G697" s="147" t="s">
        <v>157</v>
      </c>
      <c r="H697" s="148"/>
      <c r="I697" s="147"/>
      <c r="J697" s="147" t="s">
        <v>1726</v>
      </c>
      <c r="K697" s="147" t="s">
        <v>139</v>
      </c>
      <c r="L697" s="7" t="s">
        <v>78</v>
      </c>
    </row>
    <row r="698">
      <c r="A698" s="146">
        <v>23.0</v>
      </c>
      <c r="B698" s="147" t="s">
        <v>7</v>
      </c>
      <c r="C698" s="147" t="s">
        <v>338</v>
      </c>
      <c r="D698" s="147" t="s">
        <v>143</v>
      </c>
      <c r="E698" s="147" t="s">
        <v>136</v>
      </c>
      <c r="F698" s="147" t="s">
        <v>136</v>
      </c>
      <c r="G698" s="147" t="s">
        <v>150</v>
      </c>
      <c r="H698" s="148"/>
      <c r="I698" s="147"/>
      <c r="J698" s="147" t="s">
        <v>1727</v>
      </c>
      <c r="K698" s="147" t="s">
        <v>139</v>
      </c>
      <c r="L698" s="7" t="s">
        <v>78</v>
      </c>
    </row>
    <row r="699">
      <c r="A699" s="146">
        <v>31.0</v>
      </c>
      <c r="B699" s="147" t="s">
        <v>6</v>
      </c>
      <c r="C699" s="147" t="s">
        <v>1728</v>
      </c>
      <c r="D699" s="147" t="s">
        <v>228</v>
      </c>
      <c r="E699" s="147" t="s">
        <v>136</v>
      </c>
      <c r="F699" s="147" t="s">
        <v>136</v>
      </c>
      <c r="G699" s="147" t="s">
        <v>137</v>
      </c>
      <c r="H699" s="148"/>
      <c r="I699" s="147"/>
      <c r="J699" s="147" t="s">
        <v>1729</v>
      </c>
      <c r="K699" s="147" t="s">
        <v>139</v>
      </c>
      <c r="L699" s="7" t="s">
        <v>78</v>
      </c>
    </row>
    <row r="700">
      <c r="A700" s="146">
        <v>36.0</v>
      </c>
      <c r="B700" s="147" t="s">
        <v>7</v>
      </c>
      <c r="C700" s="147" t="s">
        <v>379</v>
      </c>
      <c r="D700" s="147" t="s">
        <v>202</v>
      </c>
      <c r="E700" s="147" t="s">
        <v>136</v>
      </c>
      <c r="F700" s="147" t="s">
        <v>136</v>
      </c>
      <c r="G700" s="147" t="s">
        <v>395</v>
      </c>
      <c r="H700" s="147" t="s">
        <v>1730</v>
      </c>
      <c r="I700" s="147"/>
      <c r="J700" s="147" t="s">
        <v>1731</v>
      </c>
      <c r="K700" s="147" t="s">
        <v>139</v>
      </c>
      <c r="L700" s="7" t="s">
        <v>78</v>
      </c>
    </row>
    <row r="701">
      <c r="A701" s="146">
        <v>10.0</v>
      </c>
      <c r="B701" s="147" t="s">
        <v>6</v>
      </c>
      <c r="C701" s="147" t="s">
        <v>1732</v>
      </c>
      <c r="D701" s="147" t="s">
        <v>302</v>
      </c>
      <c r="E701" s="147" t="s">
        <v>135</v>
      </c>
      <c r="F701" s="147" t="s">
        <v>136</v>
      </c>
      <c r="G701" s="147" t="s">
        <v>271</v>
      </c>
      <c r="H701" s="148"/>
      <c r="I701" s="147"/>
      <c r="J701" s="147" t="s">
        <v>1733</v>
      </c>
      <c r="K701" s="147" t="s">
        <v>139</v>
      </c>
      <c r="L701" s="7" t="s">
        <v>78</v>
      </c>
    </row>
    <row r="702">
      <c r="A702" s="146">
        <v>22.0</v>
      </c>
      <c r="B702" s="147" t="s">
        <v>7</v>
      </c>
      <c r="C702" s="147" t="s">
        <v>1734</v>
      </c>
      <c r="D702" s="147" t="s">
        <v>143</v>
      </c>
      <c r="E702" s="147" t="s">
        <v>136</v>
      </c>
      <c r="F702" s="147" t="s">
        <v>136</v>
      </c>
      <c r="G702" s="147" t="s">
        <v>137</v>
      </c>
      <c r="H702" s="148"/>
      <c r="I702" s="147"/>
      <c r="J702" s="147" t="s">
        <v>1735</v>
      </c>
      <c r="K702" s="147" t="s">
        <v>139</v>
      </c>
      <c r="L702" s="7" t="s">
        <v>78</v>
      </c>
    </row>
    <row r="703">
      <c r="A703" s="146">
        <v>29.0</v>
      </c>
      <c r="B703" s="147" t="s">
        <v>6</v>
      </c>
      <c r="C703" s="147" t="s">
        <v>1736</v>
      </c>
      <c r="D703" s="147" t="s">
        <v>223</v>
      </c>
      <c r="E703" s="147" t="s">
        <v>136</v>
      </c>
      <c r="F703" s="147" t="s">
        <v>136</v>
      </c>
      <c r="G703" s="147" t="s">
        <v>137</v>
      </c>
      <c r="H703" s="148"/>
      <c r="I703" s="147"/>
      <c r="J703" s="147" t="s">
        <v>1724</v>
      </c>
      <c r="K703" s="147" t="s">
        <v>139</v>
      </c>
      <c r="L703" s="7" t="s">
        <v>78</v>
      </c>
    </row>
    <row r="704">
      <c r="A704" s="146">
        <v>13.0</v>
      </c>
      <c r="B704" s="147" t="s">
        <v>7</v>
      </c>
      <c r="C704" s="147" t="s">
        <v>1737</v>
      </c>
      <c r="D704" s="147" t="s">
        <v>302</v>
      </c>
      <c r="E704" s="147" t="s">
        <v>135</v>
      </c>
      <c r="F704" s="147" t="s">
        <v>136</v>
      </c>
      <c r="G704" s="147" t="s">
        <v>157</v>
      </c>
      <c r="H704" s="148"/>
      <c r="I704" s="147"/>
      <c r="J704" s="147" t="s">
        <v>1738</v>
      </c>
      <c r="K704" s="147" t="s">
        <v>139</v>
      </c>
      <c r="L704" s="7" t="s">
        <v>78</v>
      </c>
    </row>
    <row r="705">
      <c r="A705" s="146">
        <v>18.0</v>
      </c>
      <c r="B705" s="147" t="s">
        <v>7</v>
      </c>
      <c r="C705" s="147" t="s">
        <v>1739</v>
      </c>
      <c r="D705" s="147" t="s">
        <v>331</v>
      </c>
      <c r="E705" s="147" t="s">
        <v>136</v>
      </c>
      <c r="F705" s="147" t="s">
        <v>136</v>
      </c>
      <c r="G705" s="147" t="s">
        <v>137</v>
      </c>
      <c r="H705" s="148"/>
      <c r="I705" s="147"/>
      <c r="J705" s="147" t="s">
        <v>1740</v>
      </c>
      <c r="K705" s="147" t="s">
        <v>139</v>
      </c>
      <c r="L705" s="7" t="s">
        <v>78</v>
      </c>
    </row>
    <row r="706">
      <c r="A706" s="146">
        <v>34.0</v>
      </c>
      <c r="B706" s="147" t="s">
        <v>6</v>
      </c>
      <c r="C706" s="147" t="s">
        <v>1411</v>
      </c>
      <c r="D706" s="147" t="s">
        <v>202</v>
      </c>
      <c r="E706" s="147" t="s">
        <v>136</v>
      </c>
      <c r="F706" s="147" t="s">
        <v>136</v>
      </c>
      <c r="G706" s="147" t="s">
        <v>1412</v>
      </c>
      <c r="H706" s="147" t="s">
        <v>1413</v>
      </c>
      <c r="I706" s="147"/>
      <c r="J706" s="147" t="s">
        <v>1741</v>
      </c>
      <c r="K706" s="147" t="s">
        <v>139</v>
      </c>
      <c r="L706" s="7" t="s">
        <v>78</v>
      </c>
    </row>
    <row r="707">
      <c r="A707" s="146">
        <v>30.0</v>
      </c>
      <c r="B707" s="147" t="s">
        <v>6</v>
      </c>
      <c r="C707" s="147" t="s">
        <v>356</v>
      </c>
      <c r="D707" s="147" t="s">
        <v>228</v>
      </c>
      <c r="E707" s="147" t="s">
        <v>136</v>
      </c>
      <c r="F707" s="147" t="s">
        <v>136</v>
      </c>
      <c r="G707" s="147" t="s">
        <v>221</v>
      </c>
      <c r="H707" s="148"/>
      <c r="I707" s="147"/>
      <c r="J707" s="147" t="s">
        <v>1742</v>
      </c>
      <c r="K707" s="147" t="s">
        <v>139</v>
      </c>
      <c r="L707" s="7" t="s">
        <v>78</v>
      </c>
    </row>
    <row r="708">
      <c r="A708" s="146">
        <v>7.0</v>
      </c>
      <c r="B708" s="147" t="s">
        <v>7</v>
      </c>
      <c r="C708" s="147" t="s">
        <v>872</v>
      </c>
      <c r="D708" s="147" t="s">
        <v>302</v>
      </c>
      <c r="E708" s="147" t="s">
        <v>136</v>
      </c>
      <c r="F708" s="147" t="s">
        <v>136</v>
      </c>
      <c r="G708" s="147" t="s">
        <v>157</v>
      </c>
      <c r="H708" s="148"/>
      <c r="I708" s="147"/>
      <c r="J708" s="147" t="s">
        <v>1743</v>
      </c>
      <c r="K708" s="147" t="s">
        <v>139</v>
      </c>
      <c r="L708" s="7" t="s">
        <v>78</v>
      </c>
    </row>
    <row r="709">
      <c r="A709" s="146">
        <v>3.0</v>
      </c>
      <c r="B709" s="147" t="s">
        <v>7</v>
      </c>
      <c r="C709" s="147" t="s">
        <v>1744</v>
      </c>
      <c r="D709" s="147" t="s">
        <v>143</v>
      </c>
      <c r="E709" s="147" t="s">
        <v>136</v>
      </c>
      <c r="F709" s="147" t="s">
        <v>136</v>
      </c>
      <c r="G709" s="147" t="s">
        <v>137</v>
      </c>
      <c r="H709" s="148"/>
      <c r="I709" s="147"/>
      <c r="J709" s="147" t="s">
        <v>1745</v>
      </c>
      <c r="K709" s="147" t="s">
        <v>139</v>
      </c>
      <c r="L709" s="7" t="s">
        <v>78</v>
      </c>
    </row>
    <row r="710">
      <c r="A710" s="146">
        <v>24.0</v>
      </c>
      <c r="B710" s="147" t="s">
        <v>7</v>
      </c>
      <c r="C710" s="147" t="s">
        <v>1746</v>
      </c>
      <c r="D710" s="147" t="s">
        <v>398</v>
      </c>
      <c r="E710" s="147" t="s">
        <v>136</v>
      </c>
      <c r="F710" s="147" t="s">
        <v>136</v>
      </c>
      <c r="G710" s="147" t="s">
        <v>221</v>
      </c>
      <c r="H710" s="148"/>
      <c r="I710" s="147"/>
      <c r="J710" s="147" t="s">
        <v>1747</v>
      </c>
      <c r="K710" s="147" t="s">
        <v>139</v>
      </c>
      <c r="L710" s="7" t="s">
        <v>78</v>
      </c>
    </row>
    <row r="711">
      <c r="A711" s="146">
        <v>43.0</v>
      </c>
      <c r="B711" s="147" t="s">
        <v>6</v>
      </c>
      <c r="C711" s="147" t="s">
        <v>1748</v>
      </c>
      <c r="D711" s="147" t="s">
        <v>243</v>
      </c>
      <c r="E711" s="147" t="s">
        <v>135</v>
      </c>
      <c r="F711" s="147" t="s">
        <v>136</v>
      </c>
      <c r="G711" s="147" t="s">
        <v>320</v>
      </c>
      <c r="H711" s="148"/>
      <c r="I711" s="147"/>
      <c r="J711" s="147" t="s">
        <v>1749</v>
      </c>
      <c r="K711" s="147" t="s">
        <v>139</v>
      </c>
      <c r="L711" s="7" t="s">
        <v>78</v>
      </c>
    </row>
    <row r="712">
      <c r="A712" s="146">
        <v>42.0</v>
      </c>
      <c r="B712" s="147" t="s">
        <v>6</v>
      </c>
      <c r="C712" s="147" t="s">
        <v>1750</v>
      </c>
      <c r="D712" s="147" t="s">
        <v>164</v>
      </c>
      <c r="E712" s="147" t="s">
        <v>135</v>
      </c>
      <c r="F712" s="147" t="s">
        <v>136</v>
      </c>
      <c r="G712" s="147" t="s">
        <v>137</v>
      </c>
      <c r="H712" s="148"/>
      <c r="I712" s="147"/>
      <c r="J712" s="147" t="s">
        <v>1751</v>
      </c>
      <c r="K712" s="147" t="s">
        <v>139</v>
      </c>
      <c r="L712" s="7" t="s">
        <v>78</v>
      </c>
    </row>
    <row r="713">
      <c r="A713" s="146">
        <v>6.0</v>
      </c>
      <c r="B713" s="147" t="s">
        <v>7</v>
      </c>
      <c r="C713" s="147" t="s">
        <v>1752</v>
      </c>
      <c r="D713" s="147" t="s">
        <v>302</v>
      </c>
      <c r="E713" s="147" t="s">
        <v>136</v>
      </c>
      <c r="F713" s="147" t="s">
        <v>136</v>
      </c>
      <c r="G713" s="147" t="s">
        <v>191</v>
      </c>
      <c r="H713" s="148"/>
      <c r="I713" s="147"/>
      <c r="J713" s="147" t="s">
        <v>1753</v>
      </c>
      <c r="K713" s="147" t="s">
        <v>139</v>
      </c>
      <c r="L713" s="7" t="s">
        <v>78</v>
      </c>
    </row>
    <row r="714">
      <c r="A714" s="146">
        <v>27.0</v>
      </c>
      <c r="B714" s="147" t="s">
        <v>7</v>
      </c>
      <c r="C714" s="147" t="s">
        <v>1754</v>
      </c>
      <c r="D714" s="147" t="s">
        <v>223</v>
      </c>
      <c r="E714" s="147" t="s">
        <v>136</v>
      </c>
      <c r="F714" s="147" t="s">
        <v>136</v>
      </c>
      <c r="G714" s="147" t="s">
        <v>137</v>
      </c>
      <c r="H714" s="147" t="s">
        <v>1755</v>
      </c>
      <c r="I714" s="147"/>
      <c r="J714" s="147" t="s">
        <v>1710</v>
      </c>
      <c r="K714" s="147" t="s">
        <v>139</v>
      </c>
      <c r="L714" s="7" t="s">
        <v>78</v>
      </c>
    </row>
    <row r="715">
      <c r="A715" s="146">
        <v>5.0</v>
      </c>
      <c r="B715" s="147" t="s">
        <v>6</v>
      </c>
      <c r="C715" s="147" t="s">
        <v>1116</v>
      </c>
      <c r="D715" s="147" t="s">
        <v>197</v>
      </c>
      <c r="E715" s="147" t="s">
        <v>136</v>
      </c>
      <c r="F715" s="147" t="s">
        <v>136</v>
      </c>
      <c r="G715" s="147" t="s">
        <v>137</v>
      </c>
      <c r="H715" s="148"/>
      <c r="I715" s="147"/>
      <c r="J715" s="147" t="s">
        <v>1756</v>
      </c>
      <c r="K715" s="147" t="s">
        <v>139</v>
      </c>
      <c r="L715" s="7" t="s">
        <v>78</v>
      </c>
    </row>
    <row r="716">
      <c r="A716" s="146">
        <v>1.0</v>
      </c>
      <c r="B716" s="147" t="s">
        <v>6</v>
      </c>
      <c r="C716" s="147" t="s">
        <v>787</v>
      </c>
      <c r="D716" s="147" t="s">
        <v>164</v>
      </c>
      <c r="E716" s="147" t="s">
        <v>136</v>
      </c>
      <c r="F716" s="147" t="s">
        <v>136</v>
      </c>
      <c r="G716" s="147" t="s">
        <v>221</v>
      </c>
      <c r="H716" s="148"/>
      <c r="I716" s="147"/>
      <c r="J716" s="147" t="s">
        <v>1757</v>
      </c>
      <c r="K716" s="147" t="s">
        <v>139</v>
      </c>
      <c r="L716" s="7" t="s">
        <v>78</v>
      </c>
    </row>
    <row r="717">
      <c r="A717" s="146">
        <v>16.0</v>
      </c>
      <c r="B717" s="147" t="s">
        <v>7</v>
      </c>
      <c r="C717" s="147" t="s">
        <v>315</v>
      </c>
      <c r="D717" s="147" t="s">
        <v>164</v>
      </c>
      <c r="E717" s="147" t="s">
        <v>136</v>
      </c>
      <c r="F717" s="147" t="s">
        <v>136</v>
      </c>
      <c r="G717" s="147" t="s">
        <v>185</v>
      </c>
      <c r="H717" s="148"/>
      <c r="I717" s="147"/>
      <c r="J717" s="147" t="s">
        <v>1758</v>
      </c>
      <c r="K717" s="147" t="s">
        <v>139</v>
      </c>
      <c r="L717" s="7" t="s">
        <v>78</v>
      </c>
    </row>
    <row r="718">
      <c r="A718" s="146">
        <v>32.0</v>
      </c>
      <c r="B718" s="147" t="s">
        <v>7</v>
      </c>
      <c r="C718" s="147" t="s">
        <v>466</v>
      </c>
      <c r="D718" s="147" t="s">
        <v>255</v>
      </c>
      <c r="E718" s="147" t="s">
        <v>135</v>
      </c>
      <c r="F718" s="147" t="s">
        <v>136</v>
      </c>
      <c r="G718" s="147" t="s">
        <v>467</v>
      </c>
      <c r="H718" s="148"/>
      <c r="I718" s="147"/>
      <c r="J718" s="147" t="s">
        <v>1759</v>
      </c>
      <c r="K718" s="147" t="s">
        <v>139</v>
      </c>
      <c r="L718" s="7" t="s">
        <v>78</v>
      </c>
    </row>
    <row r="719">
      <c r="A719" s="146">
        <v>11.0</v>
      </c>
      <c r="B719" s="147" t="s">
        <v>7</v>
      </c>
      <c r="C719" s="147" t="s">
        <v>1760</v>
      </c>
      <c r="D719" s="147" t="s">
        <v>268</v>
      </c>
      <c r="E719" s="147" t="s">
        <v>135</v>
      </c>
      <c r="F719" s="147" t="s">
        <v>136</v>
      </c>
      <c r="G719" s="147" t="s">
        <v>271</v>
      </c>
      <c r="H719" s="148"/>
      <c r="I719" s="147"/>
      <c r="J719" s="147" t="s">
        <v>1761</v>
      </c>
      <c r="K719" s="147" t="s">
        <v>139</v>
      </c>
      <c r="L719" s="7" t="s">
        <v>78</v>
      </c>
    </row>
    <row r="720">
      <c r="A720" s="146">
        <v>21.0</v>
      </c>
      <c r="B720" s="147" t="s">
        <v>7</v>
      </c>
      <c r="C720" s="147" t="s">
        <v>469</v>
      </c>
      <c r="D720" s="147" t="s">
        <v>202</v>
      </c>
      <c r="E720" s="147" t="s">
        <v>136</v>
      </c>
      <c r="F720" s="147" t="s">
        <v>136</v>
      </c>
      <c r="G720" s="147" t="s">
        <v>150</v>
      </c>
      <c r="H720" s="148"/>
      <c r="I720" s="147"/>
      <c r="J720" s="147" t="s">
        <v>1762</v>
      </c>
      <c r="K720" s="147" t="s">
        <v>139</v>
      </c>
      <c r="L720" s="7" t="s">
        <v>78</v>
      </c>
    </row>
    <row r="721">
      <c r="A721" s="146">
        <v>16.0</v>
      </c>
      <c r="B721" s="147" t="s">
        <v>6</v>
      </c>
      <c r="C721" s="147" t="s">
        <v>1763</v>
      </c>
      <c r="D721" s="147" t="s">
        <v>166</v>
      </c>
      <c r="E721" s="147" t="s">
        <v>136</v>
      </c>
      <c r="F721" s="147" t="s">
        <v>136</v>
      </c>
      <c r="G721" s="147" t="s">
        <v>137</v>
      </c>
      <c r="H721" s="148"/>
      <c r="I721" s="147"/>
      <c r="J721" s="147" t="s">
        <v>1764</v>
      </c>
      <c r="K721" s="147" t="s">
        <v>139</v>
      </c>
      <c r="L721" s="7" t="s">
        <v>78</v>
      </c>
    </row>
    <row r="722">
      <c r="A722" s="146">
        <v>21.0</v>
      </c>
      <c r="B722" s="147" t="s">
        <v>7</v>
      </c>
      <c r="C722" s="147" t="s">
        <v>1510</v>
      </c>
      <c r="D722" s="147" t="s">
        <v>177</v>
      </c>
      <c r="E722" s="147" t="s">
        <v>135</v>
      </c>
      <c r="F722" s="147" t="s">
        <v>136</v>
      </c>
      <c r="G722" s="147" t="s">
        <v>349</v>
      </c>
      <c r="H722" s="148"/>
      <c r="I722" s="147"/>
      <c r="J722" s="147" t="s">
        <v>1765</v>
      </c>
      <c r="K722" s="147" t="s">
        <v>139</v>
      </c>
      <c r="L722" s="7" t="s">
        <v>78</v>
      </c>
    </row>
    <row r="723">
      <c r="A723" s="146">
        <v>19.0</v>
      </c>
      <c r="B723" s="147" t="s">
        <v>6</v>
      </c>
      <c r="C723" s="147" t="s">
        <v>1766</v>
      </c>
      <c r="D723" s="147" t="s">
        <v>248</v>
      </c>
      <c r="E723" s="147" t="s">
        <v>136</v>
      </c>
      <c r="F723" s="147" t="s">
        <v>136</v>
      </c>
      <c r="G723" s="147" t="s">
        <v>174</v>
      </c>
      <c r="H723" s="148"/>
      <c r="I723" s="147"/>
      <c r="J723" s="147" t="s">
        <v>1767</v>
      </c>
      <c r="K723" s="147" t="s">
        <v>139</v>
      </c>
      <c r="L723" s="7" t="s">
        <v>78</v>
      </c>
    </row>
    <row r="724">
      <c r="A724" s="146">
        <v>30.0</v>
      </c>
      <c r="B724" s="147" t="s">
        <v>6</v>
      </c>
      <c r="C724" s="147" t="s">
        <v>589</v>
      </c>
      <c r="D724" s="147" t="s">
        <v>233</v>
      </c>
      <c r="E724" s="147" t="s">
        <v>136</v>
      </c>
      <c r="F724" s="147" t="s">
        <v>136</v>
      </c>
      <c r="G724" s="147" t="s">
        <v>180</v>
      </c>
      <c r="H724" s="148"/>
      <c r="I724" s="147"/>
      <c r="J724" s="147" t="s">
        <v>1768</v>
      </c>
      <c r="K724" s="147" t="s">
        <v>139</v>
      </c>
      <c r="L724" s="7" t="s">
        <v>78</v>
      </c>
    </row>
    <row r="725">
      <c r="A725" s="146">
        <v>7.0</v>
      </c>
      <c r="B725" s="147" t="s">
        <v>6</v>
      </c>
      <c r="C725" s="147" t="s">
        <v>1769</v>
      </c>
      <c r="D725" s="147" t="s">
        <v>187</v>
      </c>
      <c r="E725" s="147" t="s">
        <v>136</v>
      </c>
      <c r="F725" s="147" t="s">
        <v>136</v>
      </c>
      <c r="G725" s="147" t="s">
        <v>271</v>
      </c>
      <c r="H725" s="148"/>
      <c r="I725" s="147"/>
      <c r="J725" s="147" t="s">
        <v>1770</v>
      </c>
      <c r="K725" s="147" t="s">
        <v>139</v>
      </c>
      <c r="L725" s="7" t="s">
        <v>78</v>
      </c>
    </row>
    <row r="726">
      <c r="A726" s="146">
        <v>11.0</v>
      </c>
      <c r="B726" s="147" t="s">
        <v>6</v>
      </c>
      <c r="C726" s="147" t="s">
        <v>1771</v>
      </c>
      <c r="D726" s="147" t="s">
        <v>187</v>
      </c>
      <c r="E726" s="147" t="s">
        <v>136</v>
      </c>
      <c r="F726" s="147" t="s">
        <v>136</v>
      </c>
      <c r="G726" s="147" t="s">
        <v>137</v>
      </c>
      <c r="H726" s="148"/>
      <c r="I726" s="147"/>
      <c r="J726" s="147" t="s">
        <v>1772</v>
      </c>
      <c r="K726" s="147" t="s">
        <v>139</v>
      </c>
      <c r="L726" s="7" t="s">
        <v>78</v>
      </c>
    </row>
    <row r="727">
      <c r="A727" s="146">
        <v>12.0</v>
      </c>
      <c r="B727" s="147" t="s">
        <v>6</v>
      </c>
      <c r="C727" s="147" t="s">
        <v>220</v>
      </c>
      <c r="D727" s="147" t="s">
        <v>187</v>
      </c>
      <c r="E727" s="147" t="s">
        <v>136</v>
      </c>
      <c r="F727" s="147" t="s">
        <v>136</v>
      </c>
      <c r="G727" s="147" t="s">
        <v>271</v>
      </c>
      <c r="H727" s="148"/>
      <c r="I727" s="147"/>
      <c r="J727" s="147" t="s">
        <v>1773</v>
      </c>
      <c r="K727" s="147" t="s">
        <v>139</v>
      </c>
      <c r="L727" s="7" t="s">
        <v>78</v>
      </c>
    </row>
    <row r="728">
      <c r="A728" s="146">
        <v>17.0</v>
      </c>
      <c r="B728" s="147" t="s">
        <v>7</v>
      </c>
      <c r="C728" s="147" t="s">
        <v>338</v>
      </c>
      <c r="D728" s="147" t="s">
        <v>143</v>
      </c>
      <c r="E728" s="147" t="s">
        <v>136</v>
      </c>
      <c r="F728" s="147" t="s">
        <v>136</v>
      </c>
      <c r="G728" s="147" t="s">
        <v>137</v>
      </c>
      <c r="H728" s="148"/>
      <c r="I728" s="147"/>
      <c r="J728" s="147" t="s">
        <v>1774</v>
      </c>
      <c r="K728" s="147" t="s">
        <v>139</v>
      </c>
      <c r="L728" s="7" t="s">
        <v>78</v>
      </c>
    </row>
    <row r="729">
      <c r="A729" s="146">
        <v>14.0</v>
      </c>
      <c r="B729" s="147" t="s">
        <v>7</v>
      </c>
      <c r="C729" s="147" t="s">
        <v>1524</v>
      </c>
      <c r="D729" s="147" t="s">
        <v>159</v>
      </c>
      <c r="E729" s="147" t="s">
        <v>136</v>
      </c>
      <c r="F729" s="147" t="s">
        <v>136</v>
      </c>
      <c r="G729" s="147" t="s">
        <v>137</v>
      </c>
      <c r="H729" s="148"/>
      <c r="I729" s="147"/>
      <c r="J729" s="147" t="s">
        <v>1775</v>
      </c>
      <c r="K729" s="147" t="s">
        <v>139</v>
      </c>
      <c r="L729" s="7" t="s">
        <v>78</v>
      </c>
    </row>
    <row r="730">
      <c r="A730" s="146">
        <v>28.0</v>
      </c>
      <c r="B730" s="147" t="s">
        <v>6</v>
      </c>
      <c r="C730" s="147" t="s">
        <v>1776</v>
      </c>
      <c r="D730" s="147" t="s">
        <v>213</v>
      </c>
      <c r="E730" s="147" t="s">
        <v>135</v>
      </c>
      <c r="F730" s="147" t="s">
        <v>136</v>
      </c>
      <c r="G730" s="147" t="s">
        <v>137</v>
      </c>
      <c r="H730" s="148"/>
      <c r="I730" s="147"/>
      <c r="J730" s="147" t="s">
        <v>1777</v>
      </c>
      <c r="K730" s="147" t="s">
        <v>139</v>
      </c>
      <c r="L730" s="7" t="s">
        <v>78</v>
      </c>
    </row>
    <row r="731">
      <c r="A731" s="146">
        <v>22.0</v>
      </c>
      <c r="B731" s="147" t="s">
        <v>7</v>
      </c>
      <c r="C731" s="147" t="s">
        <v>1778</v>
      </c>
      <c r="D731" s="147" t="s">
        <v>398</v>
      </c>
      <c r="E731" s="147" t="s">
        <v>136</v>
      </c>
      <c r="F731" s="147" t="s">
        <v>135</v>
      </c>
      <c r="G731" s="147" t="s">
        <v>137</v>
      </c>
      <c r="H731" s="148"/>
      <c r="I731" s="147"/>
      <c r="J731" s="147" t="s">
        <v>1779</v>
      </c>
      <c r="K731" s="147" t="s">
        <v>139</v>
      </c>
      <c r="L731" s="7" t="s">
        <v>78</v>
      </c>
    </row>
    <row r="732">
      <c r="A732" s="146">
        <v>10.0</v>
      </c>
      <c r="B732" s="147" t="s">
        <v>7</v>
      </c>
      <c r="C732" s="147" t="s">
        <v>513</v>
      </c>
      <c r="D732" s="147" t="s">
        <v>213</v>
      </c>
      <c r="E732" s="147" t="s">
        <v>136</v>
      </c>
      <c r="F732" s="147" t="s">
        <v>136</v>
      </c>
      <c r="G732" s="147" t="s">
        <v>320</v>
      </c>
      <c r="H732" s="148"/>
      <c r="I732" s="147"/>
      <c r="J732" s="147" t="s">
        <v>1780</v>
      </c>
      <c r="K732" s="147" t="s">
        <v>139</v>
      </c>
      <c r="L732" s="7" t="s">
        <v>78</v>
      </c>
    </row>
    <row r="733">
      <c r="A733" s="146">
        <v>13.0</v>
      </c>
      <c r="B733" s="147" t="s">
        <v>7</v>
      </c>
      <c r="C733" s="147" t="s">
        <v>1781</v>
      </c>
      <c r="D733" s="147" t="s">
        <v>213</v>
      </c>
      <c r="E733" s="147" t="s">
        <v>136</v>
      </c>
      <c r="F733" s="147" t="s">
        <v>136</v>
      </c>
      <c r="G733" s="147" t="s">
        <v>174</v>
      </c>
      <c r="H733" s="148"/>
      <c r="I733" s="147"/>
      <c r="J733" s="147" t="s">
        <v>1782</v>
      </c>
      <c r="K733" s="147" t="s">
        <v>139</v>
      </c>
      <c r="L733" s="7" t="s">
        <v>78</v>
      </c>
    </row>
    <row r="734">
      <c r="A734" s="146">
        <v>32.0</v>
      </c>
      <c r="B734" s="147" t="s">
        <v>7</v>
      </c>
      <c r="C734" s="147" t="s">
        <v>414</v>
      </c>
      <c r="D734" s="147" t="s">
        <v>213</v>
      </c>
      <c r="E734" s="147" t="s">
        <v>136</v>
      </c>
      <c r="F734" s="147" t="s">
        <v>136</v>
      </c>
      <c r="G734" s="147" t="s">
        <v>191</v>
      </c>
      <c r="H734" s="148"/>
      <c r="I734" s="147"/>
      <c r="J734" s="147" t="s">
        <v>1783</v>
      </c>
      <c r="K734" s="147" t="s">
        <v>139</v>
      </c>
      <c r="L734" s="7" t="s">
        <v>78</v>
      </c>
    </row>
    <row r="735">
      <c r="A735" s="146">
        <v>23.0</v>
      </c>
      <c r="B735" s="147" t="s">
        <v>7</v>
      </c>
      <c r="C735" s="147" t="s">
        <v>338</v>
      </c>
      <c r="D735" s="147" t="s">
        <v>143</v>
      </c>
      <c r="E735" s="147" t="s">
        <v>136</v>
      </c>
      <c r="F735" s="147" t="s">
        <v>136</v>
      </c>
      <c r="G735" s="147" t="s">
        <v>174</v>
      </c>
      <c r="H735" s="148"/>
      <c r="I735" s="147"/>
      <c r="J735" s="147" t="s">
        <v>1784</v>
      </c>
      <c r="K735" s="147" t="s">
        <v>1594</v>
      </c>
      <c r="L735" s="7" t="s">
        <v>78</v>
      </c>
    </row>
    <row r="736">
      <c r="A736" s="146">
        <v>31.0</v>
      </c>
      <c r="B736" s="147" t="s">
        <v>7</v>
      </c>
      <c r="C736" s="147" t="s">
        <v>338</v>
      </c>
      <c r="D736" s="147" t="s">
        <v>143</v>
      </c>
      <c r="E736" s="147" t="s">
        <v>136</v>
      </c>
      <c r="F736" s="147" t="s">
        <v>136</v>
      </c>
      <c r="G736" s="147" t="s">
        <v>150</v>
      </c>
      <c r="H736" s="148"/>
      <c r="I736" s="147"/>
      <c r="J736" s="147" t="s">
        <v>1785</v>
      </c>
      <c r="K736" s="147" t="s">
        <v>139</v>
      </c>
      <c r="L736" s="7" t="s">
        <v>78</v>
      </c>
    </row>
    <row r="737">
      <c r="A737" s="146">
        <v>5.0</v>
      </c>
      <c r="B737" s="147" t="s">
        <v>7</v>
      </c>
      <c r="C737" s="147" t="s">
        <v>1786</v>
      </c>
      <c r="D737" s="147" t="s">
        <v>134</v>
      </c>
      <c r="E737" s="147" t="s">
        <v>136</v>
      </c>
      <c r="F737" s="147" t="s">
        <v>136</v>
      </c>
      <c r="G737" s="149" t="s">
        <v>1787</v>
      </c>
      <c r="H737" s="148"/>
      <c r="I737" s="147"/>
      <c r="J737" s="147" t="s">
        <v>1788</v>
      </c>
      <c r="K737" s="147" t="s">
        <v>139</v>
      </c>
      <c r="L737" s="7" t="s">
        <v>78</v>
      </c>
    </row>
    <row r="738">
      <c r="A738" s="146">
        <v>25.0</v>
      </c>
      <c r="B738" s="147" t="s">
        <v>6</v>
      </c>
      <c r="C738" s="147" t="s">
        <v>338</v>
      </c>
      <c r="D738" s="147" t="s">
        <v>143</v>
      </c>
      <c r="E738" s="147" t="s">
        <v>136</v>
      </c>
      <c r="F738" s="147" t="s">
        <v>136</v>
      </c>
      <c r="G738" s="147" t="s">
        <v>1789</v>
      </c>
      <c r="H738" s="148"/>
      <c r="I738" s="147"/>
      <c r="J738" s="147" t="s">
        <v>1790</v>
      </c>
      <c r="K738" s="147" t="s">
        <v>139</v>
      </c>
      <c r="L738" s="7" t="s">
        <v>78</v>
      </c>
    </row>
    <row r="739">
      <c r="A739" s="146">
        <v>15.0</v>
      </c>
      <c r="B739" s="147" t="s">
        <v>7</v>
      </c>
      <c r="C739" s="147" t="s">
        <v>1791</v>
      </c>
      <c r="D739" s="147" t="s">
        <v>291</v>
      </c>
      <c r="E739" s="147" t="s">
        <v>136</v>
      </c>
      <c r="F739" s="147" t="s">
        <v>136</v>
      </c>
      <c r="G739" s="147" t="s">
        <v>221</v>
      </c>
      <c r="H739" s="148"/>
      <c r="I739" s="147"/>
      <c r="J739" s="147" t="s">
        <v>1792</v>
      </c>
      <c r="K739" s="147" t="s">
        <v>139</v>
      </c>
      <c r="L739" s="7" t="s">
        <v>78</v>
      </c>
    </row>
    <row r="740">
      <c r="A740" s="146">
        <v>27.0</v>
      </c>
      <c r="B740" s="147" t="s">
        <v>7</v>
      </c>
      <c r="C740" s="147" t="s">
        <v>1524</v>
      </c>
      <c r="D740" s="147" t="s">
        <v>159</v>
      </c>
      <c r="E740" s="147" t="s">
        <v>136</v>
      </c>
      <c r="F740" s="147" t="s">
        <v>136</v>
      </c>
      <c r="G740" s="147" t="s">
        <v>191</v>
      </c>
      <c r="H740" s="148"/>
      <c r="I740" s="147"/>
      <c r="J740" s="147" t="s">
        <v>1793</v>
      </c>
      <c r="K740" s="147" t="s">
        <v>139</v>
      </c>
      <c r="L740" s="7" t="s">
        <v>78</v>
      </c>
    </row>
    <row r="741">
      <c r="A741" s="146">
        <v>8.0</v>
      </c>
      <c r="B741" s="147" t="s">
        <v>7</v>
      </c>
      <c r="C741" s="147" t="s">
        <v>338</v>
      </c>
      <c r="D741" s="147" t="s">
        <v>143</v>
      </c>
      <c r="E741" s="147" t="s">
        <v>135</v>
      </c>
      <c r="F741" s="147" t="s">
        <v>136</v>
      </c>
      <c r="G741" s="147" t="s">
        <v>137</v>
      </c>
      <c r="H741" s="148"/>
      <c r="I741" s="147"/>
      <c r="J741" s="147" t="s">
        <v>1770</v>
      </c>
      <c r="K741" s="147" t="s">
        <v>139</v>
      </c>
      <c r="L741" s="7" t="s">
        <v>78</v>
      </c>
    </row>
    <row r="742">
      <c r="A742" s="146">
        <v>33.0</v>
      </c>
      <c r="B742" s="147" t="s">
        <v>7</v>
      </c>
      <c r="C742" s="147" t="s">
        <v>414</v>
      </c>
      <c r="D742" s="147" t="s">
        <v>213</v>
      </c>
      <c r="E742" s="147" t="s">
        <v>136</v>
      </c>
      <c r="F742" s="147" t="s">
        <v>136</v>
      </c>
      <c r="G742" s="147" t="s">
        <v>137</v>
      </c>
      <c r="H742" s="148"/>
      <c r="I742" s="147"/>
      <c r="J742" s="147" t="s">
        <v>1794</v>
      </c>
      <c r="K742" s="147" t="s">
        <v>139</v>
      </c>
      <c r="L742" s="7" t="s">
        <v>78</v>
      </c>
    </row>
    <row r="743">
      <c r="A743" s="146">
        <v>18.0</v>
      </c>
      <c r="B743" s="147" t="s">
        <v>7</v>
      </c>
      <c r="C743" s="147" t="s">
        <v>1795</v>
      </c>
      <c r="D743" s="147" t="s">
        <v>263</v>
      </c>
      <c r="E743" s="147" t="s">
        <v>136</v>
      </c>
      <c r="F743" s="147" t="s">
        <v>136</v>
      </c>
      <c r="G743" s="147" t="s">
        <v>271</v>
      </c>
      <c r="H743" s="148"/>
      <c r="I743" s="147"/>
      <c r="J743" s="147" t="s">
        <v>1796</v>
      </c>
      <c r="K743" s="147" t="s">
        <v>139</v>
      </c>
      <c r="L743" s="7" t="s">
        <v>78</v>
      </c>
    </row>
    <row r="744">
      <c r="A744" s="146">
        <v>6.0</v>
      </c>
      <c r="B744" s="147" t="s">
        <v>6</v>
      </c>
      <c r="C744" s="147" t="s">
        <v>1797</v>
      </c>
      <c r="D744" s="147" t="s">
        <v>134</v>
      </c>
      <c r="E744" s="147" t="s">
        <v>136</v>
      </c>
      <c r="F744" s="147" t="s">
        <v>136</v>
      </c>
      <c r="G744" s="147" t="s">
        <v>221</v>
      </c>
      <c r="H744" s="148"/>
      <c r="I744" s="147"/>
      <c r="J744" s="147" t="s">
        <v>1798</v>
      </c>
      <c r="K744" s="147" t="s">
        <v>139</v>
      </c>
      <c r="L744" s="7" t="s">
        <v>78</v>
      </c>
    </row>
    <row r="745">
      <c r="A745" s="146">
        <v>24.0</v>
      </c>
      <c r="B745" s="147" t="s">
        <v>6</v>
      </c>
      <c r="C745" s="147" t="s">
        <v>1799</v>
      </c>
      <c r="D745" s="147" t="s">
        <v>213</v>
      </c>
      <c r="E745" s="147" t="s">
        <v>136</v>
      </c>
      <c r="F745" s="147" t="s">
        <v>136</v>
      </c>
      <c r="G745" s="147" t="s">
        <v>137</v>
      </c>
      <c r="H745" s="147" t="s">
        <v>1800</v>
      </c>
      <c r="I745" s="147"/>
      <c r="J745" s="147" t="s">
        <v>1801</v>
      </c>
      <c r="K745" s="147" t="s">
        <v>139</v>
      </c>
      <c r="L745" s="7" t="s">
        <v>78</v>
      </c>
    </row>
    <row r="746">
      <c r="A746" s="146">
        <v>20.0</v>
      </c>
      <c r="B746" s="147" t="s">
        <v>6</v>
      </c>
      <c r="C746" s="147" t="s">
        <v>1802</v>
      </c>
      <c r="D746" s="147" t="s">
        <v>263</v>
      </c>
      <c r="E746" s="147" t="s">
        <v>136</v>
      </c>
      <c r="F746" s="147" t="s">
        <v>136</v>
      </c>
      <c r="G746" s="147" t="s">
        <v>271</v>
      </c>
      <c r="H746" s="148"/>
      <c r="I746" s="147"/>
      <c r="J746" s="147" t="s">
        <v>1803</v>
      </c>
      <c r="K746" s="147" t="s">
        <v>139</v>
      </c>
      <c r="L746" s="7" t="s">
        <v>78</v>
      </c>
    </row>
    <row r="747">
      <c r="A747" s="146">
        <v>29.0</v>
      </c>
      <c r="B747" s="147" t="s">
        <v>6</v>
      </c>
      <c r="C747" s="147" t="s">
        <v>338</v>
      </c>
      <c r="D747" s="147" t="s">
        <v>143</v>
      </c>
      <c r="E747" s="147" t="s">
        <v>135</v>
      </c>
      <c r="F747" s="147" t="s">
        <v>136</v>
      </c>
      <c r="G747" s="147" t="s">
        <v>367</v>
      </c>
      <c r="H747" s="148"/>
      <c r="I747" s="147"/>
      <c r="J747" s="147" t="s">
        <v>1804</v>
      </c>
      <c r="K747" s="147" t="s">
        <v>139</v>
      </c>
      <c r="L747" s="7" t="s">
        <v>78</v>
      </c>
    </row>
    <row r="748">
      <c r="A748" s="146">
        <v>26.0</v>
      </c>
      <c r="B748" s="147" t="s">
        <v>6</v>
      </c>
      <c r="C748" s="147" t="s">
        <v>1489</v>
      </c>
      <c r="D748" s="147" t="s">
        <v>263</v>
      </c>
      <c r="E748" s="147" t="s">
        <v>136</v>
      </c>
      <c r="F748" s="147" t="s">
        <v>136</v>
      </c>
      <c r="G748" s="147" t="s">
        <v>150</v>
      </c>
      <c r="H748" s="148"/>
      <c r="I748" s="147"/>
      <c r="J748" s="147" t="s">
        <v>1805</v>
      </c>
      <c r="K748" s="147" t="s">
        <v>139</v>
      </c>
      <c r="L748" s="7" t="s">
        <v>78</v>
      </c>
    </row>
    <row r="749">
      <c r="A749" s="146">
        <v>9.0</v>
      </c>
      <c r="B749" s="147" t="s">
        <v>7</v>
      </c>
      <c r="C749" s="147" t="s">
        <v>1746</v>
      </c>
      <c r="D749" s="147" t="s">
        <v>398</v>
      </c>
      <c r="E749" s="147" t="s">
        <v>136</v>
      </c>
      <c r="F749" s="147" t="s">
        <v>136</v>
      </c>
      <c r="G749" s="147" t="s">
        <v>221</v>
      </c>
      <c r="H749" s="148"/>
      <c r="I749" s="147"/>
      <c r="J749" s="147" t="s">
        <v>1806</v>
      </c>
      <c r="K749" s="147" t="s">
        <v>139</v>
      </c>
      <c r="L749" s="7" t="s">
        <v>78</v>
      </c>
    </row>
    <row r="750">
      <c r="A750" s="144">
        <v>10.0</v>
      </c>
      <c r="B750" s="144" t="s">
        <v>7</v>
      </c>
      <c r="C750" s="144" t="s">
        <v>1807</v>
      </c>
      <c r="D750" s="144" t="s">
        <v>347</v>
      </c>
      <c r="E750" s="144" t="s">
        <v>136</v>
      </c>
      <c r="F750" s="144" t="s">
        <v>136</v>
      </c>
      <c r="G750" s="145" t="s">
        <v>1808</v>
      </c>
      <c r="H750" s="144"/>
      <c r="I750" s="144" t="s">
        <v>136</v>
      </c>
      <c r="J750" s="144" t="s">
        <v>1809</v>
      </c>
      <c r="K750" s="144" t="s">
        <v>139</v>
      </c>
      <c r="L750" s="7" t="s">
        <v>51</v>
      </c>
    </row>
    <row r="751">
      <c r="A751" s="144">
        <v>5.0</v>
      </c>
      <c r="B751" s="144" t="s">
        <v>6</v>
      </c>
      <c r="C751" s="144" t="s">
        <v>1329</v>
      </c>
      <c r="D751" s="144" t="s">
        <v>214</v>
      </c>
      <c r="E751" s="144" t="s">
        <v>135</v>
      </c>
      <c r="F751" s="144" t="s">
        <v>136</v>
      </c>
      <c r="G751" s="145" t="s">
        <v>150</v>
      </c>
      <c r="H751" s="144"/>
      <c r="I751" s="144" t="s">
        <v>136</v>
      </c>
      <c r="J751" s="144" t="s">
        <v>1810</v>
      </c>
      <c r="K751" s="144" t="s">
        <v>139</v>
      </c>
      <c r="L751" s="7" t="s">
        <v>51</v>
      </c>
    </row>
    <row r="752">
      <c r="A752" s="144">
        <v>4.0</v>
      </c>
      <c r="B752" s="144" t="s">
        <v>7</v>
      </c>
      <c r="C752" s="144" t="s">
        <v>1811</v>
      </c>
      <c r="D752" s="144" t="s">
        <v>233</v>
      </c>
      <c r="E752" s="144" t="s">
        <v>135</v>
      </c>
      <c r="F752" s="144" t="s">
        <v>136</v>
      </c>
      <c r="G752" s="144" t="s">
        <v>767</v>
      </c>
      <c r="H752" s="144"/>
      <c r="I752" s="144"/>
      <c r="J752" s="144" t="s">
        <v>1812</v>
      </c>
      <c r="K752" s="144" t="s">
        <v>139</v>
      </c>
      <c r="L752" s="7" t="s">
        <v>51</v>
      </c>
    </row>
    <row r="753">
      <c r="A753" s="144">
        <v>6.0</v>
      </c>
      <c r="B753" s="144" t="s">
        <v>6</v>
      </c>
      <c r="C753" s="144" t="s">
        <v>1813</v>
      </c>
      <c r="D753" s="144" t="s">
        <v>313</v>
      </c>
      <c r="E753" s="144" t="s">
        <v>135</v>
      </c>
      <c r="F753" s="144" t="s">
        <v>136</v>
      </c>
      <c r="G753" s="145" t="s">
        <v>1814</v>
      </c>
      <c r="H753" s="144"/>
      <c r="I753" s="144" t="s">
        <v>136</v>
      </c>
      <c r="J753" s="144" t="s">
        <v>1815</v>
      </c>
      <c r="K753" s="144" t="s">
        <v>139</v>
      </c>
      <c r="L753" s="7" t="s">
        <v>51</v>
      </c>
    </row>
    <row r="754">
      <c r="A754" s="144">
        <v>9.0</v>
      </c>
      <c r="B754" s="144" t="s">
        <v>6</v>
      </c>
      <c r="C754" s="144" t="s">
        <v>1816</v>
      </c>
      <c r="D754" s="144" t="s">
        <v>347</v>
      </c>
      <c r="E754" s="144" t="s">
        <v>135</v>
      </c>
      <c r="F754" s="144" t="s">
        <v>136</v>
      </c>
      <c r="G754" s="144" t="s">
        <v>767</v>
      </c>
      <c r="H754" s="144" t="s">
        <v>1817</v>
      </c>
      <c r="I754" s="144" t="s">
        <v>135</v>
      </c>
      <c r="J754" s="144" t="s">
        <v>1818</v>
      </c>
      <c r="K754" s="144" t="s">
        <v>139</v>
      </c>
      <c r="L754" s="7" t="s">
        <v>51</v>
      </c>
    </row>
    <row r="755">
      <c r="A755" s="144">
        <v>1.0</v>
      </c>
      <c r="B755" s="144" t="s">
        <v>6</v>
      </c>
      <c r="C755" s="144" t="s">
        <v>1819</v>
      </c>
      <c r="D755" s="144" t="s">
        <v>268</v>
      </c>
      <c r="E755" s="144" t="s">
        <v>135</v>
      </c>
      <c r="F755" s="144" t="s">
        <v>136</v>
      </c>
      <c r="G755" s="144" t="s">
        <v>467</v>
      </c>
      <c r="H755" s="144"/>
      <c r="I755" s="144"/>
      <c r="J755" s="144" t="s">
        <v>1820</v>
      </c>
      <c r="K755" s="144" t="s">
        <v>139</v>
      </c>
      <c r="L755" s="7" t="s">
        <v>51</v>
      </c>
    </row>
    <row r="756">
      <c r="A756" s="144">
        <v>8.0</v>
      </c>
      <c r="B756" s="144" t="s">
        <v>6</v>
      </c>
      <c r="C756" s="144" t="s">
        <v>824</v>
      </c>
      <c r="D756" s="144" t="s">
        <v>347</v>
      </c>
      <c r="E756" s="144" t="s">
        <v>136</v>
      </c>
      <c r="F756" s="144" t="s">
        <v>136</v>
      </c>
      <c r="G756" s="144" t="s">
        <v>1401</v>
      </c>
      <c r="H756" s="144" t="s">
        <v>1821</v>
      </c>
      <c r="I756" s="144" t="s">
        <v>135</v>
      </c>
      <c r="J756" s="144" t="s">
        <v>1822</v>
      </c>
      <c r="K756" s="144" t="s">
        <v>139</v>
      </c>
      <c r="L756" s="7" t="s">
        <v>51</v>
      </c>
    </row>
    <row r="757">
      <c r="A757" s="144">
        <v>3.0</v>
      </c>
      <c r="B757" s="144" t="s">
        <v>7</v>
      </c>
      <c r="C757" s="144" t="s">
        <v>338</v>
      </c>
      <c r="D757" s="144" t="s">
        <v>143</v>
      </c>
      <c r="E757" s="144" t="s">
        <v>135</v>
      </c>
      <c r="F757" s="144" t="s">
        <v>136</v>
      </c>
      <c r="G757" s="144" t="s">
        <v>1823</v>
      </c>
      <c r="H757" s="144"/>
      <c r="I757" s="144"/>
      <c r="J757" s="144" t="s">
        <v>1824</v>
      </c>
      <c r="K757" s="144" t="s">
        <v>139</v>
      </c>
      <c r="L757" s="7" t="s">
        <v>51</v>
      </c>
    </row>
    <row r="758">
      <c r="A758" s="144">
        <v>11.0</v>
      </c>
      <c r="B758" s="144" t="s">
        <v>6</v>
      </c>
      <c r="C758" s="144" t="s">
        <v>1825</v>
      </c>
      <c r="D758" s="144" t="s">
        <v>347</v>
      </c>
      <c r="E758" s="144" t="s">
        <v>135</v>
      </c>
      <c r="F758" s="144" t="s">
        <v>136</v>
      </c>
      <c r="G758" s="144" t="s">
        <v>767</v>
      </c>
      <c r="H758" s="144" t="s">
        <v>1826</v>
      </c>
      <c r="I758" s="144" t="s">
        <v>136</v>
      </c>
      <c r="J758" s="144" t="s">
        <v>1827</v>
      </c>
      <c r="K758" s="144" t="s">
        <v>139</v>
      </c>
      <c r="L758" s="7" t="s">
        <v>51</v>
      </c>
    </row>
    <row r="759">
      <c r="A759" s="144">
        <v>7.0</v>
      </c>
      <c r="B759" s="144" t="s">
        <v>6</v>
      </c>
      <c r="C759" s="144" t="s">
        <v>1828</v>
      </c>
      <c r="D759" s="144" t="s">
        <v>143</v>
      </c>
      <c r="E759" s="144" t="s">
        <v>135</v>
      </c>
      <c r="F759" s="144" t="s">
        <v>136</v>
      </c>
      <c r="G759" s="144" t="s">
        <v>1829</v>
      </c>
      <c r="H759" s="144" t="s">
        <v>455</v>
      </c>
      <c r="I759" s="144" t="s">
        <v>136</v>
      </c>
      <c r="J759" s="144" t="s">
        <v>1830</v>
      </c>
      <c r="K759" s="144" t="s">
        <v>139</v>
      </c>
      <c r="L759" s="7" t="s">
        <v>51</v>
      </c>
    </row>
    <row r="760">
      <c r="A760" s="144">
        <v>2.0</v>
      </c>
      <c r="B760" s="144" t="s">
        <v>7</v>
      </c>
      <c r="C760" s="144" t="s">
        <v>1831</v>
      </c>
      <c r="D760" s="144" t="s">
        <v>214</v>
      </c>
      <c r="E760" s="144" t="s">
        <v>136</v>
      </c>
      <c r="F760" s="144" t="s">
        <v>136</v>
      </c>
      <c r="G760" s="144" t="s">
        <v>1225</v>
      </c>
      <c r="H760" s="144"/>
      <c r="I760" s="144"/>
      <c r="J760" s="144" t="s">
        <v>1832</v>
      </c>
      <c r="K760" s="144" t="s">
        <v>139</v>
      </c>
      <c r="L760" s="7" t="s">
        <v>51</v>
      </c>
    </row>
    <row r="761">
      <c r="A761" s="146">
        <v>18.0</v>
      </c>
      <c r="B761" s="147" t="s">
        <v>7</v>
      </c>
      <c r="C761" s="147" t="s">
        <v>195</v>
      </c>
      <c r="D761" s="147" t="s">
        <v>164</v>
      </c>
      <c r="E761" s="147" t="s">
        <v>135</v>
      </c>
      <c r="F761" s="147" t="s">
        <v>136</v>
      </c>
      <c r="G761" s="147" t="s">
        <v>297</v>
      </c>
      <c r="H761" s="148"/>
      <c r="I761" s="147" t="s">
        <v>136</v>
      </c>
      <c r="J761" s="147" t="s">
        <v>1833</v>
      </c>
      <c r="K761" s="147" t="s">
        <v>139</v>
      </c>
      <c r="L761" s="7" t="s">
        <v>51</v>
      </c>
    </row>
    <row r="762">
      <c r="A762" s="146">
        <v>17.0</v>
      </c>
      <c r="B762" s="147" t="s">
        <v>6</v>
      </c>
      <c r="C762" s="147" t="s">
        <v>1834</v>
      </c>
      <c r="D762" s="147" t="s">
        <v>296</v>
      </c>
      <c r="E762" s="147" t="s">
        <v>135</v>
      </c>
      <c r="F762" s="147" t="s">
        <v>136</v>
      </c>
      <c r="G762" s="149" t="s">
        <v>1835</v>
      </c>
      <c r="H762" s="147" t="s">
        <v>137</v>
      </c>
      <c r="I762" s="147" t="s">
        <v>136</v>
      </c>
      <c r="J762" s="147" t="s">
        <v>1836</v>
      </c>
      <c r="K762" s="147" t="s">
        <v>139</v>
      </c>
      <c r="L762" s="7" t="s">
        <v>51</v>
      </c>
    </row>
    <row r="763">
      <c r="A763" s="146">
        <v>16.0</v>
      </c>
      <c r="B763" s="147" t="s">
        <v>6</v>
      </c>
      <c r="C763" s="147" t="s">
        <v>1837</v>
      </c>
      <c r="D763" s="147" t="s">
        <v>164</v>
      </c>
      <c r="E763" s="147" t="s">
        <v>135</v>
      </c>
      <c r="F763" s="147" t="s">
        <v>136</v>
      </c>
      <c r="G763" s="147" t="s">
        <v>618</v>
      </c>
      <c r="H763" s="148"/>
      <c r="I763" s="147" t="s">
        <v>136</v>
      </c>
      <c r="J763" s="147" t="s">
        <v>1838</v>
      </c>
      <c r="K763" s="147" t="s">
        <v>139</v>
      </c>
      <c r="L763" s="7" t="s">
        <v>51</v>
      </c>
    </row>
    <row r="764">
      <c r="A764" s="146">
        <v>12.0</v>
      </c>
      <c r="B764" s="147" t="s">
        <v>6</v>
      </c>
      <c r="C764" s="147" t="s">
        <v>1839</v>
      </c>
      <c r="D764" s="147" t="s">
        <v>347</v>
      </c>
      <c r="E764" s="147" t="s">
        <v>136</v>
      </c>
      <c r="F764" s="147" t="s">
        <v>136</v>
      </c>
      <c r="G764" s="147" t="s">
        <v>150</v>
      </c>
      <c r="H764" s="148"/>
      <c r="I764" s="147" t="s">
        <v>136</v>
      </c>
      <c r="J764" s="150">
        <v>45516.79861111111</v>
      </c>
      <c r="K764" s="147" t="s">
        <v>139</v>
      </c>
      <c r="L764" s="7" t="s">
        <v>51</v>
      </c>
    </row>
    <row r="765">
      <c r="A765" s="146">
        <v>15.0</v>
      </c>
      <c r="B765" s="147" t="s">
        <v>6</v>
      </c>
      <c r="C765" s="147" t="s">
        <v>1840</v>
      </c>
      <c r="D765" s="147" t="s">
        <v>352</v>
      </c>
      <c r="E765" s="147" t="s">
        <v>135</v>
      </c>
      <c r="F765" s="147" t="s">
        <v>136</v>
      </c>
      <c r="G765" s="149" t="s">
        <v>1841</v>
      </c>
      <c r="H765" s="148"/>
      <c r="I765" s="147" t="s">
        <v>136</v>
      </c>
      <c r="J765" s="147" t="s">
        <v>1842</v>
      </c>
      <c r="K765" s="147" t="s">
        <v>139</v>
      </c>
      <c r="L765" s="7" t="s">
        <v>51</v>
      </c>
    </row>
    <row r="766">
      <c r="A766" s="146">
        <v>14.0</v>
      </c>
      <c r="B766" s="147" t="s">
        <v>6</v>
      </c>
      <c r="C766" s="147" t="s">
        <v>1843</v>
      </c>
      <c r="D766" s="147" t="s">
        <v>147</v>
      </c>
      <c r="E766" s="147" t="s">
        <v>135</v>
      </c>
      <c r="F766" s="147" t="s">
        <v>136</v>
      </c>
      <c r="G766" s="147" t="s">
        <v>1225</v>
      </c>
      <c r="H766" s="148"/>
      <c r="I766" s="147" t="s">
        <v>136</v>
      </c>
      <c r="J766" s="150">
        <v>45525.63055555556</v>
      </c>
      <c r="K766" s="147" t="s">
        <v>139</v>
      </c>
      <c r="L766" s="7" t="s">
        <v>51</v>
      </c>
    </row>
    <row r="767">
      <c r="A767" s="146">
        <v>13.0</v>
      </c>
      <c r="B767" s="147" t="s">
        <v>6</v>
      </c>
      <c r="C767" s="147" t="s">
        <v>1844</v>
      </c>
      <c r="D767" s="147" t="s">
        <v>258</v>
      </c>
      <c r="E767" s="147" t="s">
        <v>136</v>
      </c>
      <c r="F767" s="147" t="s">
        <v>135</v>
      </c>
      <c r="G767" s="147" t="s">
        <v>767</v>
      </c>
      <c r="H767" s="147" t="s">
        <v>1845</v>
      </c>
      <c r="I767" s="147" t="s">
        <v>136</v>
      </c>
      <c r="J767" s="150">
        <v>45516.972916666666</v>
      </c>
      <c r="K767" s="147" t="s">
        <v>139</v>
      </c>
      <c r="L767" s="7" t="s">
        <v>51</v>
      </c>
    </row>
    <row r="768">
      <c r="A768" s="153">
        <v>36.0</v>
      </c>
      <c r="B768" s="154" t="s">
        <v>7</v>
      </c>
      <c r="C768" s="154" t="s">
        <v>338</v>
      </c>
      <c r="D768" s="154" t="s">
        <v>143</v>
      </c>
      <c r="E768" s="154" t="s">
        <v>135</v>
      </c>
      <c r="F768" s="154" t="s">
        <v>136</v>
      </c>
      <c r="G768" s="154" t="s">
        <v>349</v>
      </c>
      <c r="H768" s="155"/>
      <c r="I768" s="154" t="s">
        <v>135</v>
      </c>
      <c r="J768" s="154" t="s">
        <v>1846</v>
      </c>
      <c r="K768" s="154" t="s">
        <v>139</v>
      </c>
      <c r="L768" s="156" t="s">
        <v>71</v>
      </c>
    </row>
    <row r="769">
      <c r="A769" s="153">
        <v>51.0</v>
      </c>
      <c r="B769" s="154" t="s">
        <v>6</v>
      </c>
      <c r="C769" s="154" t="s">
        <v>1847</v>
      </c>
      <c r="D769" s="154" t="s">
        <v>143</v>
      </c>
      <c r="E769" s="154" t="s">
        <v>135</v>
      </c>
      <c r="F769" s="154" t="s">
        <v>135</v>
      </c>
      <c r="G769" s="154" t="s">
        <v>1848</v>
      </c>
      <c r="H769" s="154" t="s">
        <v>1849</v>
      </c>
      <c r="I769" s="154" t="s">
        <v>136</v>
      </c>
      <c r="J769" s="154" t="s">
        <v>1850</v>
      </c>
      <c r="K769" s="154" t="s">
        <v>139</v>
      </c>
      <c r="L769" s="156" t="s">
        <v>71</v>
      </c>
    </row>
    <row r="770">
      <c r="A770" s="153">
        <v>60.0</v>
      </c>
      <c r="B770" s="154" t="s">
        <v>7</v>
      </c>
      <c r="C770" s="154" t="s">
        <v>973</v>
      </c>
      <c r="D770" s="154" t="s">
        <v>164</v>
      </c>
      <c r="E770" s="154" t="s">
        <v>135</v>
      </c>
      <c r="F770" s="154" t="s">
        <v>136</v>
      </c>
      <c r="G770" s="154" t="s">
        <v>137</v>
      </c>
      <c r="H770" s="155"/>
      <c r="I770" s="154" t="s">
        <v>135</v>
      </c>
      <c r="J770" s="154" t="s">
        <v>1851</v>
      </c>
      <c r="K770" s="154" t="s">
        <v>139</v>
      </c>
      <c r="L770" s="156" t="s">
        <v>71</v>
      </c>
    </row>
    <row r="771">
      <c r="A771" s="153">
        <v>55.0</v>
      </c>
      <c r="B771" s="154" t="s">
        <v>7</v>
      </c>
      <c r="C771" s="154" t="s">
        <v>1852</v>
      </c>
      <c r="D771" s="154" t="s">
        <v>143</v>
      </c>
      <c r="E771" s="154" t="s">
        <v>135</v>
      </c>
      <c r="F771" s="154" t="s">
        <v>136</v>
      </c>
      <c r="G771" s="154" t="s">
        <v>137</v>
      </c>
      <c r="H771" s="155"/>
      <c r="I771" s="154" t="s">
        <v>136</v>
      </c>
      <c r="J771" s="154" t="s">
        <v>1853</v>
      </c>
      <c r="K771" s="154" t="s">
        <v>139</v>
      </c>
      <c r="L771" s="156" t="s">
        <v>71</v>
      </c>
    </row>
    <row r="772">
      <c r="A772" s="153">
        <v>63.0</v>
      </c>
      <c r="B772" s="154" t="s">
        <v>6</v>
      </c>
      <c r="C772" s="154" t="s">
        <v>1329</v>
      </c>
      <c r="D772" s="154" t="s">
        <v>214</v>
      </c>
      <c r="E772" s="154" t="s">
        <v>135</v>
      </c>
      <c r="F772" s="154" t="s">
        <v>136</v>
      </c>
      <c r="G772" s="154" t="s">
        <v>150</v>
      </c>
      <c r="H772" s="155"/>
      <c r="I772" s="154" t="s">
        <v>136</v>
      </c>
      <c r="J772" s="154" t="s">
        <v>1854</v>
      </c>
      <c r="K772" s="154" t="s">
        <v>139</v>
      </c>
      <c r="L772" s="156" t="s">
        <v>71</v>
      </c>
    </row>
    <row r="773">
      <c r="A773" s="153">
        <v>6.0</v>
      </c>
      <c r="B773" s="154" t="s">
        <v>6</v>
      </c>
      <c r="C773" s="154" t="s">
        <v>1497</v>
      </c>
      <c r="D773" s="154" t="s">
        <v>165</v>
      </c>
      <c r="E773" s="154" t="s">
        <v>135</v>
      </c>
      <c r="F773" s="154" t="s">
        <v>135</v>
      </c>
      <c r="G773" s="154" t="s">
        <v>271</v>
      </c>
      <c r="H773" s="155"/>
      <c r="I773" s="154" t="s">
        <v>135</v>
      </c>
      <c r="J773" s="154" t="s">
        <v>1855</v>
      </c>
      <c r="K773" s="154" t="s">
        <v>139</v>
      </c>
      <c r="L773" s="156" t="s">
        <v>71</v>
      </c>
    </row>
    <row r="774">
      <c r="A774" s="153">
        <v>61.0</v>
      </c>
      <c r="B774" s="154" t="s">
        <v>6</v>
      </c>
      <c r="C774" s="154" t="s">
        <v>1497</v>
      </c>
      <c r="D774" s="154" t="s">
        <v>165</v>
      </c>
      <c r="E774" s="154" t="s">
        <v>135</v>
      </c>
      <c r="F774" s="154" t="s">
        <v>135</v>
      </c>
      <c r="G774" s="154" t="s">
        <v>1856</v>
      </c>
      <c r="H774" s="154" t="s">
        <v>1857</v>
      </c>
      <c r="I774" s="154" t="s">
        <v>135</v>
      </c>
      <c r="J774" s="154" t="s">
        <v>1858</v>
      </c>
      <c r="K774" s="154" t="s">
        <v>139</v>
      </c>
      <c r="L774" s="156" t="s">
        <v>71</v>
      </c>
    </row>
    <row r="775">
      <c r="A775" s="153">
        <v>23.0</v>
      </c>
      <c r="B775" s="154" t="s">
        <v>6</v>
      </c>
      <c r="C775" s="154" t="s">
        <v>1859</v>
      </c>
      <c r="D775" s="154" t="s">
        <v>187</v>
      </c>
      <c r="E775" s="154" t="s">
        <v>135</v>
      </c>
      <c r="F775" s="154" t="s">
        <v>136</v>
      </c>
      <c r="G775" s="154" t="s">
        <v>191</v>
      </c>
      <c r="H775" s="155"/>
      <c r="I775" s="154" t="s">
        <v>135</v>
      </c>
      <c r="J775" s="154" t="s">
        <v>1860</v>
      </c>
      <c r="K775" s="154" t="s">
        <v>139</v>
      </c>
      <c r="L775" s="156" t="s">
        <v>71</v>
      </c>
    </row>
    <row r="776">
      <c r="A776" s="153">
        <v>13.0</v>
      </c>
      <c r="B776" s="154" t="s">
        <v>6</v>
      </c>
      <c r="C776" s="154" t="s">
        <v>1861</v>
      </c>
      <c r="D776" s="154" t="s">
        <v>177</v>
      </c>
      <c r="E776" s="154" t="s">
        <v>135</v>
      </c>
      <c r="F776" s="154" t="s">
        <v>136</v>
      </c>
      <c r="G776" s="154" t="s">
        <v>1862</v>
      </c>
      <c r="H776" s="154" t="s">
        <v>1863</v>
      </c>
      <c r="I776" s="154" t="s">
        <v>135</v>
      </c>
      <c r="J776" s="154" t="s">
        <v>1864</v>
      </c>
      <c r="K776" s="154" t="s">
        <v>139</v>
      </c>
      <c r="L776" s="156" t="s">
        <v>71</v>
      </c>
    </row>
    <row r="777">
      <c r="A777" s="153">
        <v>37.0</v>
      </c>
      <c r="B777" s="154" t="s">
        <v>7</v>
      </c>
      <c r="C777" s="154" t="s">
        <v>338</v>
      </c>
      <c r="D777" s="154" t="s">
        <v>143</v>
      </c>
      <c r="E777" s="154" t="s">
        <v>136</v>
      </c>
      <c r="F777" s="154" t="s">
        <v>136</v>
      </c>
      <c r="G777" s="154" t="s">
        <v>137</v>
      </c>
      <c r="H777" s="155"/>
      <c r="I777" s="154" t="s">
        <v>135</v>
      </c>
      <c r="J777" s="154" t="s">
        <v>1865</v>
      </c>
      <c r="K777" s="154" t="s">
        <v>139</v>
      </c>
      <c r="L777" s="156" t="s">
        <v>71</v>
      </c>
    </row>
    <row r="778">
      <c r="A778" s="153">
        <v>52.0</v>
      </c>
      <c r="B778" s="154" t="s">
        <v>7</v>
      </c>
      <c r="C778" s="154" t="s">
        <v>913</v>
      </c>
      <c r="D778" s="154" t="s">
        <v>153</v>
      </c>
      <c r="E778" s="154" t="s">
        <v>136</v>
      </c>
      <c r="F778" s="154" t="s">
        <v>135</v>
      </c>
      <c r="G778" s="154" t="s">
        <v>1866</v>
      </c>
      <c r="H778" s="154" t="s">
        <v>1867</v>
      </c>
      <c r="I778" s="154" t="s">
        <v>135</v>
      </c>
      <c r="J778" s="154" t="s">
        <v>1868</v>
      </c>
      <c r="K778" s="154" t="s">
        <v>139</v>
      </c>
      <c r="L778" s="156" t="s">
        <v>71</v>
      </c>
    </row>
    <row r="779">
      <c r="A779" s="153">
        <v>43.0</v>
      </c>
      <c r="B779" s="154" t="s">
        <v>6</v>
      </c>
      <c r="C779" s="154" t="s">
        <v>887</v>
      </c>
      <c r="D779" s="154" t="s">
        <v>153</v>
      </c>
      <c r="E779" s="154" t="s">
        <v>135</v>
      </c>
      <c r="F779" s="154" t="s">
        <v>136</v>
      </c>
      <c r="G779" s="154" t="s">
        <v>316</v>
      </c>
      <c r="H779" s="155"/>
      <c r="I779" s="154" t="s">
        <v>136</v>
      </c>
      <c r="J779" s="154" t="s">
        <v>1869</v>
      </c>
      <c r="K779" s="154" t="s">
        <v>139</v>
      </c>
      <c r="L779" s="156" t="s">
        <v>71</v>
      </c>
    </row>
    <row r="780">
      <c r="A780" s="153">
        <v>75.0</v>
      </c>
      <c r="B780" s="154" t="s">
        <v>7</v>
      </c>
      <c r="C780" s="154" t="s">
        <v>1870</v>
      </c>
      <c r="D780" s="154" t="s">
        <v>202</v>
      </c>
      <c r="E780" s="154" t="s">
        <v>135</v>
      </c>
      <c r="F780" s="154" t="s">
        <v>136</v>
      </c>
      <c r="G780" s="154" t="s">
        <v>137</v>
      </c>
      <c r="H780" s="155"/>
      <c r="I780" s="154" t="s">
        <v>136</v>
      </c>
      <c r="J780" s="154" t="s">
        <v>1871</v>
      </c>
      <c r="K780" s="154" t="s">
        <v>139</v>
      </c>
      <c r="L780" s="156" t="s">
        <v>71</v>
      </c>
    </row>
    <row r="781">
      <c r="A781" s="153">
        <v>3.0</v>
      </c>
      <c r="B781" s="154" t="s">
        <v>6</v>
      </c>
      <c r="C781" s="154" t="s">
        <v>486</v>
      </c>
      <c r="D781" s="154" t="s">
        <v>219</v>
      </c>
      <c r="E781" s="154" t="s">
        <v>135</v>
      </c>
      <c r="F781" s="154" t="s">
        <v>136</v>
      </c>
      <c r="G781" s="154" t="s">
        <v>1872</v>
      </c>
      <c r="H781" s="155"/>
      <c r="I781" s="154" t="s">
        <v>136</v>
      </c>
      <c r="J781" s="154" t="s">
        <v>1873</v>
      </c>
      <c r="K781" s="154" t="s">
        <v>139</v>
      </c>
      <c r="L781" s="156" t="s">
        <v>71</v>
      </c>
    </row>
    <row r="782">
      <c r="A782" s="153">
        <v>26.0</v>
      </c>
      <c r="B782" s="154" t="s">
        <v>6</v>
      </c>
      <c r="C782" s="154" t="s">
        <v>1874</v>
      </c>
      <c r="D782" s="154" t="s">
        <v>143</v>
      </c>
      <c r="E782" s="154" t="s">
        <v>136</v>
      </c>
      <c r="F782" s="154" t="s">
        <v>136</v>
      </c>
      <c r="G782" s="154" t="s">
        <v>650</v>
      </c>
      <c r="H782" s="154" t="s">
        <v>349</v>
      </c>
      <c r="I782" s="154" t="s">
        <v>136</v>
      </c>
      <c r="J782" s="154" t="s">
        <v>1875</v>
      </c>
      <c r="K782" s="154" t="s">
        <v>139</v>
      </c>
      <c r="L782" s="156" t="s">
        <v>71</v>
      </c>
    </row>
    <row r="783">
      <c r="A783" s="153">
        <v>50.0</v>
      </c>
      <c r="B783" s="154" t="s">
        <v>6</v>
      </c>
      <c r="C783" s="154" t="s">
        <v>338</v>
      </c>
      <c r="D783" s="154" t="s">
        <v>143</v>
      </c>
      <c r="E783" s="154" t="s">
        <v>136</v>
      </c>
      <c r="F783" s="154" t="s">
        <v>136</v>
      </c>
      <c r="G783" s="154" t="s">
        <v>137</v>
      </c>
      <c r="H783" s="155"/>
      <c r="I783" s="154" t="s">
        <v>136</v>
      </c>
      <c r="J783" s="154" t="s">
        <v>1876</v>
      </c>
      <c r="K783" s="154" t="s">
        <v>139</v>
      </c>
      <c r="L783" s="156" t="s">
        <v>71</v>
      </c>
    </row>
    <row r="784">
      <c r="A784" s="153">
        <v>45.0</v>
      </c>
      <c r="B784" s="154" t="s">
        <v>6</v>
      </c>
      <c r="C784" s="154" t="s">
        <v>338</v>
      </c>
      <c r="D784" s="154" t="s">
        <v>143</v>
      </c>
      <c r="E784" s="154" t="s">
        <v>136</v>
      </c>
      <c r="F784" s="154" t="s">
        <v>136</v>
      </c>
      <c r="G784" s="154" t="s">
        <v>221</v>
      </c>
      <c r="H784" s="154" t="s">
        <v>1877</v>
      </c>
      <c r="I784" s="154" t="s">
        <v>135</v>
      </c>
      <c r="J784" s="154" t="s">
        <v>1878</v>
      </c>
      <c r="K784" s="154" t="s">
        <v>139</v>
      </c>
      <c r="L784" s="156" t="s">
        <v>71</v>
      </c>
    </row>
    <row r="785">
      <c r="A785" s="153">
        <v>8.0</v>
      </c>
      <c r="B785" s="154" t="s">
        <v>7</v>
      </c>
      <c r="C785" s="154" t="s">
        <v>338</v>
      </c>
      <c r="D785" s="154" t="s">
        <v>143</v>
      </c>
      <c r="E785" s="154" t="s">
        <v>135</v>
      </c>
      <c r="F785" s="154" t="s">
        <v>136</v>
      </c>
      <c r="G785" s="154" t="s">
        <v>180</v>
      </c>
      <c r="H785" s="155"/>
      <c r="I785" s="154" t="s">
        <v>135</v>
      </c>
      <c r="J785" s="154" t="s">
        <v>1879</v>
      </c>
      <c r="K785" s="154" t="s">
        <v>139</v>
      </c>
      <c r="L785" s="156" t="s">
        <v>71</v>
      </c>
    </row>
    <row r="786">
      <c r="A786" s="153">
        <v>35.0</v>
      </c>
      <c r="B786" s="154" t="s">
        <v>7</v>
      </c>
      <c r="C786" s="154" t="s">
        <v>315</v>
      </c>
      <c r="D786" s="154" t="s">
        <v>164</v>
      </c>
      <c r="E786" s="154" t="s">
        <v>135</v>
      </c>
      <c r="F786" s="154" t="s">
        <v>136</v>
      </c>
      <c r="G786" s="154" t="s">
        <v>168</v>
      </c>
      <c r="H786" s="155"/>
      <c r="I786" s="154" t="s">
        <v>136</v>
      </c>
      <c r="J786" s="154" t="s">
        <v>1880</v>
      </c>
      <c r="K786" s="154" t="s">
        <v>139</v>
      </c>
      <c r="L786" s="156" t="s">
        <v>71</v>
      </c>
    </row>
    <row r="787">
      <c r="A787" s="153">
        <v>72.0</v>
      </c>
      <c r="B787" s="154" t="s">
        <v>6</v>
      </c>
      <c r="C787" s="154" t="s">
        <v>1698</v>
      </c>
      <c r="D787" s="154" t="s">
        <v>202</v>
      </c>
      <c r="E787" s="154" t="s">
        <v>136</v>
      </c>
      <c r="F787" s="154" t="s">
        <v>136</v>
      </c>
      <c r="G787" s="154" t="s">
        <v>221</v>
      </c>
      <c r="H787" s="155"/>
      <c r="I787" s="154" t="s">
        <v>136</v>
      </c>
      <c r="J787" s="154" t="s">
        <v>1881</v>
      </c>
      <c r="K787" s="154" t="s">
        <v>139</v>
      </c>
      <c r="L787" s="156" t="s">
        <v>71</v>
      </c>
    </row>
    <row r="788">
      <c r="A788" s="153">
        <v>58.0</v>
      </c>
      <c r="B788" s="154" t="s">
        <v>6</v>
      </c>
      <c r="C788" s="154" t="s">
        <v>1882</v>
      </c>
      <c r="D788" s="154" t="s">
        <v>134</v>
      </c>
      <c r="E788" s="154" t="s">
        <v>135</v>
      </c>
      <c r="F788" s="154" t="s">
        <v>135</v>
      </c>
      <c r="G788" s="154" t="s">
        <v>1789</v>
      </c>
      <c r="H788" s="155"/>
      <c r="I788" s="154" t="s">
        <v>136</v>
      </c>
      <c r="J788" s="154" t="s">
        <v>1883</v>
      </c>
      <c r="K788" s="154" t="s">
        <v>139</v>
      </c>
      <c r="L788" s="156" t="s">
        <v>71</v>
      </c>
    </row>
    <row r="789">
      <c r="A789" s="153">
        <v>1.0</v>
      </c>
      <c r="B789" s="154" t="s">
        <v>7</v>
      </c>
      <c r="C789" s="154" t="s">
        <v>195</v>
      </c>
      <c r="D789" s="154" t="s">
        <v>164</v>
      </c>
      <c r="E789" s="154" t="s">
        <v>136</v>
      </c>
      <c r="F789" s="154" t="s">
        <v>136</v>
      </c>
      <c r="G789" s="154" t="s">
        <v>174</v>
      </c>
      <c r="H789" s="155"/>
      <c r="I789" s="154" t="s">
        <v>135</v>
      </c>
      <c r="J789" s="154" t="s">
        <v>1884</v>
      </c>
      <c r="K789" s="154" t="s">
        <v>139</v>
      </c>
      <c r="L789" s="156" t="s">
        <v>71</v>
      </c>
    </row>
    <row r="790">
      <c r="A790" s="153">
        <v>73.0</v>
      </c>
      <c r="B790" s="154" t="s">
        <v>7</v>
      </c>
      <c r="C790" s="154" t="s">
        <v>668</v>
      </c>
      <c r="D790" s="154" t="s">
        <v>143</v>
      </c>
      <c r="E790" s="154" t="s">
        <v>136</v>
      </c>
      <c r="F790" s="154" t="s">
        <v>136</v>
      </c>
      <c r="G790" s="154" t="s">
        <v>137</v>
      </c>
      <c r="H790" s="154" t="s">
        <v>1885</v>
      </c>
      <c r="I790" s="154" t="s">
        <v>135</v>
      </c>
      <c r="J790" s="154" t="s">
        <v>1886</v>
      </c>
      <c r="K790" s="154" t="s">
        <v>139</v>
      </c>
      <c r="L790" s="156" t="s">
        <v>71</v>
      </c>
    </row>
    <row r="791">
      <c r="A791" s="153">
        <v>56.0</v>
      </c>
      <c r="B791" s="154" t="s">
        <v>6</v>
      </c>
      <c r="C791" s="154" t="s">
        <v>1887</v>
      </c>
      <c r="D791" s="154" t="s">
        <v>143</v>
      </c>
      <c r="E791" s="154" t="s">
        <v>135</v>
      </c>
      <c r="F791" s="154" t="s">
        <v>135</v>
      </c>
      <c r="G791" s="154" t="s">
        <v>1888</v>
      </c>
      <c r="H791" s="155"/>
      <c r="I791" s="154" t="s">
        <v>136</v>
      </c>
      <c r="J791" s="154" t="s">
        <v>1889</v>
      </c>
      <c r="K791" s="154" t="s">
        <v>139</v>
      </c>
      <c r="L791" s="156" t="s">
        <v>71</v>
      </c>
    </row>
    <row r="792">
      <c r="A792" s="153">
        <v>77.0</v>
      </c>
      <c r="B792" s="154" t="s">
        <v>6</v>
      </c>
      <c r="C792" s="154" t="s">
        <v>280</v>
      </c>
      <c r="D792" s="154" t="s">
        <v>202</v>
      </c>
      <c r="E792" s="154" t="s">
        <v>136</v>
      </c>
      <c r="F792" s="154" t="s">
        <v>136</v>
      </c>
      <c r="G792" s="154" t="s">
        <v>1042</v>
      </c>
      <c r="H792" s="155"/>
      <c r="I792" s="154" t="s">
        <v>136</v>
      </c>
      <c r="J792" s="157">
        <v>45597.59930555556</v>
      </c>
      <c r="K792" s="154" t="s">
        <v>139</v>
      </c>
      <c r="L792" s="156" t="s">
        <v>71</v>
      </c>
    </row>
    <row r="793">
      <c r="A793" s="153">
        <v>33.0</v>
      </c>
      <c r="B793" s="154" t="s">
        <v>7</v>
      </c>
      <c r="C793" s="154" t="s">
        <v>1890</v>
      </c>
      <c r="D793" s="154" t="s">
        <v>143</v>
      </c>
      <c r="E793" s="154" t="s">
        <v>135</v>
      </c>
      <c r="F793" s="154" t="s">
        <v>136</v>
      </c>
      <c r="G793" s="154" t="s">
        <v>401</v>
      </c>
      <c r="H793" s="155"/>
      <c r="I793" s="154" t="s">
        <v>136</v>
      </c>
      <c r="J793" s="154" t="s">
        <v>1891</v>
      </c>
      <c r="K793" s="154" t="s">
        <v>139</v>
      </c>
      <c r="L793" s="156" t="s">
        <v>71</v>
      </c>
    </row>
    <row r="794">
      <c r="A794" s="153">
        <v>49.0</v>
      </c>
      <c r="B794" s="154" t="s">
        <v>6</v>
      </c>
      <c r="C794" s="154" t="s">
        <v>1892</v>
      </c>
      <c r="D794" s="154" t="s">
        <v>143</v>
      </c>
      <c r="E794" s="154" t="s">
        <v>135</v>
      </c>
      <c r="F794" s="154" t="s">
        <v>136</v>
      </c>
      <c r="G794" s="154" t="s">
        <v>150</v>
      </c>
      <c r="H794" s="155"/>
      <c r="I794" s="154" t="s">
        <v>136</v>
      </c>
      <c r="J794" s="154" t="s">
        <v>1893</v>
      </c>
      <c r="K794" s="154" t="s">
        <v>139</v>
      </c>
      <c r="L794" s="156" t="s">
        <v>71</v>
      </c>
    </row>
    <row r="795">
      <c r="A795" s="153">
        <v>78.0</v>
      </c>
      <c r="B795" s="154" t="s">
        <v>6</v>
      </c>
      <c r="C795" s="154" t="s">
        <v>668</v>
      </c>
      <c r="D795" s="154" t="s">
        <v>143</v>
      </c>
      <c r="E795" s="154" t="s">
        <v>135</v>
      </c>
      <c r="F795" s="154" t="s">
        <v>136</v>
      </c>
      <c r="G795" s="154" t="s">
        <v>594</v>
      </c>
      <c r="H795" s="155"/>
      <c r="I795" s="154" t="s">
        <v>135</v>
      </c>
      <c r="J795" s="157">
        <v>45598.69861111111</v>
      </c>
      <c r="K795" s="154" t="s">
        <v>139</v>
      </c>
      <c r="L795" s="156" t="s">
        <v>71</v>
      </c>
    </row>
    <row r="796">
      <c r="A796" s="153">
        <v>70.0</v>
      </c>
      <c r="B796" s="154" t="s">
        <v>7</v>
      </c>
      <c r="C796" s="154" t="s">
        <v>1894</v>
      </c>
      <c r="D796" s="154" t="s">
        <v>327</v>
      </c>
      <c r="E796" s="154" t="s">
        <v>136</v>
      </c>
      <c r="F796" s="154" t="s">
        <v>135</v>
      </c>
      <c r="G796" s="154" t="s">
        <v>150</v>
      </c>
      <c r="H796" s="155"/>
      <c r="I796" s="154" t="s">
        <v>136</v>
      </c>
      <c r="J796" s="154" t="s">
        <v>1895</v>
      </c>
      <c r="K796" s="154" t="s">
        <v>139</v>
      </c>
      <c r="L796" s="156" t="s">
        <v>71</v>
      </c>
    </row>
    <row r="797">
      <c r="A797" s="153">
        <v>31.0</v>
      </c>
      <c r="B797" s="154" t="s">
        <v>6</v>
      </c>
      <c r="C797" s="154" t="s">
        <v>1896</v>
      </c>
      <c r="D797" s="154" t="s">
        <v>177</v>
      </c>
      <c r="E797" s="154" t="s">
        <v>135</v>
      </c>
      <c r="F797" s="154" t="s">
        <v>135</v>
      </c>
      <c r="G797" s="154" t="s">
        <v>221</v>
      </c>
      <c r="H797" s="155"/>
      <c r="I797" s="154" t="s">
        <v>135</v>
      </c>
      <c r="J797" s="154" t="s">
        <v>1897</v>
      </c>
      <c r="K797" s="154" t="s">
        <v>139</v>
      </c>
      <c r="L797" s="156" t="s">
        <v>71</v>
      </c>
    </row>
    <row r="798">
      <c r="A798" s="153">
        <v>18.0</v>
      </c>
      <c r="B798" s="154" t="s">
        <v>6</v>
      </c>
      <c r="C798" s="154" t="s">
        <v>1398</v>
      </c>
      <c r="D798" s="154" t="s">
        <v>213</v>
      </c>
      <c r="E798" s="154" t="s">
        <v>136</v>
      </c>
      <c r="F798" s="154" t="s">
        <v>136</v>
      </c>
      <c r="G798" s="154" t="s">
        <v>335</v>
      </c>
      <c r="H798" s="155"/>
      <c r="I798" s="154" t="s">
        <v>135</v>
      </c>
      <c r="J798" s="154" t="s">
        <v>1898</v>
      </c>
      <c r="K798" s="154" t="s">
        <v>139</v>
      </c>
      <c r="L798" s="156" t="s">
        <v>71</v>
      </c>
    </row>
    <row r="799">
      <c r="A799" s="153">
        <v>41.0</v>
      </c>
      <c r="B799" s="154" t="s">
        <v>7</v>
      </c>
      <c r="C799" s="154" t="s">
        <v>153</v>
      </c>
      <c r="D799" s="154" t="s">
        <v>153</v>
      </c>
      <c r="E799" s="154" t="s">
        <v>135</v>
      </c>
      <c r="F799" s="154" t="s">
        <v>135</v>
      </c>
      <c r="G799" s="154" t="s">
        <v>472</v>
      </c>
      <c r="H799" s="154" t="s">
        <v>1899</v>
      </c>
      <c r="I799" s="154" t="s">
        <v>136</v>
      </c>
      <c r="J799" s="154" t="s">
        <v>1900</v>
      </c>
      <c r="K799" s="154" t="s">
        <v>139</v>
      </c>
      <c r="L799" s="156" t="s">
        <v>71</v>
      </c>
    </row>
    <row r="800">
      <c r="A800" s="153">
        <v>22.0</v>
      </c>
      <c r="B800" s="154" t="s">
        <v>6</v>
      </c>
      <c r="C800" s="154" t="s">
        <v>1901</v>
      </c>
      <c r="D800" s="154" t="s">
        <v>143</v>
      </c>
      <c r="E800" s="154" t="s">
        <v>135</v>
      </c>
      <c r="F800" s="154" t="s">
        <v>136</v>
      </c>
      <c r="G800" s="154" t="s">
        <v>401</v>
      </c>
      <c r="H800" s="155"/>
      <c r="I800" s="154" t="s">
        <v>136</v>
      </c>
      <c r="J800" s="154" t="s">
        <v>1902</v>
      </c>
      <c r="K800" s="154" t="s">
        <v>139</v>
      </c>
      <c r="L800" s="156" t="s">
        <v>71</v>
      </c>
    </row>
    <row r="801">
      <c r="A801" s="153">
        <v>5.0</v>
      </c>
      <c r="B801" s="154" t="s">
        <v>7</v>
      </c>
      <c r="C801" s="154" t="s">
        <v>315</v>
      </c>
      <c r="D801" s="154" t="s">
        <v>164</v>
      </c>
      <c r="E801" s="154" t="s">
        <v>136</v>
      </c>
      <c r="F801" s="154" t="s">
        <v>136</v>
      </c>
      <c r="G801" s="154" t="s">
        <v>335</v>
      </c>
      <c r="H801" s="155"/>
      <c r="I801" s="154" t="s">
        <v>136</v>
      </c>
      <c r="J801" s="154" t="s">
        <v>1903</v>
      </c>
      <c r="K801" s="154" t="s">
        <v>139</v>
      </c>
      <c r="L801" s="156" t="s">
        <v>71</v>
      </c>
    </row>
    <row r="802">
      <c r="A802" s="153">
        <v>39.0</v>
      </c>
      <c r="B802" s="154" t="s">
        <v>7</v>
      </c>
      <c r="C802" s="154" t="s">
        <v>1398</v>
      </c>
      <c r="D802" s="154" t="s">
        <v>213</v>
      </c>
      <c r="E802" s="154" t="s">
        <v>135</v>
      </c>
      <c r="F802" s="154" t="s">
        <v>136</v>
      </c>
      <c r="G802" s="154" t="s">
        <v>137</v>
      </c>
      <c r="H802" s="155"/>
      <c r="I802" s="154" t="s">
        <v>135</v>
      </c>
      <c r="J802" s="154" t="s">
        <v>1904</v>
      </c>
      <c r="K802" s="154" t="s">
        <v>139</v>
      </c>
      <c r="L802" s="156" t="s">
        <v>71</v>
      </c>
    </row>
    <row r="803">
      <c r="A803" s="153">
        <v>65.0</v>
      </c>
      <c r="B803" s="154" t="s">
        <v>7</v>
      </c>
      <c r="C803" s="154" t="s">
        <v>1087</v>
      </c>
      <c r="D803" s="154" t="s">
        <v>202</v>
      </c>
      <c r="E803" s="154" t="s">
        <v>136</v>
      </c>
      <c r="F803" s="154" t="s">
        <v>136</v>
      </c>
      <c r="G803" s="154" t="s">
        <v>180</v>
      </c>
      <c r="H803" s="155"/>
      <c r="I803" s="154" t="s">
        <v>135</v>
      </c>
      <c r="J803" s="154" t="s">
        <v>1905</v>
      </c>
      <c r="K803" s="154" t="s">
        <v>139</v>
      </c>
      <c r="L803" s="156" t="s">
        <v>71</v>
      </c>
    </row>
    <row r="804">
      <c r="A804" s="153">
        <v>40.0</v>
      </c>
      <c r="B804" s="154" t="s">
        <v>6</v>
      </c>
      <c r="C804" s="154" t="s">
        <v>1906</v>
      </c>
      <c r="D804" s="154" t="s">
        <v>143</v>
      </c>
      <c r="E804" s="154" t="s">
        <v>135</v>
      </c>
      <c r="F804" s="154" t="s">
        <v>135</v>
      </c>
      <c r="G804" s="154" t="s">
        <v>1907</v>
      </c>
      <c r="H804" s="154" t="s">
        <v>1908</v>
      </c>
      <c r="I804" s="154" t="s">
        <v>136</v>
      </c>
      <c r="J804" s="154" t="s">
        <v>1909</v>
      </c>
      <c r="K804" s="154" t="s">
        <v>139</v>
      </c>
      <c r="L804" s="156" t="s">
        <v>71</v>
      </c>
    </row>
    <row r="805">
      <c r="A805" s="153">
        <v>68.0</v>
      </c>
      <c r="B805" s="154" t="s">
        <v>6</v>
      </c>
      <c r="C805" s="154" t="s">
        <v>1910</v>
      </c>
      <c r="D805" s="154" t="s">
        <v>143</v>
      </c>
      <c r="E805" s="154" t="s">
        <v>135</v>
      </c>
      <c r="F805" s="154" t="s">
        <v>136</v>
      </c>
      <c r="G805" s="154" t="s">
        <v>457</v>
      </c>
      <c r="H805" s="155"/>
      <c r="I805" s="154" t="s">
        <v>136</v>
      </c>
      <c r="J805" s="154" t="s">
        <v>1911</v>
      </c>
      <c r="K805" s="154" t="s">
        <v>139</v>
      </c>
      <c r="L805" s="156" t="s">
        <v>71</v>
      </c>
    </row>
    <row r="806">
      <c r="A806" s="153">
        <v>9.0</v>
      </c>
      <c r="B806" s="154" t="s">
        <v>6</v>
      </c>
      <c r="C806" s="154" t="s">
        <v>1398</v>
      </c>
      <c r="D806" s="154" t="s">
        <v>213</v>
      </c>
      <c r="E806" s="154" t="s">
        <v>136</v>
      </c>
      <c r="F806" s="154" t="s">
        <v>136</v>
      </c>
      <c r="G806" s="154" t="s">
        <v>367</v>
      </c>
      <c r="H806" s="154" t="s">
        <v>1912</v>
      </c>
      <c r="I806" s="154" t="s">
        <v>136</v>
      </c>
      <c r="J806" s="154" t="s">
        <v>1913</v>
      </c>
      <c r="K806" s="154" t="s">
        <v>139</v>
      </c>
      <c r="L806" s="156" t="s">
        <v>71</v>
      </c>
    </row>
    <row r="807">
      <c r="A807" s="153">
        <v>84.0</v>
      </c>
      <c r="B807" s="154" t="s">
        <v>6</v>
      </c>
      <c r="C807" s="154" t="s">
        <v>1087</v>
      </c>
      <c r="D807" s="154" t="s">
        <v>202</v>
      </c>
      <c r="E807" s="154" t="s">
        <v>136</v>
      </c>
      <c r="F807" s="154" t="s">
        <v>135</v>
      </c>
      <c r="G807" s="154" t="s">
        <v>271</v>
      </c>
      <c r="H807" s="155"/>
      <c r="I807" s="154" t="s">
        <v>136</v>
      </c>
      <c r="J807" s="157">
        <v>45600.381944444445</v>
      </c>
      <c r="K807" s="154" t="s">
        <v>139</v>
      </c>
      <c r="L807" s="156" t="s">
        <v>71</v>
      </c>
    </row>
    <row r="808">
      <c r="A808" s="153">
        <v>19.0</v>
      </c>
      <c r="B808" s="154" t="s">
        <v>6</v>
      </c>
      <c r="C808" s="154" t="s">
        <v>1914</v>
      </c>
      <c r="D808" s="154" t="s">
        <v>143</v>
      </c>
      <c r="E808" s="154" t="s">
        <v>136</v>
      </c>
      <c r="F808" s="154" t="s">
        <v>135</v>
      </c>
      <c r="G808" s="154" t="s">
        <v>1915</v>
      </c>
      <c r="H808" s="154" t="s">
        <v>1916</v>
      </c>
      <c r="I808" s="154" t="s">
        <v>136</v>
      </c>
      <c r="J808" s="154" t="s">
        <v>1917</v>
      </c>
      <c r="K808" s="154" t="s">
        <v>139</v>
      </c>
      <c r="L808" s="156" t="s">
        <v>71</v>
      </c>
    </row>
    <row r="809">
      <c r="A809" s="153">
        <v>28.0</v>
      </c>
      <c r="B809" s="154" t="s">
        <v>6</v>
      </c>
      <c r="C809" s="154" t="s">
        <v>342</v>
      </c>
      <c r="D809" s="154" t="s">
        <v>218</v>
      </c>
      <c r="E809" s="154" t="s">
        <v>136</v>
      </c>
      <c r="F809" s="154" t="s">
        <v>136</v>
      </c>
      <c r="G809" s="154" t="s">
        <v>650</v>
      </c>
      <c r="H809" s="155"/>
      <c r="I809" s="154" t="s">
        <v>135</v>
      </c>
      <c r="J809" s="154" t="s">
        <v>1918</v>
      </c>
      <c r="K809" s="154" t="s">
        <v>139</v>
      </c>
      <c r="L809" s="156" t="s">
        <v>71</v>
      </c>
    </row>
    <row r="810">
      <c r="A810" s="153">
        <v>4.0</v>
      </c>
      <c r="B810" s="154" t="s">
        <v>6</v>
      </c>
      <c r="C810" s="154" t="s">
        <v>1819</v>
      </c>
      <c r="D810" s="154" t="s">
        <v>268</v>
      </c>
      <c r="E810" s="154" t="s">
        <v>135</v>
      </c>
      <c r="F810" s="154" t="s">
        <v>136</v>
      </c>
      <c r="G810" s="154" t="s">
        <v>271</v>
      </c>
      <c r="H810" s="155"/>
      <c r="I810" s="154" t="s">
        <v>135</v>
      </c>
      <c r="J810" s="154" t="s">
        <v>1919</v>
      </c>
      <c r="K810" s="154" t="s">
        <v>139</v>
      </c>
      <c r="L810" s="156" t="s">
        <v>71</v>
      </c>
    </row>
    <row r="811">
      <c r="A811" s="153">
        <v>46.0</v>
      </c>
      <c r="B811" s="154" t="s">
        <v>6</v>
      </c>
      <c r="C811" s="154" t="s">
        <v>564</v>
      </c>
      <c r="D811" s="154" t="s">
        <v>268</v>
      </c>
      <c r="E811" s="154" t="s">
        <v>135</v>
      </c>
      <c r="F811" s="154" t="s">
        <v>136</v>
      </c>
      <c r="G811" s="154" t="s">
        <v>271</v>
      </c>
      <c r="H811" s="155"/>
      <c r="I811" s="154" t="s">
        <v>135</v>
      </c>
      <c r="J811" s="154" t="s">
        <v>1920</v>
      </c>
      <c r="K811" s="154" t="s">
        <v>139</v>
      </c>
      <c r="L811" s="156" t="s">
        <v>71</v>
      </c>
    </row>
    <row r="812">
      <c r="A812" s="153">
        <v>79.0</v>
      </c>
      <c r="B812" s="154" t="s">
        <v>7</v>
      </c>
      <c r="C812" s="154" t="s">
        <v>1921</v>
      </c>
      <c r="D812" s="154" t="s">
        <v>213</v>
      </c>
      <c r="E812" s="154" t="s">
        <v>135</v>
      </c>
      <c r="F812" s="154" t="s">
        <v>136</v>
      </c>
      <c r="G812" s="154" t="s">
        <v>137</v>
      </c>
      <c r="H812" s="155"/>
      <c r="I812" s="154" t="s">
        <v>136</v>
      </c>
      <c r="J812" s="157">
        <v>45598.72083333333</v>
      </c>
      <c r="K812" s="154" t="s">
        <v>139</v>
      </c>
      <c r="L812" s="156" t="s">
        <v>71</v>
      </c>
    </row>
    <row r="813">
      <c r="A813" s="153">
        <v>21.0</v>
      </c>
      <c r="B813" s="154" t="s">
        <v>6</v>
      </c>
      <c r="C813" s="154" t="s">
        <v>539</v>
      </c>
      <c r="D813" s="154" t="s">
        <v>290</v>
      </c>
      <c r="E813" s="154" t="s">
        <v>136</v>
      </c>
      <c r="F813" s="154" t="s">
        <v>136</v>
      </c>
      <c r="G813" s="154" t="s">
        <v>137</v>
      </c>
      <c r="H813" s="154" t="s">
        <v>1922</v>
      </c>
      <c r="I813" s="154" t="s">
        <v>136</v>
      </c>
      <c r="J813" s="154" t="s">
        <v>1923</v>
      </c>
      <c r="K813" s="154" t="s">
        <v>139</v>
      </c>
      <c r="L813" s="156" t="s">
        <v>71</v>
      </c>
    </row>
    <row r="814">
      <c r="A814" s="153">
        <v>16.0</v>
      </c>
      <c r="B814" s="154" t="s">
        <v>6</v>
      </c>
      <c r="C814" s="154" t="s">
        <v>1007</v>
      </c>
      <c r="D814" s="154" t="s">
        <v>369</v>
      </c>
      <c r="E814" s="154" t="s">
        <v>135</v>
      </c>
      <c r="F814" s="154" t="s">
        <v>136</v>
      </c>
      <c r="G814" s="154" t="s">
        <v>1924</v>
      </c>
      <c r="H814" s="155"/>
      <c r="I814" s="154" t="s">
        <v>136</v>
      </c>
      <c r="J814" s="154" t="s">
        <v>1925</v>
      </c>
      <c r="K814" s="154" t="s">
        <v>139</v>
      </c>
      <c r="L814" s="156" t="s">
        <v>71</v>
      </c>
    </row>
    <row r="815">
      <c r="A815" s="153">
        <v>71.0</v>
      </c>
      <c r="B815" s="154" t="s">
        <v>6</v>
      </c>
      <c r="C815" s="154" t="s">
        <v>1926</v>
      </c>
      <c r="D815" s="154" t="s">
        <v>400</v>
      </c>
      <c r="E815" s="154" t="s">
        <v>135</v>
      </c>
      <c r="F815" s="154" t="s">
        <v>135</v>
      </c>
      <c r="G815" s="154" t="s">
        <v>157</v>
      </c>
      <c r="H815" s="155"/>
      <c r="I815" s="154" t="s">
        <v>136</v>
      </c>
      <c r="J815" s="154" t="s">
        <v>1927</v>
      </c>
      <c r="K815" s="154" t="s">
        <v>139</v>
      </c>
      <c r="L815" s="156" t="s">
        <v>71</v>
      </c>
    </row>
    <row r="816">
      <c r="A816" s="153">
        <v>69.0</v>
      </c>
      <c r="B816" s="154" t="s">
        <v>7</v>
      </c>
      <c r="C816" s="154" t="s">
        <v>1448</v>
      </c>
      <c r="D816" s="154" t="s">
        <v>202</v>
      </c>
      <c r="E816" s="154" t="s">
        <v>135</v>
      </c>
      <c r="F816" s="154" t="s">
        <v>136</v>
      </c>
      <c r="G816" s="154" t="s">
        <v>367</v>
      </c>
      <c r="H816" s="155"/>
      <c r="I816" s="154" t="s">
        <v>135</v>
      </c>
      <c r="J816" s="154" t="s">
        <v>1928</v>
      </c>
      <c r="K816" s="154" t="s">
        <v>139</v>
      </c>
      <c r="L816" s="156" t="s">
        <v>71</v>
      </c>
    </row>
    <row r="817">
      <c r="A817" s="153">
        <v>85.0</v>
      </c>
      <c r="B817" s="154" t="s">
        <v>6</v>
      </c>
      <c r="C817" s="154" t="s">
        <v>1929</v>
      </c>
      <c r="D817" s="154" t="s">
        <v>143</v>
      </c>
      <c r="E817" s="154" t="s">
        <v>135</v>
      </c>
      <c r="F817" s="154" t="s">
        <v>136</v>
      </c>
      <c r="G817" s="154" t="s">
        <v>137</v>
      </c>
      <c r="H817" s="155"/>
      <c r="I817" s="154" t="s">
        <v>135</v>
      </c>
      <c r="J817" s="157">
        <v>45600.42361111111</v>
      </c>
      <c r="K817" s="154" t="s">
        <v>139</v>
      </c>
      <c r="L817" s="156" t="s">
        <v>71</v>
      </c>
    </row>
    <row r="818">
      <c r="A818" s="153">
        <v>11.0</v>
      </c>
      <c r="B818" s="154" t="s">
        <v>6</v>
      </c>
      <c r="C818" s="154" t="s">
        <v>1033</v>
      </c>
      <c r="D818" s="154" t="s">
        <v>143</v>
      </c>
      <c r="E818" s="154" t="s">
        <v>135</v>
      </c>
      <c r="F818" s="154" t="s">
        <v>136</v>
      </c>
      <c r="G818" s="154" t="s">
        <v>606</v>
      </c>
      <c r="H818" s="155"/>
      <c r="I818" s="154" t="s">
        <v>135</v>
      </c>
      <c r="J818" s="154" t="s">
        <v>1930</v>
      </c>
      <c r="K818" s="154" t="s">
        <v>139</v>
      </c>
      <c r="L818" s="156" t="s">
        <v>71</v>
      </c>
    </row>
    <row r="819">
      <c r="A819" s="153">
        <v>29.0</v>
      </c>
      <c r="B819" s="154" t="s">
        <v>6</v>
      </c>
      <c r="C819" s="154" t="s">
        <v>1931</v>
      </c>
      <c r="D819" s="154" t="s">
        <v>352</v>
      </c>
      <c r="E819" s="154" t="s">
        <v>135</v>
      </c>
      <c r="F819" s="154" t="s">
        <v>136</v>
      </c>
      <c r="G819" s="154" t="s">
        <v>460</v>
      </c>
      <c r="H819" s="155"/>
      <c r="I819" s="154" t="s">
        <v>135</v>
      </c>
      <c r="J819" s="154" t="s">
        <v>1932</v>
      </c>
      <c r="K819" s="154" t="s">
        <v>139</v>
      </c>
      <c r="L819" s="156" t="s">
        <v>71</v>
      </c>
    </row>
    <row r="820">
      <c r="A820" s="153">
        <v>15.0</v>
      </c>
      <c r="B820" s="154" t="s">
        <v>6</v>
      </c>
      <c r="C820" s="154" t="s">
        <v>1933</v>
      </c>
      <c r="D820" s="154" t="s">
        <v>290</v>
      </c>
      <c r="E820" s="154" t="s">
        <v>135</v>
      </c>
      <c r="F820" s="154" t="s">
        <v>136</v>
      </c>
      <c r="G820" s="154" t="s">
        <v>191</v>
      </c>
      <c r="H820" s="155"/>
      <c r="I820" s="154" t="s">
        <v>135</v>
      </c>
      <c r="J820" s="154" t="s">
        <v>1934</v>
      </c>
      <c r="K820" s="154" t="s">
        <v>139</v>
      </c>
      <c r="L820" s="156" t="s">
        <v>71</v>
      </c>
    </row>
    <row r="821">
      <c r="A821" s="153">
        <v>48.0</v>
      </c>
      <c r="B821" s="154" t="s">
        <v>7</v>
      </c>
      <c r="C821" s="154" t="s">
        <v>1935</v>
      </c>
      <c r="D821" s="154" t="s">
        <v>159</v>
      </c>
      <c r="E821" s="154" t="s">
        <v>135</v>
      </c>
      <c r="F821" s="154" t="s">
        <v>136</v>
      </c>
      <c r="G821" s="154" t="s">
        <v>401</v>
      </c>
      <c r="H821" s="154" t="s">
        <v>1936</v>
      </c>
      <c r="I821" s="154" t="s">
        <v>135</v>
      </c>
      <c r="J821" s="154" t="s">
        <v>1937</v>
      </c>
      <c r="K821" s="154" t="s">
        <v>139</v>
      </c>
      <c r="L821" s="156" t="s">
        <v>71</v>
      </c>
    </row>
    <row r="822">
      <c r="A822" s="153">
        <v>2.0</v>
      </c>
      <c r="B822" s="154" t="s">
        <v>6</v>
      </c>
      <c r="C822" s="154" t="s">
        <v>1938</v>
      </c>
      <c r="D822" s="154" t="s">
        <v>164</v>
      </c>
      <c r="E822" s="154" t="s">
        <v>135</v>
      </c>
      <c r="F822" s="154" t="s">
        <v>136</v>
      </c>
      <c r="G822" s="154" t="s">
        <v>1939</v>
      </c>
      <c r="H822" s="155"/>
      <c r="I822" s="154" t="s">
        <v>136</v>
      </c>
      <c r="J822" s="154" t="s">
        <v>1940</v>
      </c>
      <c r="K822" s="154" t="s">
        <v>139</v>
      </c>
      <c r="L822" s="156" t="s">
        <v>71</v>
      </c>
    </row>
    <row r="823">
      <c r="A823" s="153">
        <v>54.0</v>
      </c>
      <c r="B823" s="154" t="s">
        <v>7</v>
      </c>
      <c r="C823" s="154" t="s">
        <v>1941</v>
      </c>
      <c r="D823" s="154" t="s">
        <v>143</v>
      </c>
      <c r="E823" s="154" t="s">
        <v>135</v>
      </c>
      <c r="F823" s="154" t="s">
        <v>136</v>
      </c>
      <c r="G823" s="154" t="s">
        <v>367</v>
      </c>
      <c r="H823" s="155"/>
      <c r="I823" s="154" t="s">
        <v>136</v>
      </c>
      <c r="J823" s="154" t="s">
        <v>1942</v>
      </c>
      <c r="K823" s="154" t="s">
        <v>139</v>
      </c>
      <c r="L823" s="156" t="s">
        <v>71</v>
      </c>
    </row>
    <row r="824">
      <c r="A824" s="153">
        <v>64.0</v>
      </c>
      <c r="B824" s="154" t="s">
        <v>6</v>
      </c>
      <c r="C824" s="154" t="s">
        <v>334</v>
      </c>
      <c r="D824" s="154" t="s">
        <v>228</v>
      </c>
      <c r="E824" s="154" t="s">
        <v>136</v>
      </c>
      <c r="F824" s="154" t="s">
        <v>136</v>
      </c>
      <c r="G824" s="154" t="s">
        <v>320</v>
      </c>
      <c r="H824" s="155"/>
      <c r="I824" s="154" t="s">
        <v>135</v>
      </c>
      <c r="J824" s="154" t="s">
        <v>1943</v>
      </c>
      <c r="K824" s="154" t="s">
        <v>139</v>
      </c>
      <c r="L824" s="156" t="s">
        <v>71</v>
      </c>
    </row>
    <row r="825">
      <c r="A825" s="153">
        <v>62.0</v>
      </c>
      <c r="B825" s="154" t="s">
        <v>6</v>
      </c>
      <c r="C825" s="154" t="s">
        <v>471</v>
      </c>
      <c r="D825" s="154" t="s">
        <v>243</v>
      </c>
      <c r="E825" s="154" t="s">
        <v>135</v>
      </c>
      <c r="F825" s="154" t="s">
        <v>135</v>
      </c>
      <c r="G825" s="154" t="s">
        <v>191</v>
      </c>
      <c r="H825" s="155"/>
      <c r="I825" s="154" t="s">
        <v>135</v>
      </c>
      <c r="J825" s="154" t="s">
        <v>1944</v>
      </c>
      <c r="K825" s="154" t="s">
        <v>139</v>
      </c>
      <c r="L825" s="156" t="s">
        <v>71</v>
      </c>
    </row>
    <row r="826">
      <c r="A826" s="153">
        <v>24.0</v>
      </c>
      <c r="B826" s="154" t="s">
        <v>7</v>
      </c>
      <c r="C826" s="154" t="s">
        <v>469</v>
      </c>
      <c r="D826" s="154" t="s">
        <v>202</v>
      </c>
      <c r="E826" s="154" t="s">
        <v>136</v>
      </c>
      <c r="F826" s="154" t="s">
        <v>136</v>
      </c>
      <c r="G826" s="154" t="s">
        <v>320</v>
      </c>
      <c r="H826" s="155"/>
      <c r="I826" s="154" t="s">
        <v>135</v>
      </c>
      <c r="J826" s="154" t="s">
        <v>1945</v>
      </c>
      <c r="K826" s="154" t="s">
        <v>139</v>
      </c>
      <c r="L826" s="156" t="s">
        <v>71</v>
      </c>
    </row>
    <row r="827">
      <c r="A827" s="153">
        <v>74.0</v>
      </c>
      <c r="B827" s="154" t="s">
        <v>7</v>
      </c>
      <c r="C827" s="154" t="s">
        <v>1946</v>
      </c>
      <c r="D827" s="154" t="s">
        <v>143</v>
      </c>
      <c r="E827" s="154" t="s">
        <v>136</v>
      </c>
      <c r="F827" s="154" t="s">
        <v>136</v>
      </c>
      <c r="G827" s="154" t="s">
        <v>1225</v>
      </c>
      <c r="H827" s="155"/>
      <c r="I827" s="154" t="s">
        <v>136</v>
      </c>
      <c r="J827" s="154" t="s">
        <v>1947</v>
      </c>
      <c r="K827" s="154" t="s">
        <v>139</v>
      </c>
      <c r="L827" s="156" t="s">
        <v>71</v>
      </c>
    </row>
    <row r="828">
      <c r="A828" s="153">
        <v>57.0</v>
      </c>
      <c r="B828" s="154" t="s">
        <v>7</v>
      </c>
      <c r="C828" s="154" t="s">
        <v>387</v>
      </c>
      <c r="D828" s="154" t="s">
        <v>143</v>
      </c>
      <c r="E828" s="154" t="s">
        <v>135</v>
      </c>
      <c r="F828" s="154" t="s">
        <v>136</v>
      </c>
      <c r="G828" s="154" t="s">
        <v>137</v>
      </c>
      <c r="H828" s="155"/>
      <c r="I828" s="154" t="s">
        <v>136</v>
      </c>
      <c r="J828" s="154" t="s">
        <v>1948</v>
      </c>
      <c r="K828" s="154" t="s">
        <v>139</v>
      </c>
      <c r="L828" s="156" t="s">
        <v>71</v>
      </c>
    </row>
    <row r="829">
      <c r="A829" s="153">
        <v>87.0</v>
      </c>
      <c r="B829" s="154" t="s">
        <v>6</v>
      </c>
      <c r="C829" s="154" t="s">
        <v>1949</v>
      </c>
      <c r="D829" s="154" t="s">
        <v>218</v>
      </c>
      <c r="E829" s="154" t="s">
        <v>136</v>
      </c>
      <c r="F829" s="154" t="s">
        <v>136</v>
      </c>
      <c r="G829" s="154" t="s">
        <v>401</v>
      </c>
      <c r="H829" s="155"/>
      <c r="I829" s="154" t="s">
        <v>135</v>
      </c>
      <c r="J829" s="157">
        <v>45600.43125</v>
      </c>
      <c r="K829" s="154" t="s">
        <v>139</v>
      </c>
      <c r="L829" s="156" t="s">
        <v>71</v>
      </c>
    </row>
    <row r="830">
      <c r="A830" s="153">
        <v>17.0</v>
      </c>
      <c r="B830" s="154" t="s">
        <v>7</v>
      </c>
      <c r="C830" s="154" t="s">
        <v>946</v>
      </c>
      <c r="D830" s="154" t="s">
        <v>290</v>
      </c>
      <c r="E830" s="154" t="s">
        <v>135</v>
      </c>
      <c r="F830" s="154" t="s">
        <v>136</v>
      </c>
      <c r="G830" s="154" t="s">
        <v>185</v>
      </c>
      <c r="H830" s="154" t="s">
        <v>1950</v>
      </c>
      <c r="I830" s="154" t="s">
        <v>136</v>
      </c>
      <c r="J830" s="154" t="s">
        <v>1951</v>
      </c>
      <c r="K830" s="154" t="s">
        <v>139</v>
      </c>
      <c r="L830" s="156" t="s">
        <v>71</v>
      </c>
    </row>
    <row r="831">
      <c r="A831" s="153">
        <v>32.0</v>
      </c>
      <c r="B831" s="154" t="s">
        <v>6</v>
      </c>
      <c r="C831" s="154" t="s">
        <v>1952</v>
      </c>
      <c r="D831" s="154" t="s">
        <v>177</v>
      </c>
      <c r="E831" s="154" t="s">
        <v>135</v>
      </c>
      <c r="F831" s="154" t="s">
        <v>136</v>
      </c>
      <c r="G831" s="154" t="s">
        <v>310</v>
      </c>
      <c r="H831" s="154" t="s">
        <v>1953</v>
      </c>
      <c r="I831" s="154" t="s">
        <v>136</v>
      </c>
      <c r="J831" s="154" t="s">
        <v>1954</v>
      </c>
      <c r="K831" s="154" t="s">
        <v>139</v>
      </c>
      <c r="L831" s="156" t="s">
        <v>71</v>
      </c>
    </row>
    <row r="832">
      <c r="A832" s="153">
        <v>27.0</v>
      </c>
      <c r="B832" s="154" t="s">
        <v>6</v>
      </c>
      <c r="C832" s="154" t="s">
        <v>1955</v>
      </c>
      <c r="D832" s="154" t="s">
        <v>290</v>
      </c>
      <c r="E832" s="154" t="s">
        <v>135</v>
      </c>
      <c r="F832" s="154" t="s">
        <v>136</v>
      </c>
      <c r="G832" s="154" t="s">
        <v>137</v>
      </c>
      <c r="H832" s="155"/>
      <c r="I832" s="154" t="s">
        <v>136</v>
      </c>
      <c r="J832" s="154" t="s">
        <v>1956</v>
      </c>
      <c r="K832" s="154" t="s">
        <v>139</v>
      </c>
      <c r="L832" s="156" t="s">
        <v>71</v>
      </c>
    </row>
    <row r="833">
      <c r="A833" s="153">
        <v>25.0</v>
      </c>
      <c r="B833" s="154" t="s">
        <v>6</v>
      </c>
      <c r="C833" s="154" t="s">
        <v>1957</v>
      </c>
      <c r="D833" s="154" t="s">
        <v>187</v>
      </c>
      <c r="E833" s="154" t="s">
        <v>135</v>
      </c>
      <c r="F833" s="154" t="s">
        <v>135</v>
      </c>
      <c r="G833" s="154" t="s">
        <v>191</v>
      </c>
      <c r="H833" s="155"/>
      <c r="I833" s="154" t="s">
        <v>136</v>
      </c>
      <c r="J833" s="154" t="s">
        <v>1958</v>
      </c>
      <c r="K833" s="154" t="s">
        <v>139</v>
      </c>
      <c r="L833" s="156" t="s">
        <v>71</v>
      </c>
    </row>
    <row r="834">
      <c r="A834" s="153">
        <v>38.0</v>
      </c>
      <c r="B834" s="154" t="s">
        <v>7</v>
      </c>
      <c r="C834" s="154" t="s">
        <v>513</v>
      </c>
      <c r="D834" s="154" t="s">
        <v>213</v>
      </c>
      <c r="E834" s="154" t="s">
        <v>135</v>
      </c>
      <c r="F834" s="154" t="s">
        <v>136</v>
      </c>
      <c r="G834" s="154" t="s">
        <v>1959</v>
      </c>
      <c r="H834" s="155"/>
      <c r="I834" s="154" t="s">
        <v>135</v>
      </c>
      <c r="J834" s="154" t="s">
        <v>1960</v>
      </c>
      <c r="K834" s="154" t="s">
        <v>139</v>
      </c>
      <c r="L834" s="156" t="s">
        <v>71</v>
      </c>
    </row>
    <row r="835">
      <c r="A835" s="153">
        <v>30.0</v>
      </c>
      <c r="B835" s="154" t="s">
        <v>6</v>
      </c>
      <c r="C835" s="154" t="s">
        <v>1828</v>
      </c>
      <c r="D835" s="154" t="s">
        <v>143</v>
      </c>
      <c r="E835" s="154" t="s">
        <v>135</v>
      </c>
      <c r="F835" s="154" t="s">
        <v>136</v>
      </c>
      <c r="G835" s="154" t="s">
        <v>1961</v>
      </c>
      <c r="H835" s="155"/>
      <c r="I835" s="154" t="s">
        <v>135</v>
      </c>
      <c r="J835" s="154" t="s">
        <v>1962</v>
      </c>
      <c r="K835" s="154" t="s">
        <v>139</v>
      </c>
      <c r="L835" s="156" t="s">
        <v>71</v>
      </c>
    </row>
    <row r="836">
      <c r="A836" s="153">
        <v>67.0</v>
      </c>
      <c r="B836" s="154" t="s">
        <v>6</v>
      </c>
      <c r="C836" s="154" t="s">
        <v>1963</v>
      </c>
      <c r="D836" s="154" t="s">
        <v>202</v>
      </c>
      <c r="E836" s="154" t="s">
        <v>136</v>
      </c>
      <c r="F836" s="154" t="s">
        <v>136</v>
      </c>
      <c r="G836" s="154" t="s">
        <v>1964</v>
      </c>
      <c r="H836" s="155"/>
      <c r="I836" s="154" t="s">
        <v>135</v>
      </c>
      <c r="J836" s="154" t="s">
        <v>1965</v>
      </c>
      <c r="K836" s="154" t="s">
        <v>139</v>
      </c>
      <c r="L836" s="156" t="s">
        <v>71</v>
      </c>
    </row>
    <row r="837">
      <c r="A837" s="153">
        <v>53.0</v>
      </c>
      <c r="B837" s="154" t="s">
        <v>6</v>
      </c>
      <c r="C837" s="154" t="s">
        <v>1966</v>
      </c>
      <c r="D837" s="154" t="s">
        <v>143</v>
      </c>
      <c r="E837" s="154" t="s">
        <v>135</v>
      </c>
      <c r="F837" s="154" t="s">
        <v>136</v>
      </c>
      <c r="G837" s="154" t="s">
        <v>137</v>
      </c>
      <c r="H837" s="155"/>
      <c r="I837" s="154" t="s">
        <v>136</v>
      </c>
      <c r="J837" s="154" t="s">
        <v>1967</v>
      </c>
      <c r="K837" s="154" t="s">
        <v>139</v>
      </c>
      <c r="L837" s="156" t="s">
        <v>71</v>
      </c>
    </row>
    <row r="838">
      <c r="A838" s="153">
        <v>42.0</v>
      </c>
      <c r="B838" s="154" t="s">
        <v>6</v>
      </c>
      <c r="C838" s="154" t="s">
        <v>243</v>
      </c>
      <c r="D838" s="154" t="s">
        <v>243</v>
      </c>
      <c r="E838" s="154" t="s">
        <v>135</v>
      </c>
      <c r="F838" s="154" t="s">
        <v>135</v>
      </c>
      <c r="G838" s="154" t="s">
        <v>1968</v>
      </c>
      <c r="H838" s="154" t="s">
        <v>1969</v>
      </c>
      <c r="I838" s="154" t="s">
        <v>136</v>
      </c>
      <c r="J838" s="154" t="s">
        <v>1970</v>
      </c>
      <c r="K838" s="154" t="s">
        <v>139</v>
      </c>
      <c r="L838" s="156" t="s">
        <v>71</v>
      </c>
    </row>
    <row r="839">
      <c r="A839" s="153">
        <v>10.0</v>
      </c>
      <c r="B839" s="154" t="s">
        <v>6</v>
      </c>
      <c r="C839" s="154" t="s">
        <v>1411</v>
      </c>
      <c r="D839" s="154" t="s">
        <v>202</v>
      </c>
      <c r="E839" s="154" t="s">
        <v>136</v>
      </c>
      <c r="F839" s="154" t="s">
        <v>136</v>
      </c>
      <c r="G839" s="154" t="s">
        <v>297</v>
      </c>
      <c r="H839" s="155"/>
      <c r="I839" s="154" t="s">
        <v>135</v>
      </c>
      <c r="J839" s="154" t="s">
        <v>1971</v>
      </c>
      <c r="K839" s="154" t="s">
        <v>139</v>
      </c>
      <c r="L839" s="156" t="s">
        <v>71</v>
      </c>
    </row>
    <row r="840">
      <c r="A840" s="153">
        <v>66.0</v>
      </c>
      <c r="B840" s="154" t="s">
        <v>6</v>
      </c>
      <c r="C840" s="154" t="s">
        <v>1411</v>
      </c>
      <c r="D840" s="154" t="s">
        <v>202</v>
      </c>
      <c r="E840" s="154" t="s">
        <v>136</v>
      </c>
      <c r="F840" s="154" t="s">
        <v>136</v>
      </c>
      <c r="G840" s="154" t="s">
        <v>1412</v>
      </c>
      <c r="H840" s="154" t="s">
        <v>1413</v>
      </c>
      <c r="I840" s="154" t="s">
        <v>136</v>
      </c>
      <c r="J840" s="154" t="s">
        <v>1972</v>
      </c>
      <c r="K840" s="154" t="s">
        <v>139</v>
      </c>
      <c r="L840" s="156" t="s">
        <v>71</v>
      </c>
    </row>
    <row r="841">
      <c r="A841" s="153">
        <v>34.0</v>
      </c>
      <c r="B841" s="154" t="s">
        <v>7</v>
      </c>
      <c r="C841" s="154" t="s">
        <v>1973</v>
      </c>
      <c r="D841" s="154" t="s">
        <v>177</v>
      </c>
      <c r="E841" s="154" t="s">
        <v>135</v>
      </c>
      <c r="F841" s="154" t="s">
        <v>136</v>
      </c>
      <c r="G841" s="154" t="s">
        <v>185</v>
      </c>
      <c r="H841" s="155"/>
      <c r="I841" s="154" t="s">
        <v>136</v>
      </c>
      <c r="J841" s="154" t="s">
        <v>1974</v>
      </c>
      <c r="K841" s="154" t="s">
        <v>139</v>
      </c>
      <c r="L841" s="156" t="s">
        <v>71</v>
      </c>
    </row>
    <row r="842">
      <c r="A842" s="153">
        <v>59.0</v>
      </c>
      <c r="B842" s="154" t="s">
        <v>6</v>
      </c>
      <c r="C842" s="154" t="s">
        <v>1975</v>
      </c>
      <c r="D842" s="154" t="s">
        <v>243</v>
      </c>
      <c r="E842" s="154" t="s">
        <v>136</v>
      </c>
      <c r="F842" s="154" t="s">
        <v>135</v>
      </c>
      <c r="G842" s="154" t="s">
        <v>1976</v>
      </c>
      <c r="H842" s="155"/>
      <c r="I842" s="154" t="s">
        <v>135</v>
      </c>
      <c r="J842" s="154" t="s">
        <v>1977</v>
      </c>
      <c r="K842" s="154" t="s">
        <v>139</v>
      </c>
      <c r="L842" s="156" t="s">
        <v>71</v>
      </c>
    </row>
    <row r="843">
      <c r="A843" s="153">
        <v>88.0</v>
      </c>
      <c r="B843" s="154" t="s">
        <v>6</v>
      </c>
      <c r="C843" s="154" t="s">
        <v>1978</v>
      </c>
      <c r="D843" s="154" t="s">
        <v>143</v>
      </c>
      <c r="E843" s="154" t="s">
        <v>135</v>
      </c>
      <c r="F843" s="154" t="s">
        <v>136</v>
      </c>
      <c r="G843" s="154" t="s">
        <v>137</v>
      </c>
      <c r="H843" s="155"/>
      <c r="I843" s="154" t="s">
        <v>135</v>
      </c>
      <c r="J843" s="157">
        <v>45600.45277777778</v>
      </c>
      <c r="K843" s="154" t="s">
        <v>139</v>
      </c>
      <c r="L843" s="156" t="s">
        <v>71</v>
      </c>
    </row>
    <row r="844">
      <c r="A844" s="153">
        <v>44.0</v>
      </c>
      <c r="B844" s="154" t="s">
        <v>6</v>
      </c>
      <c r="C844" s="154" t="s">
        <v>1979</v>
      </c>
      <c r="D844" s="154" t="s">
        <v>290</v>
      </c>
      <c r="E844" s="154" t="s">
        <v>136</v>
      </c>
      <c r="F844" s="154" t="s">
        <v>136</v>
      </c>
      <c r="G844" s="154" t="s">
        <v>457</v>
      </c>
      <c r="H844" s="155"/>
      <c r="I844" s="154" t="s">
        <v>135</v>
      </c>
      <c r="J844" s="154" t="s">
        <v>1980</v>
      </c>
      <c r="K844" s="154" t="s">
        <v>139</v>
      </c>
      <c r="L844" s="156" t="s">
        <v>71</v>
      </c>
    </row>
    <row r="845">
      <c r="A845" s="153">
        <v>86.0</v>
      </c>
      <c r="B845" s="154" t="s">
        <v>7</v>
      </c>
      <c r="C845" s="154" t="s">
        <v>1978</v>
      </c>
      <c r="D845" s="154" t="s">
        <v>143</v>
      </c>
      <c r="E845" s="154" t="s">
        <v>136</v>
      </c>
      <c r="F845" s="154" t="s">
        <v>136</v>
      </c>
      <c r="G845" s="154" t="s">
        <v>185</v>
      </c>
      <c r="H845" s="155"/>
      <c r="I845" s="154" t="s">
        <v>135</v>
      </c>
      <c r="J845" s="157">
        <v>45600.424305555556</v>
      </c>
      <c r="K845" s="154" t="s">
        <v>139</v>
      </c>
      <c r="L845" s="156" t="s">
        <v>71</v>
      </c>
    </row>
    <row r="846">
      <c r="A846" s="153">
        <v>89.0</v>
      </c>
      <c r="B846" s="154" t="s">
        <v>6</v>
      </c>
      <c r="C846" s="154" t="s">
        <v>1981</v>
      </c>
      <c r="D846" s="154" t="s">
        <v>143</v>
      </c>
      <c r="E846" s="154" t="s">
        <v>135</v>
      </c>
      <c r="F846" s="154" t="s">
        <v>136</v>
      </c>
      <c r="G846" s="154" t="s">
        <v>137</v>
      </c>
      <c r="H846" s="155"/>
      <c r="I846" s="154" t="s">
        <v>135</v>
      </c>
      <c r="J846" s="157">
        <v>45600.46527777778</v>
      </c>
      <c r="K846" s="154" t="s">
        <v>139</v>
      </c>
      <c r="L846" s="156" t="s">
        <v>71</v>
      </c>
    </row>
    <row r="847">
      <c r="A847" s="153">
        <v>14.0</v>
      </c>
      <c r="B847" s="154" t="s">
        <v>6</v>
      </c>
      <c r="C847" s="154" t="s">
        <v>1563</v>
      </c>
      <c r="D847" s="154" t="s">
        <v>134</v>
      </c>
      <c r="E847" s="154" t="s">
        <v>135</v>
      </c>
      <c r="F847" s="154" t="s">
        <v>136</v>
      </c>
      <c r="G847" s="154" t="s">
        <v>367</v>
      </c>
      <c r="H847" s="155"/>
      <c r="I847" s="154" t="s">
        <v>135</v>
      </c>
      <c r="J847" s="154" t="s">
        <v>1982</v>
      </c>
      <c r="K847" s="154" t="s">
        <v>139</v>
      </c>
      <c r="L847" s="156" t="s">
        <v>71</v>
      </c>
    </row>
    <row r="848">
      <c r="A848" s="153">
        <v>47.0</v>
      </c>
      <c r="B848" s="154" t="s">
        <v>6</v>
      </c>
      <c r="C848" s="154" t="s">
        <v>338</v>
      </c>
      <c r="D848" s="154" t="s">
        <v>143</v>
      </c>
      <c r="E848" s="154" t="s">
        <v>135</v>
      </c>
      <c r="F848" s="154" t="s">
        <v>136</v>
      </c>
      <c r="G848" s="154" t="s">
        <v>221</v>
      </c>
      <c r="H848" s="155"/>
      <c r="I848" s="154" t="s">
        <v>135</v>
      </c>
      <c r="J848" s="154" t="s">
        <v>1983</v>
      </c>
      <c r="K848" s="154" t="s">
        <v>139</v>
      </c>
      <c r="L848" s="156" t="s">
        <v>71</v>
      </c>
    </row>
    <row r="849">
      <c r="A849" s="153">
        <v>81.0</v>
      </c>
      <c r="B849" s="154" t="s">
        <v>7</v>
      </c>
      <c r="C849" s="154" t="s">
        <v>1984</v>
      </c>
      <c r="D849" s="154" t="s">
        <v>213</v>
      </c>
      <c r="E849" s="154" t="s">
        <v>135</v>
      </c>
      <c r="F849" s="154" t="s">
        <v>136</v>
      </c>
      <c r="G849" s="154" t="s">
        <v>137</v>
      </c>
      <c r="H849" s="155"/>
      <c r="I849" s="154" t="s">
        <v>136</v>
      </c>
      <c r="J849" s="157">
        <v>45599.9875</v>
      </c>
      <c r="K849" s="154" t="s">
        <v>139</v>
      </c>
      <c r="L849" s="156" t="s">
        <v>71</v>
      </c>
    </row>
    <row r="850">
      <c r="A850" s="153">
        <v>12.0</v>
      </c>
      <c r="B850" s="154" t="s">
        <v>6</v>
      </c>
      <c r="C850" s="154" t="s">
        <v>1096</v>
      </c>
      <c r="D850" s="154" t="s">
        <v>153</v>
      </c>
      <c r="E850" s="154" t="s">
        <v>135</v>
      </c>
      <c r="F850" s="154" t="s">
        <v>136</v>
      </c>
      <c r="G850" s="154" t="s">
        <v>180</v>
      </c>
      <c r="H850" s="155"/>
      <c r="I850" s="154" t="s">
        <v>136</v>
      </c>
      <c r="J850" s="154" t="s">
        <v>1985</v>
      </c>
      <c r="K850" s="154" t="s">
        <v>139</v>
      </c>
      <c r="L850" s="156" t="s">
        <v>71</v>
      </c>
    </row>
    <row r="851">
      <c r="A851" s="153">
        <v>82.0</v>
      </c>
      <c r="B851" s="154" t="s">
        <v>6</v>
      </c>
      <c r="C851" s="154" t="s">
        <v>338</v>
      </c>
      <c r="D851" s="154" t="s">
        <v>143</v>
      </c>
      <c r="E851" s="154" t="s">
        <v>136</v>
      </c>
      <c r="F851" s="154" t="s">
        <v>136</v>
      </c>
      <c r="G851" s="154" t="s">
        <v>150</v>
      </c>
      <c r="H851" s="155"/>
      <c r="I851" s="154" t="s">
        <v>136</v>
      </c>
      <c r="J851" s="157">
        <v>45600.33541666667</v>
      </c>
      <c r="K851" s="154" t="s">
        <v>139</v>
      </c>
      <c r="L851" s="156" t="s">
        <v>71</v>
      </c>
    </row>
    <row r="852">
      <c r="A852" s="153">
        <v>83.0</v>
      </c>
      <c r="B852" s="154" t="s">
        <v>6</v>
      </c>
      <c r="C852" s="154" t="s">
        <v>787</v>
      </c>
      <c r="D852" s="154" t="s">
        <v>164</v>
      </c>
      <c r="E852" s="154" t="s">
        <v>136</v>
      </c>
      <c r="F852" s="154" t="s">
        <v>136</v>
      </c>
      <c r="G852" s="154" t="s">
        <v>221</v>
      </c>
      <c r="H852" s="155"/>
      <c r="I852" s="154" t="s">
        <v>135</v>
      </c>
      <c r="J852" s="157">
        <v>45600.33888888889</v>
      </c>
      <c r="K852" s="154" t="s">
        <v>139</v>
      </c>
      <c r="L852" s="156" t="s">
        <v>71</v>
      </c>
    </row>
    <row r="853">
      <c r="A853" s="153">
        <v>20.0</v>
      </c>
      <c r="B853" s="154" t="s">
        <v>6</v>
      </c>
      <c r="C853" s="154" t="s">
        <v>1986</v>
      </c>
      <c r="D853" s="154" t="s">
        <v>187</v>
      </c>
      <c r="E853" s="154" t="s">
        <v>136</v>
      </c>
      <c r="F853" s="154" t="s">
        <v>135</v>
      </c>
      <c r="G853" s="154" t="s">
        <v>1789</v>
      </c>
      <c r="H853" s="155"/>
      <c r="I853" s="154" t="s">
        <v>135</v>
      </c>
      <c r="J853" s="154" t="s">
        <v>1987</v>
      </c>
      <c r="K853" s="154" t="s">
        <v>139</v>
      </c>
      <c r="L853" s="156" t="s">
        <v>71</v>
      </c>
    </row>
    <row r="854">
      <c r="A854" s="153">
        <v>7.0</v>
      </c>
      <c r="B854" s="154" t="s">
        <v>7</v>
      </c>
      <c r="C854" s="154" t="s">
        <v>1988</v>
      </c>
      <c r="D854" s="154" t="s">
        <v>255</v>
      </c>
      <c r="E854" s="154" t="s">
        <v>135</v>
      </c>
      <c r="F854" s="154" t="s">
        <v>136</v>
      </c>
      <c r="G854" s="154" t="s">
        <v>1108</v>
      </c>
      <c r="H854" s="155"/>
      <c r="I854" s="154" t="s">
        <v>135</v>
      </c>
      <c r="J854" s="154" t="s">
        <v>1989</v>
      </c>
      <c r="K854" s="154" t="s">
        <v>139</v>
      </c>
      <c r="L854" s="156" t="s">
        <v>71</v>
      </c>
    </row>
    <row r="855">
      <c r="A855" s="153">
        <v>80.0</v>
      </c>
      <c r="B855" s="154" t="s">
        <v>6</v>
      </c>
      <c r="C855" s="154" t="s">
        <v>315</v>
      </c>
      <c r="D855" s="154" t="s">
        <v>164</v>
      </c>
      <c r="E855" s="154" t="s">
        <v>135</v>
      </c>
      <c r="F855" s="154" t="s">
        <v>136</v>
      </c>
      <c r="G855" s="154" t="s">
        <v>157</v>
      </c>
      <c r="H855" s="155"/>
      <c r="I855" s="154" t="s">
        <v>136</v>
      </c>
      <c r="J855" s="157">
        <v>45599.84652777778</v>
      </c>
      <c r="K855" s="154" t="s">
        <v>139</v>
      </c>
      <c r="L855" s="156" t="s">
        <v>71</v>
      </c>
    </row>
    <row r="856">
      <c r="A856" s="153">
        <v>76.0</v>
      </c>
      <c r="B856" s="154" t="s">
        <v>7</v>
      </c>
      <c r="C856" s="154" t="s">
        <v>379</v>
      </c>
      <c r="D856" s="154" t="s">
        <v>202</v>
      </c>
      <c r="E856" s="154" t="s">
        <v>136</v>
      </c>
      <c r="F856" s="154" t="s">
        <v>136</v>
      </c>
      <c r="G856" s="154" t="s">
        <v>606</v>
      </c>
      <c r="H856" s="155"/>
      <c r="I856" s="154" t="s">
        <v>135</v>
      </c>
      <c r="J856" s="157">
        <v>45597.32430555556</v>
      </c>
      <c r="K856" s="154" t="s">
        <v>139</v>
      </c>
      <c r="L856" s="156" t="s">
        <v>71</v>
      </c>
    </row>
    <row r="857">
      <c r="A857" s="153">
        <v>51.0</v>
      </c>
      <c r="B857" s="154" t="s">
        <v>7</v>
      </c>
      <c r="C857" s="154" t="s">
        <v>973</v>
      </c>
      <c r="D857" s="154" t="s">
        <v>164</v>
      </c>
      <c r="E857" s="154" t="s">
        <v>135</v>
      </c>
      <c r="F857" s="154" t="s">
        <v>136</v>
      </c>
      <c r="G857" s="154" t="s">
        <v>221</v>
      </c>
      <c r="H857" s="155"/>
      <c r="I857" s="154" t="s">
        <v>135</v>
      </c>
      <c r="J857" s="154" t="s">
        <v>1990</v>
      </c>
      <c r="K857" s="154" t="s">
        <v>139</v>
      </c>
      <c r="L857" s="156" t="s">
        <v>62</v>
      </c>
    </row>
    <row r="858">
      <c r="A858" s="153">
        <v>18.0</v>
      </c>
      <c r="B858" s="154" t="s">
        <v>7</v>
      </c>
      <c r="C858" s="154" t="s">
        <v>1991</v>
      </c>
      <c r="D858" s="154" t="s">
        <v>209</v>
      </c>
      <c r="E858" s="154" t="s">
        <v>136</v>
      </c>
      <c r="F858" s="154" t="s">
        <v>135</v>
      </c>
      <c r="G858" s="154" t="s">
        <v>1421</v>
      </c>
      <c r="H858" s="155"/>
      <c r="I858" s="154" t="s">
        <v>136</v>
      </c>
      <c r="J858" s="154" t="s">
        <v>1992</v>
      </c>
      <c r="K858" s="154" t="s">
        <v>139</v>
      </c>
      <c r="L858" s="156" t="s">
        <v>62</v>
      </c>
    </row>
    <row r="859">
      <c r="A859" s="153">
        <v>21.0</v>
      </c>
      <c r="B859" s="154" t="s">
        <v>6</v>
      </c>
      <c r="C859" s="154" t="s">
        <v>1993</v>
      </c>
      <c r="D859" s="154" t="s">
        <v>290</v>
      </c>
      <c r="E859" s="154" t="s">
        <v>135</v>
      </c>
      <c r="F859" s="154" t="s">
        <v>136</v>
      </c>
      <c r="G859" s="154" t="s">
        <v>271</v>
      </c>
      <c r="H859" s="155"/>
      <c r="I859" s="154" t="s">
        <v>136</v>
      </c>
      <c r="J859" s="154" t="s">
        <v>1994</v>
      </c>
      <c r="K859" s="154" t="s">
        <v>139</v>
      </c>
      <c r="L859" s="156" t="s">
        <v>62</v>
      </c>
    </row>
    <row r="860">
      <c r="A860" s="153">
        <v>48.0</v>
      </c>
      <c r="B860" s="154" t="s">
        <v>7</v>
      </c>
      <c r="C860" s="154" t="s">
        <v>1995</v>
      </c>
      <c r="D860" s="154" t="s">
        <v>164</v>
      </c>
      <c r="E860" s="154" t="s">
        <v>135</v>
      </c>
      <c r="F860" s="154" t="s">
        <v>136</v>
      </c>
      <c r="G860" s="154" t="s">
        <v>157</v>
      </c>
      <c r="H860" s="155"/>
      <c r="I860" s="154" t="s">
        <v>136</v>
      </c>
      <c r="J860" s="154" t="s">
        <v>1996</v>
      </c>
      <c r="K860" s="154" t="s">
        <v>139</v>
      </c>
      <c r="L860" s="156" t="s">
        <v>62</v>
      </c>
    </row>
    <row r="861">
      <c r="A861" s="153">
        <v>45.0</v>
      </c>
      <c r="B861" s="154" t="s">
        <v>6</v>
      </c>
      <c r="C861" s="154" t="s">
        <v>536</v>
      </c>
      <c r="D861" s="154" t="s">
        <v>193</v>
      </c>
      <c r="E861" s="154" t="s">
        <v>135</v>
      </c>
      <c r="F861" s="154" t="s">
        <v>136</v>
      </c>
      <c r="G861" s="154" t="s">
        <v>1997</v>
      </c>
      <c r="H861" s="155"/>
      <c r="I861" s="154" t="s">
        <v>136</v>
      </c>
      <c r="J861" s="154" t="s">
        <v>1998</v>
      </c>
      <c r="K861" s="154" t="s">
        <v>139</v>
      </c>
      <c r="L861" s="156" t="s">
        <v>62</v>
      </c>
    </row>
    <row r="862">
      <c r="A862" s="153">
        <v>44.0</v>
      </c>
      <c r="B862" s="154" t="s">
        <v>6</v>
      </c>
      <c r="C862" s="154" t="s">
        <v>1116</v>
      </c>
      <c r="D862" s="154" t="s">
        <v>197</v>
      </c>
      <c r="E862" s="154" t="s">
        <v>135</v>
      </c>
      <c r="F862" s="154" t="s">
        <v>136</v>
      </c>
      <c r="G862" s="154" t="s">
        <v>241</v>
      </c>
      <c r="H862" s="154" t="s">
        <v>1180</v>
      </c>
      <c r="I862" s="154" t="s">
        <v>136</v>
      </c>
      <c r="J862" s="154" t="s">
        <v>1999</v>
      </c>
      <c r="K862" s="154" t="s">
        <v>139</v>
      </c>
      <c r="L862" s="156" t="s">
        <v>62</v>
      </c>
    </row>
    <row r="863">
      <c r="A863" s="153">
        <v>5.0</v>
      </c>
      <c r="B863" s="154" t="s">
        <v>7</v>
      </c>
      <c r="C863" s="154" t="s">
        <v>2000</v>
      </c>
      <c r="D863" s="154" t="s">
        <v>347</v>
      </c>
      <c r="E863" s="154" t="s">
        <v>136</v>
      </c>
      <c r="F863" s="154" t="s">
        <v>136</v>
      </c>
      <c r="G863" s="154" t="s">
        <v>479</v>
      </c>
      <c r="H863" s="155"/>
      <c r="I863" s="154" t="s">
        <v>135</v>
      </c>
      <c r="J863" s="157">
        <v>45517.64375</v>
      </c>
      <c r="K863" s="154" t="s">
        <v>139</v>
      </c>
      <c r="L863" s="156" t="s">
        <v>62</v>
      </c>
    </row>
    <row r="864">
      <c r="A864" s="153">
        <v>17.0</v>
      </c>
      <c r="B864" s="154" t="s">
        <v>7</v>
      </c>
      <c r="C864" s="154" t="s">
        <v>338</v>
      </c>
      <c r="D864" s="154" t="s">
        <v>143</v>
      </c>
      <c r="E864" s="154" t="s">
        <v>136</v>
      </c>
      <c r="F864" s="154" t="s">
        <v>136</v>
      </c>
      <c r="G864" s="154" t="s">
        <v>174</v>
      </c>
      <c r="H864" s="155"/>
      <c r="I864" s="154" t="s">
        <v>135</v>
      </c>
      <c r="J864" s="154" t="s">
        <v>2001</v>
      </c>
      <c r="K864" s="154" t="s">
        <v>139</v>
      </c>
      <c r="L864" s="156" t="s">
        <v>62</v>
      </c>
    </row>
    <row r="865">
      <c r="A865" s="153">
        <v>42.0</v>
      </c>
      <c r="B865" s="154" t="s">
        <v>6</v>
      </c>
      <c r="C865" s="154" t="s">
        <v>2002</v>
      </c>
      <c r="D865" s="154" t="s">
        <v>134</v>
      </c>
      <c r="E865" s="154" t="s">
        <v>136</v>
      </c>
      <c r="F865" s="154" t="s">
        <v>136</v>
      </c>
      <c r="G865" s="154" t="s">
        <v>1888</v>
      </c>
      <c r="H865" s="154" t="s">
        <v>2003</v>
      </c>
      <c r="I865" s="154" t="s">
        <v>135</v>
      </c>
      <c r="J865" s="154" t="s">
        <v>2004</v>
      </c>
      <c r="K865" s="154" t="s">
        <v>139</v>
      </c>
      <c r="L865" s="156" t="s">
        <v>62</v>
      </c>
    </row>
    <row r="866">
      <c r="A866" s="153">
        <v>1.0</v>
      </c>
      <c r="B866" s="154" t="s">
        <v>7</v>
      </c>
      <c r="C866" s="154" t="s">
        <v>195</v>
      </c>
      <c r="D866" s="154" t="s">
        <v>164</v>
      </c>
      <c r="E866" s="154" t="s">
        <v>136</v>
      </c>
      <c r="F866" s="154" t="s">
        <v>136</v>
      </c>
      <c r="G866" s="154" t="s">
        <v>174</v>
      </c>
      <c r="H866" s="155"/>
      <c r="I866" s="154" t="s">
        <v>135</v>
      </c>
      <c r="J866" s="154" t="s">
        <v>1884</v>
      </c>
      <c r="K866" s="154" t="s">
        <v>139</v>
      </c>
      <c r="L866" s="156" t="s">
        <v>62</v>
      </c>
    </row>
    <row r="867">
      <c r="A867" s="153">
        <v>30.0</v>
      </c>
      <c r="B867" s="154" t="s">
        <v>7</v>
      </c>
      <c r="C867" s="154" t="s">
        <v>200</v>
      </c>
      <c r="D867" s="154" t="s">
        <v>143</v>
      </c>
      <c r="E867" s="154" t="s">
        <v>135</v>
      </c>
      <c r="F867" s="154" t="s">
        <v>135</v>
      </c>
      <c r="G867" s="154" t="s">
        <v>174</v>
      </c>
      <c r="H867" s="155"/>
      <c r="I867" s="154" t="s">
        <v>135</v>
      </c>
      <c r="J867" s="154" t="s">
        <v>2005</v>
      </c>
      <c r="K867" s="154" t="s">
        <v>139</v>
      </c>
      <c r="L867" s="156" t="s">
        <v>62</v>
      </c>
    </row>
    <row r="868">
      <c r="A868" s="153">
        <v>11.0</v>
      </c>
      <c r="B868" s="154" t="s">
        <v>7</v>
      </c>
      <c r="C868" s="154" t="s">
        <v>2006</v>
      </c>
      <c r="D868" s="154" t="s">
        <v>209</v>
      </c>
      <c r="E868" s="154" t="s">
        <v>135</v>
      </c>
      <c r="F868" s="154" t="s">
        <v>136</v>
      </c>
      <c r="G868" s="154" t="s">
        <v>271</v>
      </c>
      <c r="H868" s="155"/>
      <c r="I868" s="154" t="s">
        <v>135</v>
      </c>
      <c r="J868" s="154" t="s">
        <v>2007</v>
      </c>
      <c r="K868" s="154" t="s">
        <v>139</v>
      </c>
      <c r="L868" s="156" t="s">
        <v>62</v>
      </c>
    </row>
    <row r="869">
      <c r="A869" s="153">
        <v>46.0</v>
      </c>
      <c r="B869" s="154" t="s">
        <v>6</v>
      </c>
      <c r="C869" s="154" t="s">
        <v>2008</v>
      </c>
      <c r="D869" s="154" t="s">
        <v>160</v>
      </c>
      <c r="E869" s="154" t="s">
        <v>135</v>
      </c>
      <c r="F869" s="154" t="s">
        <v>135</v>
      </c>
      <c r="G869" s="154" t="s">
        <v>2009</v>
      </c>
      <c r="H869" s="155"/>
      <c r="I869" s="154" t="s">
        <v>135</v>
      </c>
      <c r="J869" s="154" t="s">
        <v>2010</v>
      </c>
      <c r="K869" s="154" t="s">
        <v>139</v>
      </c>
      <c r="L869" s="156" t="s">
        <v>62</v>
      </c>
    </row>
    <row r="870">
      <c r="A870" s="153">
        <v>10.0</v>
      </c>
      <c r="B870" s="154" t="s">
        <v>6</v>
      </c>
      <c r="C870" s="154" t="s">
        <v>1834</v>
      </c>
      <c r="D870" s="154" t="s">
        <v>296</v>
      </c>
      <c r="E870" s="154" t="s">
        <v>135</v>
      </c>
      <c r="F870" s="154" t="s">
        <v>136</v>
      </c>
      <c r="G870" s="154" t="s">
        <v>606</v>
      </c>
      <c r="H870" s="154" t="s">
        <v>2011</v>
      </c>
      <c r="I870" s="154" t="s">
        <v>136</v>
      </c>
      <c r="J870" s="154" t="s">
        <v>2012</v>
      </c>
      <c r="K870" s="154" t="s">
        <v>139</v>
      </c>
      <c r="L870" s="156" t="s">
        <v>62</v>
      </c>
    </row>
    <row r="871">
      <c r="A871" s="153">
        <v>38.0</v>
      </c>
      <c r="B871" s="154" t="s">
        <v>6</v>
      </c>
      <c r="C871" s="154" t="s">
        <v>338</v>
      </c>
      <c r="D871" s="154" t="s">
        <v>143</v>
      </c>
      <c r="E871" s="154" t="s">
        <v>136</v>
      </c>
      <c r="F871" s="154" t="s">
        <v>136</v>
      </c>
      <c r="G871" s="154" t="s">
        <v>460</v>
      </c>
      <c r="H871" s="155"/>
      <c r="I871" s="154" t="s">
        <v>135</v>
      </c>
      <c r="J871" s="154" t="s">
        <v>2013</v>
      </c>
      <c r="K871" s="154" t="s">
        <v>139</v>
      </c>
      <c r="L871" s="156" t="s">
        <v>62</v>
      </c>
    </row>
    <row r="872">
      <c r="A872" s="153">
        <v>28.0</v>
      </c>
      <c r="B872" s="154" t="s">
        <v>6</v>
      </c>
      <c r="C872" s="154" t="s">
        <v>240</v>
      </c>
      <c r="D872" s="154" t="s">
        <v>197</v>
      </c>
      <c r="E872" s="154" t="s">
        <v>136</v>
      </c>
      <c r="F872" s="154" t="s">
        <v>136</v>
      </c>
      <c r="G872" s="154" t="s">
        <v>241</v>
      </c>
      <c r="H872" s="155"/>
      <c r="I872" s="154" t="s">
        <v>135</v>
      </c>
      <c r="J872" s="154" t="s">
        <v>2014</v>
      </c>
      <c r="K872" s="154" t="s">
        <v>139</v>
      </c>
      <c r="L872" s="156" t="s">
        <v>62</v>
      </c>
    </row>
    <row r="873">
      <c r="A873" s="153">
        <v>37.0</v>
      </c>
      <c r="B873" s="154" t="s">
        <v>7</v>
      </c>
      <c r="C873" s="154" t="s">
        <v>338</v>
      </c>
      <c r="D873" s="154" t="s">
        <v>143</v>
      </c>
      <c r="E873" s="154" t="s">
        <v>136</v>
      </c>
      <c r="F873" s="154" t="s">
        <v>136</v>
      </c>
      <c r="G873" s="154" t="s">
        <v>144</v>
      </c>
      <c r="H873" s="154" t="s">
        <v>2015</v>
      </c>
      <c r="I873" s="154" t="s">
        <v>135</v>
      </c>
      <c r="J873" s="154" t="s">
        <v>2016</v>
      </c>
      <c r="K873" s="154" t="s">
        <v>139</v>
      </c>
      <c r="L873" s="156" t="s">
        <v>62</v>
      </c>
    </row>
    <row r="874">
      <c r="A874" s="153">
        <v>4.0</v>
      </c>
      <c r="B874" s="154" t="s">
        <v>7</v>
      </c>
      <c r="C874" s="154" t="s">
        <v>250</v>
      </c>
      <c r="D874" s="154" t="s">
        <v>209</v>
      </c>
      <c r="E874" s="154" t="s">
        <v>136</v>
      </c>
      <c r="F874" s="154" t="s">
        <v>136</v>
      </c>
      <c r="G874" s="154" t="s">
        <v>2017</v>
      </c>
      <c r="H874" s="154" t="s">
        <v>1180</v>
      </c>
      <c r="I874" s="154" t="s">
        <v>135</v>
      </c>
      <c r="J874" s="157">
        <v>45510.472916666666</v>
      </c>
      <c r="K874" s="154" t="s">
        <v>139</v>
      </c>
      <c r="L874" s="156" t="s">
        <v>62</v>
      </c>
    </row>
    <row r="875">
      <c r="A875" s="153">
        <v>8.0</v>
      </c>
      <c r="B875" s="154" t="s">
        <v>7</v>
      </c>
      <c r="C875" s="154" t="s">
        <v>2018</v>
      </c>
      <c r="D875" s="154" t="s">
        <v>296</v>
      </c>
      <c r="E875" s="154" t="s">
        <v>135</v>
      </c>
      <c r="F875" s="154" t="s">
        <v>136</v>
      </c>
      <c r="G875" s="154" t="s">
        <v>137</v>
      </c>
      <c r="H875" s="155"/>
      <c r="I875" s="154" t="s">
        <v>136</v>
      </c>
      <c r="J875" s="154" t="s">
        <v>2019</v>
      </c>
      <c r="K875" s="154" t="s">
        <v>139</v>
      </c>
      <c r="L875" s="156" t="s">
        <v>62</v>
      </c>
    </row>
    <row r="876">
      <c r="A876" s="153">
        <v>47.0</v>
      </c>
      <c r="B876" s="154" t="s">
        <v>6</v>
      </c>
      <c r="C876" s="154" t="s">
        <v>342</v>
      </c>
      <c r="D876" s="154" t="s">
        <v>218</v>
      </c>
      <c r="E876" s="154" t="s">
        <v>136</v>
      </c>
      <c r="F876" s="154" t="s">
        <v>136</v>
      </c>
      <c r="G876" s="154" t="s">
        <v>650</v>
      </c>
      <c r="H876" s="155"/>
      <c r="I876" s="154" t="s">
        <v>135</v>
      </c>
      <c r="J876" s="154" t="s">
        <v>2020</v>
      </c>
      <c r="K876" s="154" t="s">
        <v>139</v>
      </c>
      <c r="L876" s="156" t="s">
        <v>62</v>
      </c>
    </row>
    <row r="877">
      <c r="A877" s="153">
        <v>19.0</v>
      </c>
      <c r="B877" s="154" t="s">
        <v>6</v>
      </c>
      <c r="C877" s="154" t="s">
        <v>1819</v>
      </c>
      <c r="D877" s="154" t="s">
        <v>268</v>
      </c>
      <c r="E877" s="154" t="s">
        <v>135</v>
      </c>
      <c r="F877" s="154" t="s">
        <v>136</v>
      </c>
      <c r="G877" s="154" t="s">
        <v>137</v>
      </c>
      <c r="H877" s="155"/>
      <c r="I877" s="154" t="s">
        <v>136</v>
      </c>
      <c r="J877" s="154" t="s">
        <v>2021</v>
      </c>
      <c r="K877" s="154" t="s">
        <v>139</v>
      </c>
      <c r="L877" s="156" t="s">
        <v>62</v>
      </c>
    </row>
    <row r="878">
      <c r="A878" s="153">
        <v>54.0</v>
      </c>
      <c r="B878" s="154" t="s">
        <v>6</v>
      </c>
      <c r="C878" s="154" t="s">
        <v>1367</v>
      </c>
      <c r="D878" s="154" t="s">
        <v>209</v>
      </c>
      <c r="E878" s="154" t="s">
        <v>136</v>
      </c>
      <c r="F878" s="154" t="s">
        <v>136</v>
      </c>
      <c r="G878" s="154" t="s">
        <v>137</v>
      </c>
      <c r="H878" s="154" t="s">
        <v>455</v>
      </c>
      <c r="I878" s="154" t="s">
        <v>135</v>
      </c>
      <c r="J878" s="154" t="s">
        <v>2022</v>
      </c>
      <c r="K878" s="154" t="s">
        <v>139</v>
      </c>
      <c r="L878" s="156" t="s">
        <v>62</v>
      </c>
    </row>
    <row r="879">
      <c r="A879" s="153">
        <v>25.0</v>
      </c>
      <c r="B879" s="154" t="s">
        <v>6</v>
      </c>
      <c r="C879" s="154" t="s">
        <v>2023</v>
      </c>
      <c r="D879" s="154" t="s">
        <v>290</v>
      </c>
      <c r="E879" s="154" t="s">
        <v>135</v>
      </c>
      <c r="F879" s="154" t="s">
        <v>136</v>
      </c>
      <c r="G879" s="154" t="s">
        <v>221</v>
      </c>
      <c r="H879" s="155"/>
      <c r="I879" s="154" t="s">
        <v>136</v>
      </c>
      <c r="J879" s="154" t="s">
        <v>2024</v>
      </c>
      <c r="K879" s="154" t="s">
        <v>139</v>
      </c>
      <c r="L879" s="156" t="s">
        <v>62</v>
      </c>
    </row>
    <row r="880">
      <c r="A880" s="153">
        <v>2.0</v>
      </c>
      <c r="B880" s="154" t="s">
        <v>7</v>
      </c>
      <c r="C880" s="154" t="s">
        <v>250</v>
      </c>
      <c r="D880" s="154" t="s">
        <v>209</v>
      </c>
      <c r="E880" s="154" t="s">
        <v>136</v>
      </c>
      <c r="F880" s="154" t="s">
        <v>136</v>
      </c>
      <c r="G880" s="154" t="s">
        <v>767</v>
      </c>
      <c r="H880" s="155"/>
      <c r="I880" s="154" t="s">
        <v>135</v>
      </c>
      <c r="J880" s="154" t="s">
        <v>2025</v>
      </c>
      <c r="K880" s="154" t="s">
        <v>139</v>
      </c>
      <c r="L880" s="156" t="s">
        <v>62</v>
      </c>
    </row>
    <row r="881">
      <c r="A881" s="153">
        <v>53.0</v>
      </c>
      <c r="B881" s="154" t="s">
        <v>6</v>
      </c>
      <c r="C881" s="154" t="s">
        <v>973</v>
      </c>
      <c r="D881" s="154" t="s">
        <v>164</v>
      </c>
      <c r="E881" s="154" t="s">
        <v>135</v>
      </c>
      <c r="F881" s="154" t="s">
        <v>136</v>
      </c>
      <c r="G881" s="154" t="s">
        <v>157</v>
      </c>
      <c r="H881" s="155"/>
      <c r="I881" s="154" t="s">
        <v>136</v>
      </c>
      <c r="J881" s="154" t="s">
        <v>2026</v>
      </c>
      <c r="K881" s="154" t="s">
        <v>139</v>
      </c>
      <c r="L881" s="156" t="s">
        <v>62</v>
      </c>
    </row>
    <row r="882">
      <c r="A882" s="153">
        <v>3.0</v>
      </c>
      <c r="B882" s="154" t="s">
        <v>7</v>
      </c>
      <c r="C882" s="154" t="s">
        <v>356</v>
      </c>
      <c r="D882" s="154" t="s">
        <v>228</v>
      </c>
      <c r="E882" s="154" t="s">
        <v>136</v>
      </c>
      <c r="F882" s="154" t="s">
        <v>136</v>
      </c>
      <c r="G882" s="154" t="s">
        <v>144</v>
      </c>
      <c r="H882" s="155"/>
      <c r="I882" s="154" t="s">
        <v>135</v>
      </c>
      <c r="J882" s="154" t="s">
        <v>2027</v>
      </c>
      <c r="K882" s="154" t="s">
        <v>139</v>
      </c>
      <c r="L882" s="156" t="s">
        <v>62</v>
      </c>
    </row>
    <row r="883">
      <c r="A883" s="153">
        <v>26.0</v>
      </c>
      <c r="B883" s="154" t="s">
        <v>6</v>
      </c>
      <c r="C883" s="154" t="s">
        <v>2028</v>
      </c>
      <c r="D883" s="154" t="s">
        <v>134</v>
      </c>
      <c r="E883" s="154" t="s">
        <v>135</v>
      </c>
      <c r="F883" s="154" t="s">
        <v>136</v>
      </c>
      <c r="G883" s="154" t="s">
        <v>271</v>
      </c>
      <c r="H883" s="154" t="s">
        <v>2029</v>
      </c>
      <c r="I883" s="154" t="s">
        <v>136</v>
      </c>
      <c r="J883" s="154" t="s">
        <v>2030</v>
      </c>
      <c r="K883" s="154" t="s">
        <v>139</v>
      </c>
      <c r="L883" s="156" t="s">
        <v>62</v>
      </c>
    </row>
    <row r="884">
      <c r="A884" s="153">
        <v>9.0</v>
      </c>
      <c r="B884" s="154" t="s">
        <v>6</v>
      </c>
      <c r="C884" s="154" t="s">
        <v>1840</v>
      </c>
      <c r="D884" s="154" t="s">
        <v>352</v>
      </c>
      <c r="E884" s="154" t="s">
        <v>135</v>
      </c>
      <c r="F884" s="154" t="s">
        <v>136</v>
      </c>
      <c r="G884" s="154" t="s">
        <v>460</v>
      </c>
      <c r="H884" s="155"/>
      <c r="I884" s="154" t="s">
        <v>136</v>
      </c>
      <c r="J884" s="154" t="s">
        <v>2031</v>
      </c>
      <c r="K884" s="154" t="s">
        <v>139</v>
      </c>
      <c r="L884" s="156" t="s">
        <v>62</v>
      </c>
    </row>
    <row r="885">
      <c r="A885" s="153">
        <v>35.0</v>
      </c>
      <c r="B885" s="154" t="s">
        <v>7</v>
      </c>
      <c r="C885" s="154" t="s">
        <v>2032</v>
      </c>
      <c r="D885" s="154" t="s">
        <v>223</v>
      </c>
      <c r="E885" s="154" t="s">
        <v>135</v>
      </c>
      <c r="F885" s="154" t="s">
        <v>136</v>
      </c>
      <c r="G885" s="154" t="s">
        <v>137</v>
      </c>
      <c r="H885" s="155"/>
      <c r="I885" s="154" t="s">
        <v>136</v>
      </c>
      <c r="J885" s="154" t="s">
        <v>2033</v>
      </c>
      <c r="K885" s="154" t="s">
        <v>139</v>
      </c>
      <c r="L885" s="156" t="s">
        <v>62</v>
      </c>
    </row>
    <row r="886">
      <c r="A886" s="153">
        <v>32.0</v>
      </c>
      <c r="B886" s="154" t="s">
        <v>6</v>
      </c>
      <c r="C886" s="154" t="s">
        <v>142</v>
      </c>
      <c r="D886" s="154" t="s">
        <v>143</v>
      </c>
      <c r="E886" s="154" t="s">
        <v>136</v>
      </c>
      <c r="F886" s="154" t="s">
        <v>136</v>
      </c>
      <c r="G886" s="154" t="s">
        <v>144</v>
      </c>
      <c r="H886" s="155"/>
      <c r="I886" s="154" t="s">
        <v>135</v>
      </c>
      <c r="J886" s="154" t="s">
        <v>2034</v>
      </c>
      <c r="K886" s="154" t="s">
        <v>139</v>
      </c>
      <c r="L886" s="156" t="s">
        <v>62</v>
      </c>
    </row>
    <row r="887">
      <c r="A887" s="153">
        <v>43.0</v>
      </c>
      <c r="B887" s="154" t="s">
        <v>7</v>
      </c>
      <c r="C887" s="154" t="s">
        <v>1116</v>
      </c>
      <c r="D887" s="154" t="s">
        <v>197</v>
      </c>
      <c r="E887" s="154" t="s">
        <v>136</v>
      </c>
      <c r="F887" s="154" t="s">
        <v>136</v>
      </c>
      <c r="G887" s="154" t="s">
        <v>185</v>
      </c>
      <c r="H887" s="155"/>
      <c r="I887" s="154" t="s">
        <v>135</v>
      </c>
      <c r="J887" s="154" t="s">
        <v>2035</v>
      </c>
      <c r="K887" s="154" t="s">
        <v>139</v>
      </c>
      <c r="L887" s="156" t="s">
        <v>62</v>
      </c>
    </row>
    <row r="888">
      <c r="A888" s="153">
        <v>24.0</v>
      </c>
      <c r="B888" s="154" t="s">
        <v>6</v>
      </c>
      <c r="C888" s="154" t="s">
        <v>2036</v>
      </c>
      <c r="D888" s="154" t="s">
        <v>164</v>
      </c>
      <c r="E888" s="154" t="s">
        <v>135</v>
      </c>
      <c r="F888" s="154" t="s">
        <v>136</v>
      </c>
      <c r="G888" s="154" t="s">
        <v>271</v>
      </c>
      <c r="H888" s="155"/>
      <c r="I888" s="154" t="s">
        <v>136</v>
      </c>
      <c r="J888" s="154" t="s">
        <v>2037</v>
      </c>
      <c r="K888" s="154" t="s">
        <v>139</v>
      </c>
      <c r="L888" s="156" t="s">
        <v>62</v>
      </c>
    </row>
    <row r="889">
      <c r="A889" s="153">
        <v>16.0</v>
      </c>
      <c r="B889" s="154" t="s">
        <v>7</v>
      </c>
      <c r="C889" s="154" t="s">
        <v>167</v>
      </c>
      <c r="D889" s="154" t="s">
        <v>143</v>
      </c>
      <c r="E889" s="154" t="s">
        <v>136</v>
      </c>
      <c r="F889" s="154" t="s">
        <v>136</v>
      </c>
      <c r="G889" s="154" t="s">
        <v>377</v>
      </c>
      <c r="H889" s="155"/>
      <c r="I889" s="154" t="s">
        <v>135</v>
      </c>
      <c r="J889" s="154" t="s">
        <v>2038</v>
      </c>
      <c r="K889" s="154" t="s">
        <v>139</v>
      </c>
      <c r="L889" s="156" t="s">
        <v>62</v>
      </c>
    </row>
    <row r="890">
      <c r="A890" s="153">
        <v>41.0</v>
      </c>
      <c r="B890" s="154" t="s">
        <v>7</v>
      </c>
      <c r="C890" s="154" t="s">
        <v>469</v>
      </c>
      <c r="D890" s="154" t="s">
        <v>202</v>
      </c>
      <c r="E890" s="154" t="s">
        <v>136</v>
      </c>
      <c r="F890" s="154" t="s">
        <v>136</v>
      </c>
      <c r="G890" s="154" t="s">
        <v>241</v>
      </c>
      <c r="H890" s="155"/>
      <c r="I890" s="154" t="s">
        <v>135</v>
      </c>
      <c r="J890" s="154" t="s">
        <v>2039</v>
      </c>
      <c r="K890" s="154" t="s">
        <v>139</v>
      </c>
      <c r="L890" s="156" t="s">
        <v>62</v>
      </c>
    </row>
    <row r="891">
      <c r="A891" s="153">
        <v>7.0</v>
      </c>
      <c r="B891" s="154" t="s">
        <v>6</v>
      </c>
      <c r="C891" s="154" t="s">
        <v>2040</v>
      </c>
      <c r="D891" s="154" t="s">
        <v>147</v>
      </c>
      <c r="E891" s="154" t="s">
        <v>135</v>
      </c>
      <c r="F891" s="154" t="s">
        <v>136</v>
      </c>
      <c r="G891" s="154" t="s">
        <v>1225</v>
      </c>
      <c r="H891" s="155"/>
      <c r="I891" s="154" t="s">
        <v>135</v>
      </c>
      <c r="J891" s="157">
        <v>45525.888194444444</v>
      </c>
      <c r="K891" s="154" t="s">
        <v>139</v>
      </c>
      <c r="L891" s="156" t="s">
        <v>62</v>
      </c>
    </row>
    <row r="892">
      <c r="A892" s="153">
        <v>40.0</v>
      </c>
      <c r="B892" s="154" t="s">
        <v>6</v>
      </c>
      <c r="C892" s="154" t="s">
        <v>2041</v>
      </c>
      <c r="D892" s="154" t="s">
        <v>249</v>
      </c>
      <c r="E892" s="154" t="s">
        <v>135</v>
      </c>
      <c r="F892" s="154" t="s">
        <v>136</v>
      </c>
      <c r="G892" s="154" t="s">
        <v>221</v>
      </c>
      <c r="H892" s="155"/>
      <c r="I892" s="154" t="s">
        <v>136</v>
      </c>
      <c r="J892" s="154" t="s">
        <v>2042</v>
      </c>
      <c r="K892" s="154" t="s">
        <v>139</v>
      </c>
      <c r="L892" s="156" t="s">
        <v>62</v>
      </c>
    </row>
    <row r="893">
      <c r="A893" s="153">
        <v>15.0</v>
      </c>
      <c r="B893" s="154" t="s">
        <v>6</v>
      </c>
      <c r="C893" s="154" t="s">
        <v>1828</v>
      </c>
      <c r="D893" s="154" t="s">
        <v>143</v>
      </c>
      <c r="E893" s="154" t="s">
        <v>135</v>
      </c>
      <c r="F893" s="154" t="s">
        <v>136</v>
      </c>
      <c r="G893" s="154" t="s">
        <v>767</v>
      </c>
      <c r="H893" s="155"/>
      <c r="I893" s="154" t="s">
        <v>135</v>
      </c>
      <c r="J893" s="154" t="s">
        <v>2043</v>
      </c>
      <c r="K893" s="154" t="s">
        <v>139</v>
      </c>
      <c r="L893" s="156" t="s">
        <v>62</v>
      </c>
    </row>
    <row r="894">
      <c r="A894" s="153">
        <v>6.0</v>
      </c>
      <c r="B894" s="154" t="s">
        <v>6</v>
      </c>
      <c r="C894" s="154" t="s">
        <v>2044</v>
      </c>
      <c r="D894" s="154" t="s">
        <v>197</v>
      </c>
      <c r="E894" s="154" t="s">
        <v>135</v>
      </c>
      <c r="F894" s="154" t="s">
        <v>136</v>
      </c>
      <c r="G894" s="154" t="s">
        <v>1421</v>
      </c>
      <c r="H894" s="155"/>
      <c r="I894" s="154" t="s">
        <v>135</v>
      </c>
      <c r="J894" s="157">
        <v>45518.50069444445</v>
      </c>
      <c r="K894" s="154" t="s">
        <v>139</v>
      </c>
      <c r="L894" s="156" t="s">
        <v>62</v>
      </c>
    </row>
    <row r="895">
      <c r="A895" s="153">
        <v>49.0</v>
      </c>
      <c r="B895" s="154" t="s">
        <v>6</v>
      </c>
      <c r="C895" s="154" t="s">
        <v>1116</v>
      </c>
      <c r="D895" s="154" t="s">
        <v>197</v>
      </c>
      <c r="E895" s="154" t="s">
        <v>136</v>
      </c>
      <c r="F895" s="154" t="s">
        <v>136</v>
      </c>
      <c r="G895" s="154" t="s">
        <v>2045</v>
      </c>
      <c r="H895" s="154" t="s">
        <v>2046</v>
      </c>
      <c r="I895" s="154" t="s">
        <v>135</v>
      </c>
      <c r="J895" s="154" t="s">
        <v>2047</v>
      </c>
      <c r="K895" s="154" t="s">
        <v>139</v>
      </c>
      <c r="L895" s="156" t="s">
        <v>62</v>
      </c>
    </row>
    <row r="896">
      <c r="A896" s="153">
        <v>23.0</v>
      </c>
      <c r="B896" s="154" t="s">
        <v>6</v>
      </c>
      <c r="C896" s="154" t="s">
        <v>2048</v>
      </c>
      <c r="D896" s="154" t="s">
        <v>164</v>
      </c>
      <c r="E896" s="154" t="s">
        <v>135</v>
      </c>
      <c r="F896" s="154" t="s">
        <v>135</v>
      </c>
      <c r="G896" s="154" t="s">
        <v>157</v>
      </c>
      <c r="H896" s="155"/>
      <c r="I896" s="154" t="s">
        <v>136</v>
      </c>
      <c r="J896" s="154" t="s">
        <v>2049</v>
      </c>
      <c r="K896" s="154" t="s">
        <v>139</v>
      </c>
      <c r="L896" s="156" t="s">
        <v>62</v>
      </c>
    </row>
    <row r="897">
      <c r="A897" s="153">
        <v>34.0</v>
      </c>
      <c r="B897" s="154" t="s">
        <v>6</v>
      </c>
      <c r="C897" s="154" t="s">
        <v>1411</v>
      </c>
      <c r="D897" s="154" t="s">
        <v>202</v>
      </c>
      <c r="E897" s="154" t="s">
        <v>136</v>
      </c>
      <c r="F897" s="154" t="s">
        <v>136</v>
      </c>
      <c r="G897" s="154" t="s">
        <v>297</v>
      </c>
      <c r="H897" s="155"/>
      <c r="I897" s="154" t="s">
        <v>136</v>
      </c>
      <c r="J897" s="154" t="s">
        <v>2050</v>
      </c>
      <c r="K897" s="154" t="s">
        <v>139</v>
      </c>
      <c r="L897" s="156" t="s">
        <v>62</v>
      </c>
    </row>
    <row r="898">
      <c r="A898" s="153">
        <v>36.0</v>
      </c>
      <c r="B898" s="154" t="s">
        <v>7</v>
      </c>
      <c r="C898" s="154" t="s">
        <v>1243</v>
      </c>
      <c r="D898" s="154" t="s">
        <v>187</v>
      </c>
      <c r="E898" s="154" t="s">
        <v>136</v>
      </c>
      <c r="F898" s="154" t="s">
        <v>136</v>
      </c>
      <c r="G898" s="154" t="s">
        <v>174</v>
      </c>
      <c r="H898" s="155"/>
      <c r="I898" s="154" t="s">
        <v>135</v>
      </c>
      <c r="J898" s="154" t="s">
        <v>2051</v>
      </c>
      <c r="K898" s="154" t="s">
        <v>139</v>
      </c>
      <c r="L898" s="156" t="s">
        <v>62</v>
      </c>
    </row>
    <row r="899">
      <c r="A899" s="153">
        <v>22.0</v>
      </c>
      <c r="B899" s="154" t="s">
        <v>7</v>
      </c>
      <c r="C899" s="154" t="s">
        <v>2052</v>
      </c>
      <c r="D899" s="154" t="s">
        <v>248</v>
      </c>
      <c r="E899" s="154" t="s">
        <v>135</v>
      </c>
      <c r="F899" s="154" t="s">
        <v>135</v>
      </c>
      <c r="G899" s="154" t="s">
        <v>150</v>
      </c>
      <c r="H899" s="155"/>
      <c r="I899" s="154" t="s">
        <v>136</v>
      </c>
      <c r="J899" s="154" t="s">
        <v>2053</v>
      </c>
      <c r="K899" s="154" t="s">
        <v>139</v>
      </c>
      <c r="L899" s="156" t="s">
        <v>62</v>
      </c>
    </row>
    <row r="900">
      <c r="A900" s="153">
        <v>39.0</v>
      </c>
      <c r="B900" s="154" t="s">
        <v>7</v>
      </c>
      <c r="C900" s="154" t="s">
        <v>2054</v>
      </c>
      <c r="D900" s="154" t="s">
        <v>164</v>
      </c>
      <c r="E900" s="154" t="s">
        <v>136</v>
      </c>
      <c r="F900" s="154" t="s">
        <v>136</v>
      </c>
      <c r="G900" s="154" t="s">
        <v>382</v>
      </c>
      <c r="H900" s="155"/>
      <c r="I900" s="154" t="s">
        <v>135</v>
      </c>
      <c r="J900" s="154" t="s">
        <v>2055</v>
      </c>
      <c r="K900" s="154" t="s">
        <v>139</v>
      </c>
      <c r="L900" s="156" t="s">
        <v>62</v>
      </c>
    </row>
    <row r="901">
      <c r="A901" s="153">
        <v>52.0</v>
      </c>
      <c r="B901" s="154" t="s">
        <v>6</v>
      </c>
      <c r="C901" s="154" t="s">
        <v>2056</v>
      </c>
      <c r="D901" s="154" t="s">
        <v>164</v>
      </c>
      <c r="E901" s="154" t="s">
        <v>135</v>
      </c>
      <c r="F901" s="154" t="s">
        <v>136</v>
      </c>
      <c r="G901" s="154" t="s">
        <v>454</v>
      </c>
      <c r="H901" s="155"/>
      <c r="I901" s="154" t="s">
        <v>136</v>
      </c>
      <c r="J901" s="154" t="s">
        <v>2057</v>
      </c>
      <c r="K901" s="154" t="s">
        <v>139</v>
      </c>
      <c r="L901" s="156" t="s">
        <v>62</v>
      </c>
    </row>
    <row r="902">
      <c r="A902" s="153">
        <v>14.0</v>
      </c>
      <c r="B902" s="154" t="s">
        <v>6</v>
      </c>
      <c r="C902" s="154" t="s">
        <v>1644</v>
      </c>
      <c r="D902" s="154" t="s">
        <v>143</v>
      </c>
      <c r="E902" s="154" t="s">
        <v>135</v>
      </c>
      <c r="F902" s="154" t="s">
        <v>136</v>
      </c>
      <c r="G902" s="154" t="s">
        <v>349</v>
      </c>
      <c r="H902" s="155"/>
      <c r="I902" s="154" t="s">
        <v>135</v>
      </c>
      <c r="J902" s="154" t="s">
        <v>2058</v>
      </c>
      <c r="K902" s="154" t="s">
        <v>139</v>
      </c>
      <c r="L902" s="156" t="s">
        <v>62</v>
      </c>
    </row>
    <row r="903">
      <c r="A903" s="153">
        <v>12.0</v>
      </c>
      <c r="B903" s="154" t="s">
        <v>7</v>
      </c>
      <c r="C903" s="154" t="s">
        <v>2059</v>
      </c>
      <c r="D903" s="154" t="s">
        <v>214</v>
      </c>
      <c r="E903" s="154" t="s">
        <v>135</v>
      </c>
      <c r="F903" s="154" t="s">
        <v>136</v>
      </c>
      <c r="G903" s="154" t="s">
        <v>1225</v>
      </c>
      <c r="H903" s="155"/>
      <c r="I903" s="154" t="s">
        <v>136</v>
      </c>
      <c r="J903" s="154" t="s">
        <v>2060</v>
      </c>
      <c r="K903" s="154" t="s">
        <v>139</v>
      </c>
      <c r="L903" s="156" t="s">
        <v>62</v>
      </c>
    </row>
    <row r="904">
      <c r="A904" s="153">
        <v>31.0</v>
      </c>
      <c r="B904" s="154" t="s">
        <v>6</v>
      </c>
      <c r="C904" s="154" t="s">
        <v>338</v>
      </c>
      <c r="D904" s="154" t="s">
        <v>143</v>
      </c>
      <c r="E904" s="154" t="s">
        <v>136</v>
      </c>
      <c r="F904" s="154" t="s">
        <v>136</v>
      </c>
      <c r="G904" s="154" t="s">
        <v>349</v>
      </c>
      <c r="H904" s="155"/>
      <c r="I904" s="154" t="s">
        <v>135</v>
      </c>
      <c r="J904" s="154" t="s">
        <v>2061</v>
      </c>
      <c r="K904" s="154" t="s">
        <v>139</v>
      </c>
      <c r="L904" s="156" t="s">
        <v>62</v>
      </c>
    </row>
    <row r="905">
      <c r="A905" s="153">
        <v>13.0</v>
      </c>
      <c r="B905" s="154" t="s">
        <v>7</v>
      </c>
      <c r="C905" s="154" t="s">
        <v>1754</v>
      </c>
      <c r="D905" s="154" t="s">
        <v>223</v>
      </c>
      <c r="E905" s="154" t="s">
        <v>135</v>
      </c>
      <c r="F905" s="154" t="s">
        <v>136</v>
      </c>
      <c r="G905" s="154" t="s">
        <v>137</v>
      </c>
      <c r="H905" s="155"/>
      <c r="I905" s="154" t="s">
        <v>135</v>
      </c>
      <c r="J905" s="154" t="s">
        <v>2062</v>
      </c>
      <c r="K905" s="154" t="s">
        <v>139</v>
      </c>
      <c r="L905" s="156" t="s">
        <v>62</v>
      </c>
    </row>
    <row r="906">
      <c r="A906" s="153">
        <v>27.0</v>
      </c>
      <c r="B906" s="154" t="s">
        <v>6</v>
      </c>
      <c r="C906" s="154" t="s">
        <v>1282</v>
      </c>
      <c r="D906" s="154" t="s">
        <v>134</v>
      </c>
      <c r="E906" s="154" t="s">
        <v>136</v>
      </c>
      <c r="F906" s="154" t="s">
        <v>136</v>
      </c>
      <c r="G906" s="154" t="s">
        <v>1421</v>
      </c>
      <c r="H906" s="155"/>
      <c r="I906" s="154" t="s">
        <v>135</v>
      </c>
      <c r="J906" s="154" t="s">
        <v>2063</v>
      </c>
      <c r="K906" s="154" t="s">
        <v>139</v>
      </c>
      <c r="L906" s="156" t="s">
        <v>62</v>
      </c>
    </row>
    <row r="907">
      <c r="A907" s="153">
        <v>33.0</v>
      </c>
      <c r="B907" s="154" t="s">
        <v>7</v>
      </c>
      <c r="C907" s="154" t="s">
        <v>338</v>
      </c>
      <c r="D907" s="154" t="s">
        <v>143</v>
      </c>
      <c r="E907" s="154" t="s">
        <v>136</v>
      </c>
      <c r="F907" s="154" t="s">
        <v>136</v>
      </c>
      <c r="G907" s="154" t="s">
        <v>349</v>
      </c>
      <c r="H907" s="155"/>
      <c r="I907" s="154" t="s">
        <v>135</v>
      </c>
      <c r="J907" s="154" t="s">
        <v>2064</v>
      </c>
      <c r="K907" s="154" t="s">
        <v>139</v>
      </c>
      <c r="L907" s="156" t="s">
        <v>62</v>
      </c>
    </row>
    <row r="908">
      <c r="A908" s="153">
        <v>50.0</v>
      </c>
      <c r="B908" s="154" t="s">
        <v>7</v>
      </c>
      <c r="C908" s="154" t="s">
        <v>315</v>
      </c>
      <c r="D908" s="154" t="s">
        <v>164</v>
      </c>
      <c r="E908" s="154" t="s">
        <v>136</v>
      </c>
      <c r="F908" s="154" t="s">
        <v>136</v>
      </c>
      <c r="G908" s="154" t="s">
        <v>185</v>
      </c>
      <c r="H908" s="155"/>
      <c r="I908" s="154" t="s">
        <v>135</v>
      </c>
      <c r="J908" s="154" t="s">
        <v>2065</v>
      </c>
      <c r="K908" s="154" t="s">
        <v>139</v>
      </c>
      <c r="L908" s="156" t="s">
        <v>62</v>
      </c>
    </row>
    <row r="909">
      <c r="A909" s="153">
        <v>20.0</v>
      </c>
      <c r="B909" s="154" t="s">
        <v>7</v>
      </c>
      <c r="C909" s="154" t="s">
        <v>453</v>
      </c>
      <c r="D909" s="154" t="s">
        <v>248</v>
      </c>
      <c r="E909" s="154" t="s">
        <v>135</v>
      </c>
      <c r="F909" s="154" t="s">
        <v>136</v>
      </c>
      <c r="G909" s="154" t="s">
        <v>231</v>
      </c>
      <c r="H909" s="155"/>
      <c r="I909" s="154" t="s">
        <v>135</v>
      </c>
      <c r="J909" s="154" t="s">
        <v>2066</v>
      </c>
      <c r="K909" s="154" t="s">
        <v>139</v>
      </c>
      <c r="L909" s="156" t="s">
        <v>62</v>
      </c>
    </row>
    <row r="910">
      <c r="A910" s="153">
        <v>29.0</v>
      </c>
      <c r="B910" s="154" t="s">
        <v>7</v>
      </c>
      <c r="C910" s="154" t="s">
        <v>379</v>
      </c>
      <c r="D910" s="154" t="s">
        <v>202</v>
      </c>
      <c r="E910" s="154" t="s">
        <v>136</v>
      </c>
      <c r="F910" s="154" t="s">
        <v>136</v>
      </c>
      <c r="G910" s="154" t="s">
        <v>606</v>
      </c>
      <c r="H910" s="155"/>
      <c r="I910" s="154" t="s">
        <v>135</v>
      </c>
      <c r="J910" s="154" t="s">
        <v>2067</v>
      </c>
      <c r="K910" s="154" t="s">
        <v>139</v>
      </c>
      <c r="L910" s="156" t="s">
        <v>62</v>
      </c>
    </row>
    <row r="911">
      <c r="A911" s="153">
        <v>22.0</v>
      </c>
      <c r="B911" s="154" t="s">
        <v>7</v>
      </c>
      <c r="C911" s="154" t="s">
        <v>1329</v>
      </c>
      <c r="D911" s="154" t="s">
        <v>214</v>
      </c>
      <c r="E911" s="154" t="s">
        <v>135</v>
      </c>
      <c r="F911" s="154" t="s">
        <v>136</v>
      </c>
      <c r="G911" s="154" t="s">
        <v>479</v>
      </c>
      <c r="H911" s="155"/>
      <c r="I911" s="154" t="s">
        <v>136</v>
      </c>
      <c r="J911" s="154" t="s">
        <v>2068</v>
      </c>
      <c r="K911" s="154" t="s">
        <v>139</v>
      </c>
      <c r="L911" s="156" t="s">
        <v>70</v>
      </c>
    </row>
    <row r="912">
      <c r="A912" s="153">
        <v>14.0</v>
      </c>
      <c r="B912" s="154" t="s">
        <v>6</v>
      </c>
      <c r="C912" s="154" t="s">
        <v>1497</v>
      </c>
      <c r="D912" s="154" t="s">
        <v>165</v>
      </c>
      <c r="E912" s="154" t="s">
        <v>135</v>
      </c>
      <c r="F912" s="154" t="s">
        <v>135</v>
      </c>
      <c r="G912" s="154" t="s">
        <v>2069</v>
      </c>
      <c r="H912" s="155"/>
      <c r="I912" s="154" t="s">
        <v>135</v>
      </c>
      <c r="J912" s="154" t="s">
        <v>2070</v>
      </c>
      <c r="K912" s="154" t="s">
        <v>139</v>
      </c>
      <c r="L912" s="156" t="s">
        <v>70</v>
      </c>
    </row>
    <row r="913">
      <c r="A913" s="153">
        <v>25.0</v>
      </c>
      <c r="B913" s="154" t="s">
        <v>6</v>
      </c>
      <c r="C913" s="154" t="s">
        <v>2071</v>
      </c>
      <c r="D913" s="154" t="s">
        <v>331</v>
      </c>
      <c r="E913" s="154" t="s">
        <v>135</v>
      </c>
      <c r="F913" s="154" t="s">
        <v>136</v>
      </c>
      <c r="G913" s="154" t="s">
        <v>320</v>
      </c>
      <c r="H913" s="155"/>
      <c r="I913" s="154" t="s">
        <v>135</v>
      </c>
      <c r="J913" s="154" t="s">
        <v>2072</v>
      </c>
      <c r="K913" s="154" t="s">
        <v>139</v>
      </c>
      <c r="L913" s="156" t="s">
        <v>70</v>
      </c>
    </row>
    <row r="914">
      <c r="A914" s="153">
        <v>36.0</v>
      </c>
      <c r="B914" s="154" t="s">
        <v>7</v>
      </c>
      <c r="C914" s="154" t="s">
        <v>2073</v>
      </c>
      <c r="D914" s="154" t="s">
        <v>177</v>
      </c>
      <c r="E914" s="154" t="s">
        <v>135</v>
      </c>
      <c r="F914" s="154" t="s">
        <v>136</v>
      </c>
      <c r="G914" s="154" t="s">
        <v>271</v>
      </c>
      <c r="H914" s="155"/>
      <c r="I914" s="154" t="s">
        <v>135</v>
      </c>
      <c r="J914" s="154" t="s">
        <v>2074</v>
      </c>
      <c r="K914" s="154" t="s">
        <v>139</v>
      </c>
      <c r="L914" s="156" t="s">
        <v>70</v>
      </c>
    </row>
    <row r="915">
      <c r="A915" s="153">
        <v>40.0</v>
      </c>
      <c r="B915" s="154" t="s">
        <v>7</v>
      </c>
      <c r="C915" s="154" t="s">
        <v>2075</v>
      </c>
      <c r="D915" s="154" t="s">
        <v>243</v>
      </c>
      <c r="E915" s="154" t="s">
        <v>135</v>
      </c>
      <c r="F915" s="154" t="s">
        <v>136</v>
      </c>
      <c r="G915" s="154" t="s">
        <v>137</v>
      </c>
      <c r="H915" s="155"/>
      <c r="I915" s="154" t="s">
        <v>135</v>
      </c>
      <c r="J915" s="157">
        <v>45597.305555555555</v>
      </c>
      <c r="K915" s="154" t="s">
        <v>139</v>
      </c>
      <c r="L915" s="156" t="s">
        <v>70</v>
      </c>
    </row>
    <row r="916">
      <c r="A916" s="153">
        <v>20.0</v>
      </c>
      <c r="B916" s="154" t="s">
        <v>6</v>
      </c>
      <c r="C916" s="154" t="s">
        <v>2076</v>
      </c>
      <c r="D916" s="154" t="s">
        <v>369</v>
      </c>
      <c r="E916" s="154" t="s">
        <v>135</v>
      </c>
      <c r="F916" s="154" t="s">
        <v>135</v>
      </c>
      <c r="G916" s="154" t="s">
        <v>479</v>
      </c>
      <c r="H916" s="155"/>
      <c r="I916" s="154" t="s">
        <v>135</v>
      </c>
      <c r="J916" s="154" t="s">
        <v>2077</v>
      </c>
      <c r="K916" s="154" t="s">
        <v>139</v>
      </c>
      <c r="L916" s="156" t="s">
        <v>70</v>
      </c>
    </row>
    <row r="917">
      <c r="A917" s="153">
        <v>29.0</v>
      </c>
      <c r="B917" s="154" t="s">
        <v>6</v>
      </c>
      <c r="C917" s="154" t="s">
        <v>2078</v>
      </c>
      <c r="D917" s="154" t="s">
        <v>134</v>
      </c>
      <c r="E917" s="154" t="s">
        <v>136</v>
      </c>
      <c r="F917" s="154" t="s">
        <v>136</v>
      </c>
      <c r="G917" s="154" t="s">
        <v>221</v>
      </c>
      <c r="H917" s="155"/>
      <c r="I917" s="154" t="s">
        <v>135</v>
      </c>
      <c r="J917" s="154" t="s">
        <v>2079</v>
      </c>
      <c r="K917" s="154" t="s">
        <v>139</v>
      </c>
      <c r="L917" s="156" t="s">
        <v>70</v>
      </c>
    </row>
    <row r="918">
      <c r="A918" s="153">
        <v>46.0</v>
      </c>
      <c r="B918" s="154" t="s">
        <v>6</v>
      </c>
      <c r="C918" s="154" t="s">
        <v>696</v>
      </c>
      <c r="D918" s="154" t="s">
        <v>290</v>
      </c>
      <c r="E918" s="154" t="s">
        <v>136</v>
      </c>
      <c r="F918" s="154" t="s">
        <v>136</v>
      </c>
      <c r="G918" s="154" t="s">
        <v>599</v>
      </c>
      <c r="H918" s="155"/>
      <c r="I918" s="154" t="s">
        <v>135</v>
      </c>
      <c r="J918" s="157">
        <v>45598.638194444444</v>
      </c>
      <c r="K918" s="154" t="s">
        <v>139</v>
      </c>
      <c r="L918" s="156" t="s">
        <v>70</v>
      </c>
    </row>
    <row r="919">
      <c r="A919" s="153">
        <v>33.0</v>
      </c>
      <c r="B919" s="154" t="s">
        <v>8</v>
      </c>
      <c r="C919" s="154" t="s">
        <v>379</v>
      </c>
      <c r="D919" s="154" t="s">
        <v>202</v>
      </c>
      <c r="E919" s="154" t="s">
        <v>136</v>
      </c>
      <c r="F919" s="154" t="s">
        <v>136</v>
      </c>
      <c r="G919" s="154" t="s">
        <v>1257</v>
      </c>
      <c r="H919" s="154" t="s">
        <v>2080</v>
      </c>
      <c r="I919" s="154" t="s">
        <v>135</v>
      </c>
      <c r="J919" s="154" t="s">
        <v>2081</v>
      </c>
      <c r="K919" s="154" t="s">
        <v>139</v>
      </c>
      <c r="L919" s="156" t="s">
        <v>70</v>
      </c>
    </row>
    <row r="920">
      <c r="A920" s="153">
        <v>12.0</v>
      </c>
      <c r="B920" s="154" t="s">
        <v>7</v>
      </c>
      <c r="C920" s="154" t="s">
        <v>2082</v>
      </c>
      <c r="D920" s="154" t="s">
        <v>164</v>
      </c>
      <c r="E920" s="154" t="s">
        <v>135</v>
      </c>
      <c r="F920" s="154" t="s">
        <v>136</v>
      </c>
      <c r="G920" s="154" t="s">
        <v>2083</v>
      </c>
      <c r="H920" s="155"/>
      <c r="I920" s="154" t="s">
        <v>135</v>
      </c>
      <c r="J920" s="154" t="s">
        <v>2084</v>
      </c>
      <c r="K920" s="154" t="s">
        <v>139</v>
      </c>
      <c r="L920" s="156" t="s">
        <v>70</v>
      </c>
    </row>
    <row r="921">
      <c r="A921" s="153">
        <v>35.0</v>
      </c>
      <c r="B921" s="154" t="s">
        <v>6</v>
      </c>
      <c r="C921" s="154" t="s">
        <v>1698</v>
      </c>
      <c r="D921" s="154" t="s">
        <v>202</v>
      </c>
      <c r="E921" s="154" t="s">
        <v>136</v>
      </c>
      <c r="F921" s="154" t="s">
        <v>136</v>
      </c>
      <c r="G921" s="154" t="s">
        <v>221</v>
      </c>
      <c r="H921" s="155"/>
      <c r="I921" s="154" t="s">
        <v>135</v>
      </c>
      <c r="J921" s="154" t="s">
        <v>2085</v>
      </c>
      <c r="K921" s="154" t="s">
        <v>139</v>
      </c>
      <c r="L921" s="156" t="s">
        <v>70</v>
      </c>
    </row>
    <row r="922">
      <c r="A922" s="153">
        <v>8.0</v>
      </c>
      <c r="B922" s="154" t="s">
        <v>6</v>
      </c>
      <c r="C922" s="154" t="s">
        <v>2086</v>
      </c>
      <c r="D922" s="154" t="s">
        <v>213</v>
      </c>
      <c r="E922" s="154" t="s">
        <v>135</v>
      </c>
      <c r="F922" s="154" t="s">
        <v>136</v>
      </c>
      <c r="G922" s="154" t="s">
        <v>479</v>
      </c>
      <c r="H922" s="155"/>
      <c r="I922" s="154" t="s">
        <v>135</v>
      </c>
      <c r="J922" s="154" t="s">
        <v>2087</v>
      </c>
      <c r="K922" s="154" t="s">
        <v>139</v>
      </c>
      <c r="L922" s="156" t="s">
        <v>70</v>
      </c>
    </row>
    <row r="923">
      <c r="A923" s="153">
        <v>1.0</v>
      </c>
      <c r="B923" s="154" t="s">
        <v>7</v>
      </c>
      <c r="C923" s="154" t="s">
        <v>195</v>
      </c>
      <c r="D923" s="154" t="s">
        <v>164</v>
      </c>
      <c r="E923" s="154" t="s">
        <v>136</v>
      </c>
      <c r="F923" s="154" t="s">
        <v>136</v>
      </c>
      <c r="G923" s="154" t="s">
        <v>174</v>
      </c>
      <c r="H923" s="154" t="s">
        <v>1141</v>
      </c>
      <c r="I923" s="154" t="s">
        <v>136</v>
      </c>
      <c r="J923" s="154" t="s">
        <v>2088</v>
      </c>
      <c r="K923" s="154" t="s">
        <v>139</v>
      </c>
      <c r="L923" s="156" t="s">
        <v>70</v>
      </c>
    </row>
    <row r="924">
      <c r="A924" s="153">
        <v>26.0</v>
      </c>
      <c r="B924" s="154" t="s">
        <v>6</v>
      </c>
      <c r="C924" s="154" t="s">
        <v>2089</v>
      </c>
      <c r="D924" s="154" t="s">
        <v>263</v>
      </c>
      <c r="E924" s="154" t="s">
        <v>135</v>
      </c>
      <c r="F924" s="154" t="s">
        <v>135</v>
      </c>
      <c r="G924" s="154" t="s">
        <v>454</v>
      </c>
      <c r="H924" s="155"/>
      <c r="I924" s="154" t="s">
        <v>136</v>
      </c>
      <c r="J924" s="154" t="s">
        <v>2090</v>
      </c>
      <c r="K924" s="154" t="s">
        <v>139</v>
      </c>
      <c r="L924" s="156" t="s">
        <v>70</v>
      </c>
    </row>
    <row r="925">
      <c r="A925" s="153">
        <v>50.0</v>
      </c>
      <c r="B925" s="154" t="s">
        <v>6</v>
      </c>
      <c r="C925" s="154" t="s">
        <v>913</v>
      </c>
      <c r="D925" s="154" t="s">
        <v>153</v>
      </c>
      <c r="E925" s="154" t="s">
        <v>135</v>
      </c>
      <c r="F925" s="154" t="s">
        <v>136</v>
      </c>
      <c r="G925" s="154" t="s">
        <v>157</v>
      </c>
      <c r="H925" s="155"/>
      <c r="I925" s="154" t="s">
        <v>135</v>
      </c>
      <c r="J925" s="157">
        <v>45598.93541666667</v>
      </c>
      <c r="K925" s="154" t="s">
        <v>139</v>
      </c>
      <c r="L925" s="156" t="s">
        <v>70</v>
      </c>
    </row>
    <row r="926">
      <c r="A926" s="153">
        <v>48.0</v>
      </c>
      <c r="B926" s="154" t="s">
        <v>6</v>
      </c>
      <c r="C926" s="154" t="s">
        <v>668</v>
      </c>
      <c r="D926" s="154" t="s">
        <v>143</v>
      </c>
      <c r="E926" s="154" t="s">
        <v>135</v>
      </c>
      <c r="F926" s="154" t="s">
        <v>136</v>
      </c>
      <c r="G926" s="154" t="s">
        <v>594</v>
      </c>
      <c r="H926" s="155"/>
      <c r="I926" s="154" t="s">
        <v>135</v>
      </c>
      <c r="J926" s="157">
        <v>45598.69027777778</v>
      </c>
      <c r="K926" s="154" t="s">
        <v>139</v>
      </c>
      <c r="L926" s="156" t="s">
        <v>70</v>
      </c>
    </row>
    <row r="927">
      <c r="A927" s="153">
        <v>38.0</v>
      </c>
      <c r="B927" s="154" t="s">
        <v>7</v>
      </c>
      <c r="C927" s="154" t="s">
        <v>1894</v>
      </c>
      <c r="D927" s="154" t="s">
        <v>327</v>
      </c>
      <c r="E927" s="154" t="s">
        <v>136</v>
      </c>
      <c r="F927" s="154" t="s">
        <v>135</v>
      </c>
      <c r="G927" s="154" t="s">
        <v>150</v>
      </c>
      <c r="H927" s="155"/>
      <c r="I927" s="154" t="s">
        <v>136</v>
      </c>
      <c r="J927" s="154" t="s">
        <v>2091</v>
      </c>
      <c r="K927" s="154" t="s">
        <v>139</v>
      </c>
      <c r="L927" s="156" t="s">
        <v>70</v>
      </c>
    </row>
    <row r="928">
      <c r="A928" s="153">
        <v>31.0</v>
      </c>
      <c r="B928" s="154" t="s">
        <v>7</v>
      </c>
      <c r="C928" s="154" t="s">
        <v>2092</v>
      </c>
      <c r="D928" s="154" t="s">
        <v>134</v>
      </c>
      <c r="E928" s="154" t="s">
        <v>135</v>
      </c>
      <c r="F928" s="154" t="s">
        <v>136</v>
      </c>
      <c r="G928" s="154" t="s">
        <v>137</v>
      </c>
      <c r="H928" s="154" t="s">
        <v>2093</v>
      </c>
      <c r="I928" s="154" t="s">
        <v>136</v>
      </c>
      <c r="J928" s="154" t="s">
        <v>2094</v>
      </c>
      <c r="K928" s="154" t="s">
        <v>139</v>
      </c>
      <c r="L928" s="156" t="s">
        <v>70</v>
      </c>
    </row>
    <row r="929">
      <c r="A929" s="153">
        <v>16.0</v>
      </c>
      <c r="B929" s="154" t="s">
        <v>6</v>
      </c>
      <c r="C929" s="154" t="s">
        <v>1398</v>
      </c>
      <c r="D929" s="154" t="s">
        <v>213</v>
      </c>
      <c r="E929" s="154" t="s">
        <v>135</v>
      </c>
      <c r="F929" s="154" t="s">
        <v>136</v>
      </c>
      <c r="G929" s="154" t="s">
        <v>137</v>
      </c>
      <c r="H929" s="155"/>
      <c r="I929" s="154" t="s">
        <v>135</v>
      </c>
      <c r="J929" s="154" t="s">
        <v>2095</v>
      </c>
      <c r="K929" s="154" t="s">
        <v>139</v>
      </c>
      <c r="L929" s="156" t="s">
        <v>70</v>
      </c>
    </row>
    <row r="930">
      <c r="A930" s="153">
        <v>47.0</v>
      </c>
      <c r="B930" s="154" t="s">
        <v>7</v>
      </c>
      <c r="C930" s="154" t="s">
        <v>1398</v>
      </c>
      <c r="D930" s="154" t="s">
        <v>213</v>
      </c>
      <c r="E930" s="154" t="s">
        <v>135</v>
      </c>
      <c r="F930" s="154" t="s">
        <v>136</v>
      </c>
      <c r="G930" s="154" t="s">
        <v>221</v>
      </c>
      <c r="H930" s="154" t="s">
        <v>2096</v>
      </c>
      <c r="I930" s="154" t="s">
        <v>135</v>
      </c>
      <c r="J930" s="157">
        <v>45598.683333333334</v>
      </c>
      <c r="K930" s="154" t="s">
        <v>139</v>
      </c>
      <c r="L930" s="156" t="s">
        <v>70</v>
      </c>
    </row>
    <row r="931">
      <c r="A931" s="153">
        <v>9.0</v>
      </c>
      <c r="B931" s="154" t="s">
        <v>7</v>
      </c>
      <c r="C931" s="154" t="s">
        <v>2097</v>
      </c>
      <c r="D931" s="154" t="s">
        <v>243</v>
      </c>
      <c r="E931" s="154" t="s">
        <v>135</v>
      </c>
      <c r="F931" s="154" t="s">
        <v>136</v>
      </c>
      <c r="G931" s="154" t="s">
        <v>606</v>
      </c>
      <c r="H931" s="155"/>
      <c r="I931" s="154" t="s">
        <v>135</v>
      </c>
      <c r="J931" s="154" t="s">
        <v>2098</v>
      </c>
      <c r="K931" s="154" t="s">
        <v>139</v>
      </c>
      <c r="L931" s="156" t="s">
        <v>70</v>
      </c>
    </row>
    <row r="932">
      <c r="A932" s="153">
        <v>13.0</v>
      </c>
      <c r="B932" s="154" t="s">
        <v>6</v>
      </c>
      <c r="C932" s="154" t="s">
        <v>2099</v>
      </c>
      <c r="D932" s="154" t="s">
        <v>290</v>
      </c>
      <c r="E932" s="154" t="s">
        <v>135</v>
      </c>
      <c r="F932" s="154" t="s">
        <v>135</v>
      </c>
      <c r="G932" s="154" t="s">
        <v>271</v>
      </c>
      <c r="H932" s="155"/>
      <c r="I932" s="154" t="s">
        <v>135</v>
      </c>
      <c r="J932" s="154" t="s">
        <v>2100</v>
      </c>
      <c r="K932" s="154" t="s">
        <v>139</v>
      </c>
      <c r="L932" s="156" t="s">
        <v>70</v>
      </c>
    </row>
    <row r="933">
      <c r="A933" s="153">
        <v>17.0</v>
      </c>
      <c r="B933" s="154" t="s">
        <v>6</v>
      </c>
      <c r="C933" s="154" t="s">
        <v>564</v>
      </c>
      <c r="D933" s="154" t="s">
        <v>268</v>
      </c>
      <c r="E933" s="154" t="s">
        <v>135</v>
      </c>
      <c r="F933" s="154" t="s">
        <v>136</v>
      </c>
      <c r="G933" s="154" t="s">
        <v>2101</v>
      </c>
      <c r="H933" s="155"/>
      <c r="I933" s="154" t="s">
        <v>135</v>
      </c>
      <c r="J933" s="154" t="s">
        <v>2102</v>
      </c>
      <c r="K933" s="154" t="s">
        <v>139</v>
      </c>
      <c r="L933" s="156" t="s">
        <v>70</v>
      </c>
    </row>
    <row r="934">
      <c r="A934" s="153">
        <v>44.0</v>
      </c>
      <c r="B934" s="154" t="s">
        <v>7</v>
      </c>
      <c r="C934" s="154" t="s">
        <v>1921</v>
      </c>
      <c r="D934" s="154" t="s">
        <v>213</v>
      </c>
      <c r="E934" s="154" t="s">
        <v>135</v>
      </c>
      <c r="F934" s="154" t="s">
        <v>136</v>
      </c>
      <c r="G934" s="154" t="s">
        <v>137</v>
      </c>
      <c r="H934" s="155"/>
      <c r="I934" s="154" t="s">
        <v>136</v>
      </c>
      <c r="J934" s="157">
        <v>45597.64236111111</v>
      </c>
      <c r="K934" s="154" t="s">
        <v>139</v>
      </c>
      <c r="L934" s="156" t="s">
        <v>70</v>
      </c>
    </row>
    <row r="935">
      <c r="A935" s="153">
        <v>30.0</v>
      </c>
      <c r="B935" s="154" t="s">
        <v>6</v>
      </c>
      <c r="C935" s="154" t="s">
        <v>1926</v>
      </c>
      <c r="D935" s="154" t="s">
        <v>400</v>
      </c>
      <c r="E935" s="154" t="s">
        <v>135</v>
      </c>
      <c r="F935" s="154" t="s">
        <v>136</v>
      </c>
      <c r="G935" s="154" t="s">
        <v>157</v>
      </c>
      <c r="H935" s="155"/>
      <c r="I935" s="154" t="s">
        <v>135</v>
      </c>
      <c r="J935" s="154" t="s">
        <v>2103</v>
      </c>
      <c r="K935" s="154" t="s">
        <v>139</v>
      </c>
      <c r="L935" s="156" t="s">
        <v>70</v>
      </c>
    </row>
    <row r="936">
      <c r="A936" s="153">
        <v>41.0</v>
      </c>
      <c r="B936" s="154" t="s">
        <v>6</v>
      </c>
      <c r="C936" s="154" t="s">
        <v>2104</v>
      </c>
      <c r="D936" s="154" t="s">
        <v>243</v>
      </c>
      <c r="E936" s="154" t="s">
        <v>135</v>
      </c>
      <c r="F936" s="154" t="s">
        <v>135</v>
      </c>
      <c r="G936" s="154" t="s">
        <v>137</v>
      </c>
      <c r="H936" s="154" t="s">
        <v>2105</v>
      </c>
      <c r="I936" s="154" t="s">
        <v>135</v>
      </c>
      <c r="J936" s="157">
        <v>45597.42986111111</v>
      </c>
      <c r="K936" s="154" t="s">
        <v>139</v>
      </c>
      <c r="L936" s="156" t="s">
        <v>70</v>
      </c>
    </row>
    <row r="937">
      <c r="A937" s="153">
        <v>37.0</v>
      </c>
      <c r="B937" s="154" t="s">
        <v>6</v>
      </c>
      <c r="C937" s="154" t="s">
        <v>284</v>
      </c>
      <c r="D937" s="154" t="s">
        <v>284</v>
      </c>
      <c r="E937" s="154" t="s">
        <v>136</v>
      </c>
      <c r="F937" s="154" t="s">
        <v>135</v>
      </c>
      <c r="G937" s="154" t="s">
        <v>367</v>
      </c>
      <c r="H937" s="155"/>
      <c r="I937" s="154" t="s">
        <v>135</v>
      </c>
      <c r="J937" s="154" t="s">
        <v>2106</v>
      </c>
      <c r="K937" s="154" t="s">
        <v>139</v>
      </c>
      <c r="L937" s="156" t="s">
        <v>70</v>
      </c>
    </row>
    <row r="938">
      <c r="A938" s="153">
        <v>19.0</v>
      </c>
      <c r="B938" s="154" t="s">
        <v>6</v>
      </c>
      <c r="C938" s="154" t="s">
        <v>2107</v>
      </c>
      <c r="D938" s="154" t="s">
        <v>263</v>
      </c>
      <c r="E938" s="154" t="s">
        <v>135</v>
      </c>
      <c r="F938" s="154" t="s">
        <v>136</v>
      </c>
      <c r="G938" s="154" t="s">
        <v>157</v>
      </c>
      <c r="H938" s="154" t="s">
        <v>2108</v>
      </c>
      <c r="I938" s="154" t="s">
        <v>135</v>
      </c>
      <c r="J938" s="154" t="s">
        <v>2109</v>
      </c>
      <c r="K938" s="154" t="s">
        <v>139</v>
      </c>
      <c r="L938" s="156" t="s">
        <v>70</v>
      </c>
    </row>
    <row r="939">
      <c r="A939" s="153">
        <v>45.0</v>
      </c>
      <c r="B939" s="154" t="s">
        <v>6</v>
      </c>
      <c r="C939" s="154" t="s">
        <v>2110</v>
      </c>
      <c r="D939" s="154" t="s">
        <v>290</v>
      </c>
      <c r="E939" s="154" t="s">
        <v>135</v>
      </c>
      <c r="F939" s="154" t="s">
        <v>136</v>
      </c>
      <c r="G939" s="154" t="s">
        <v>2111</v>
      </c>
      <c r="H939" s="154" t="s">
        <v>2112</v>
      </c>
      <c r="I939" s="154" t="s">
        <v>135</v>
      </c>
      <c r="J939" s="157">
        <v>45598.27777777778</v>
      </c>
      <c r="K939" s="154" t="s">
        <v>139</v>
      </c>
      <c r="L939" s="156" t="s">
        <v>70</v>
      </c>
    </row>
    <row r="940">
      <c r="A940" s="153">
        <v>7.0</v>
      </c>
      <c r="B940" s="154" t="s">
        <v>6</v>
      </c>
      <c r="C940" s="154" t="s">
        <v>2113</v>
      </c>
      <c r="D940" s="154" t="s">
        <v>284</v>
      </c>
      <c r="E940" s="154" t="s">
        <v>136</v>
      </c>
      <c r="F940" s="154" t="s">
        <v>136</v>
      </c>
      <c r="G940" s="154" t="s">
        <v>185</v>
      </c>
      <c r="H940" s="154" t="s">
        <v>2114</v>
      </c>
      <c r="I940" s="154" t="s">
        <v>136</v>
      </c>
      <c r="J940" s="154" t="s">
        <v>2087</v>
      </c>
      <c r="K940" s="154" t="s">
        <v>139</v>
      </c>
      <c r="L940" s="156" t="s">
        <v>70</v>
      </c>
    </row>
    <row r="941">
      <c r="A941" s="153">
        <v>49.0</v>
      </c>
      <c r="B941" s="154" t="s">
        <v>7</v>
      </c>
      <c r="C941" s="154" t="s">
        <v>511</v>
      </c>
      <c r="D941" s="154" t="s">
        <v>243</v>
      </c>
      <c r="E941" s="154" t="s">
        <v>136</v>
      </c>
      <c r="F941" s="154" t="s">
        <v>136</v>
      </c>
      <c r="G941" s="154" t="s">
        <v>2115</v>
      </c>
      <c r="H941" s="155"/>
      <c r="I941" s="154" t="s">
        <v>135</v>
      </c>
      <c r="J941" s="157">
        <v>45598.88333333333</v>
      </c>
      <c r="K941" s="154" t="s">
        <v>139</v>
      </c>
      <c r="L941" s="156" t="s">
        <v>70</v>
      </c>
    </row>
    <row r="942">
      <c r="A942" s="153">
        <v>5.0</v>
      </c>
      <c r="B942" s="154" t="s">
        <v>6</v>
      </c>
      <c r="C942" s="154" t="s">
        <v>1553</v>
      </c>
      <c r="D942" s="154" t="s">
        <v>203</v>
      </c>
      <c r="E942" s="154" t="s">
        <v>135</v>
      </c>
      <c r="F942" s="154" t="s">
        <v>136</v>
      </c>
      <c r="G942" s="154" t="s">
        <v>205</v>
      </c>
      <c r="H942" s="155"/>
      <c r="I942" s="154" t="s">
        <v>136</v>
      </c>
      <c r="J942" s="154" t="s">
        <v>2116</v>
      </c>
      <c r="K942" s="154" t="s">
        <v>139</v>
      </c>
      <c r="L942" s="156" t="s">
        <v>70</v>
      </c>
    </row>
    <row r="943">
      <c r="A943" s="153">
        <v>15.0</v>
      </c>
      <c r="B943" s="154" t="s">
        <v>6</v>
      </c>
      <c r="C943" s="154" t="s">
        <v>471</v>
      </c>
      <c r="D943" s="154" t="s">
        <v>243</v>
      </c>
      <c r="E943" s="154" t="s">
        <v>135</v>
      </c>
      <c r="F943" s="154" t="s">
        <v>135</v>
      </c>
      <c r="G943" s="154" t="s">
        <v>191</v>
      </c>
      <c r="H943" s="155"/>
      <c r="I943" s="154" t="s">
        <v>135</v>
      </c>
      <c r="J943" s="154" t="s">
        <v>2117</v>
      </c>
      <c r="K943" s="154" t="s">
        <v>139</v>
      </c>
      <c r="L943" s="156" t="s">
        <v>70</v>
      </c>
    </row>
    <row r="944">
      <c r="A944" s="153">
        <v>21.0</v>
      </c>
      <c r="B944" s="154" t="s">
        <v>7</v>
      </c>
      <c r="C944" s="154" t="s">
        <v>469</v>
      </c>
      <c r="D944" s="154" t="s">
        <v>202</v>
      </c>
      <c r="E944" s="154" t="s">
        <v>136</v>
      </c>
      <c r="F944" s="154" t="s">
        <v>136</v>
      </c>
      <c r="G944" s="154" t="s">
        <v>297</v>
      </c>
      <c r="H944" s="155"/>
      <c r="I944" s="154" t="s">
        <v>135</v>
      </c>
      <c r="J944" s="154" t="s">
        <v>2118</v>
      </c>
      <c r="K944" s="154" t="s">
        <v>139</v>
      </c>
      <c r="L944" s="156" t="s">
        <v>70</v>
      </c>
    </row>
    <row r="945">
      <c r="A945" s="153">
        <v>27.0</v>
      </c>
      <c r="B945" s="154" t="s">
        <v>6</v>
      </c>
      <c r="C945" s="154" t="s">
        <v>2119</v>
      </c>
      <c r="D945" s="154" t="s">
        <v>202</v>
      </c>
      <c r="E945" s="154" t="s">
        <v>136</v>
      </c>
      <c r="F945" s="154" t="s">
        <v>136</v>
      </c>
      <c r="G945" s="154" t="s">
        <v>363</v>
      </c>
      <c r="H945" s="154" t="s">
        <v>2120</v>
      </c>
      <c r="I945" s="154" t="s">
        <v>136</v>
      </c>
      <c r="J945" s="154" t="s">
        <v>2121</v>
      </c>
      <c r="K945" s="154" t="s">
        <v>139</v>
      </c>
      <c r="L945" s="156" t="s">
        <v>70</v>
      </c>
    </row>
    <row r="946">
      <c r="A946" s="153">
        <v>11.0</v>
      </c>
      <c r="B946" s="154" t="s">
        <v>8</v>
      </c>
      <c r="C946" s="154" t="s">
        <v>235</v>
      </c>
      <c r="D946" s="154" t="s">
        <v>164</v>
      </c>
      <c r="E946" s="154" t="s">
        <v>135</v>
      </c>
      <c r="F946" s="154" t="s">
        <v>136</v>
      </c>
      <c r="G946" s="154" t="s">
        <v>185</v>
      </c>
      <c r="H946" s="154" t="s">
        <v>404</v>
      </c>
      <c r="I946" s="154" t="s">
        <v>136</v>
      </c>
      <c r="J946" s="154" t="s">
        <v>2122</v>
      </c>
      <c r="K946" s="154" t="s">
        <v>139</v>
      </c>
      <c r="L946" s="156" t="s">
        <v>70</v>
      </c>
    </row>
    <row r="947">
      <c r="A947" s="153">
        <v>18.0</v>
      </c>
      <c r="B947" s="154" t="s">
        <v>6</v>
      </c>
      <c r="C947" s="154" t="s">
        <v>2123</v>
      </c>
      <c r="D947" s="154" t="s">
        <v>188</v>
      </c>
      <c r="E947" s="154" t="s">
        <v>135</v>
      </c>
      <c r="F947" s="154" t="s">
        <v>135</v>
      </c>
      <c r="G947" s="154" t="s">
        <v>367</v>
      </c>
      <c r="H947" s="155"/>
      <c r="I947" s="154" t="s">
        <v>136</v>
      </c>
      <c r="J947" s="154" t="s">
        <v>2124</v>
      </c>
      <c r="K947" s="154" t="s">
        <v>139</v>
      </c>
      <c r="L947" s="156" t="s">
        <v>70</v>
      </c>
    </row>
    <row r="948">
      <c r="A948" s="153">
        <v>2.0</v>
      </c>
      <c r="B948" s="154" t="s">
        <v>7</v>
      </c>
      <c r="C948" s="154" t="s">
        <v>513</v>
      </c>
      <c r="D948" s="154" t="s">
        <v>213</v>
      </c>
      <c r="E948" s="154" t="s">
        <v>135</v>
      </c>
      <c r="F948" s="154" t="s">
        <v>136</v>
      </c>
      <c r="G948" s="154" t="s">
        <v>1959</v>
      </c>
      <c r="H948" s="155"/>
      <c r="I948" s="154" t="s">
        <v>135</v>
      </c>
      <c r="J948" s="154" t="s">
        <v>2125</v>
      </c>
      <c r="K948" s="154" t="s">
        <v>139</v>
      </c>
      <c r="L948" s="156" t="s">
        <v>70</v>
      </c>
    </row>
    <row r="949">
      <c r="A949" s="153">
        <v>42.0</v>
      </c>
      <c r="B949" s="154" t="s">
        <v>7</v>
      </c>
      <c r="C949" s="154" t="s">
        <v>769</v>
      </c>
      <c r="D949" s="154" t="s">
        <v>243</v>
      </c>
      <c r="E949" s="154" t="s">
        <v>135</v>
      </c>
      <c r="F949" s="154" t="s">
        <v>136</v>
      </c>
      <c r="G949" s="154" t="s">
        <v>150</v>
      </c>
      <c r="H949" s="155"/>
      <c r="I949" s="154" t="s">
        <v>135</v>
      </c>
      <c r="J949" s="157">
        <v>45597.48819444444</v>
      </c>
      <c r="K949" s="154" t="s">
        <v>139</v>
      </c>
      <c r="L949" s="156" t="s">
        <v>70</v>
      </c>
    </row>
    <row r="950">
      <c r="A950" s="153">
        <v>24.0</v>
      </c>
      <c r="B950" s="154" t="s">
        <v>6</v>
      </c>
      <c r="C950" s="154" t="s">
        <v>1411</v>
      </c>
      <c r="D950" s="154" t="s">
        <v>202</v>
      </c>
      <c r="E950" s="154" t="s">
        <v>136</v>
      </c>
      <c r="F950" s="154" t="s">
        <v>136</v>
      </c>
      <c r="G950" s="154" t="s">
        <v>1412</v>
      </c>
      <c r="H950" s="154" t="s">
        <v>1413</v>
      </c>
      <c r="I950" s="154" t="s">
        <v>135</v>
      </c>
      <c r="J950" s="154" t="s">
        <v>2126</v>
      </c>
      <c r="K950" s="154" t="s">
        <v>139</v>
      </c>
      <c r="L950" s="156" t="s">
        <v>70</v>
      </c>
    </row>
    <row r="951">
      <c r="A951" s="153">
        <v>3.0</v>
      </c>
      <c r="B951" s="154" t="s">
        <v>7</v>
      </c>
      <c r="C951" s="154" t="s">
        <v>1367</v>
      </c>
      <c r="D951" s="154" t="s">
        <v>209</v>
      </c>
      <c r="E951" s="154" t="s">
        <v>136</v>
      </c>
      <c r="F951" s="154" t="s">
        <v>136</v>
      </c>
      <c r="G951" s="154" t="s">
        <v>137</v>
      </c>
      <c r="H951" s="155"/>
      <c r="I951" s="154" t="s">
        <v>135</v>
      </c>
      <c r="J951" s="154" t="s">
        <v>2127</v>
      </c>
      <c r="K951" s="154" t="s">
        <v>139</v>
      </c>
      <c r="L951" s="156" t="s">
        <v>70</v>
      </c>
    </row>
    <row r="952">
      <c r="A952" s="153">
        <v>34.0</v>
      </c>
      <c r="B952" s="154" t="s">
        <v>6</v>
      </c>
      <c r="C952" s="154" t="s">
        <v>1975</v>
      </c>
      <c r="D952" s="154" t="s">
        <v>243</v>
      </c>
      <c r="E952" s="154" t="s">
        <v>136</v>
      </c>
      <c r="F952" s="154" t="s">
        <v>135</v>
      </c>
      <c r="G952" s="154" t="s">
        <v>2128</v>
      </c>
      <c r="H952" s="155"/>
      <c r="I952" s="154" t="s">
        <v>135</v>
      </c>
      <c r="J952" s="154" t="s">
        <v>2129</v>
      </c>
      <c r="K952" s="154" t="s">
        <v>139</v>
      </c>
      <c r="L952" s="156" t="s">
        <v>70</v>
      </c>
    </row>
    <row r="953">
      <c r="A953" s="153">
        <v>39.0</v>
      </c>
      <c r="B953" s="154" t="s">
        <v>6</v>
      </c>
      <c r="C953" s="154" t="s">
        <v>2130</v>
      </c>
      <c r="D953" s="154" t="s">
        <v>202</v>
      </c>
      <c r="E953" s="154" t="s">
        <v>135</v>
      </c>
      <c r="F953" s="154" t="s">
        <v>136</v>
      </c>
      <c r="G953" s="154" t="s">
        <v>185</v>
      </c>
      <c r="H953" s="154" t="s">
        <v>2131</v>
      </c>
      <c r="I953" s="154" t="s">
        <v>136</v>
      </c>
      <c r="J953" s="157">
        <v>45597.12847222222</v>
      </c>
      <c r="K953" s="154" t="s">
        <v>139</v>
      </c>
      <c r="L953" s="156" t="s">
        <v>70</v>
      </c>
    </row>
    <row r="954">
      <c r="A954" s="153">
        <v>6.0</v>
      </c>
      <c r="B954" s="154" t="s">
        <v>7</v>
      </c>
      <c r="C954" s="154" t="s">
        <v>1501</v>
      </c>
      <c r="D954" s="154" t="s">
        <v>187</v>
      </c>
      <c r="E954" s="154" t="s">
        <v>135</v>
      </c>
      <c r="F954" s="154" t="s">
        <v>136</v>
      </c>
      <c r="G954" s="154" t="s">
        <v>137</v>
      </c>
      <c r="H954" s="155"/>
      <c r="I954" s="154" t="s">
        <v>135</v>
      </c>
      <c r="J954" s="154" t="s">
        <v>2116</v>
      </c>
      <c r="K954" s="154" t="s">
        <v>139</v>
      </c>
      <c r="L954" s="156" t="s">
        <v>70</v>
      </c>
    </row>
    <row r="955">
      <c r="A955" s="153">
        <v>23.0</v>
      </c>
      <c r="B955" s="154" t="s">
        <v>6</v>
      </c>
      <c r="C955" s="154" t="s">
        <v>2132</v>
      </c>
      <c r="D955" s="154" t="s">
        <v>143</v>
      </c>
      <c r="E955" s="154" t="s">
        <v>135</v>
      </c>
      <c r="F955" s="154" t="s">
        <v>136</v>
      </c>
      <c r="G955" s="154" t="s">
        <v>606</v>
      </c>
      <c r="H955" s="154" t="s">
        <v>2133</v>
      </c>
      <c r="I955" s="154" t="s">
        <v>135</v>
      </c>
      <c r="J955" s="154" t="s">
        <v>2134</v>
      </c>
      <c r="K955" s="154" t="s">
        <v>139</v>
      </c>
      <c r="L955" s="156" t="s">
        <v>70</v>
      </c>
    </row>
    <row r="956">
      <c r="A956" s="153">
        <v>10.0</v>
      </c>
      <c r="B956" s="154" t="s">
        <v>6</v>
      </c>
      <c r="C956" s="154" t="s">
        <v>315</v>
      </c>
      <c r="D956" s="154" t="s">
        <v>164</v>
      </c>
      <c r="E956" s="154" t="s">
        <v>135</v>
      </c>
      <c r="F956" s="154" t="s">
        <v>136</v>
      </c>
      <c r="G956" s="154" t="s">
        <v>256</v>
      </c>
      <c r="H956" s="154" t="s">
        <v>2135</v>
      </c>
      <c r="I956" s="154" t="s">
        <v>135</v>
      </c>
      <c r="J956" s="154" t="s">
        <v>2136</v>
      </c>
      <c r="K956" s="154" t="s">
        <v>139</v>
      </c>
      <c r="L956" s="156" t="s">
        <v>70</v>
      </c>
    </row>
    <row r="957">
      <c r="A957" s="153">
        <v>32.0</v>
      </c>
      <c r="B957" s="154" t="s">
        <v>6</v>
      </c>
      <c r="C957" s="154" t="s">
        <v>133</v>
      </c>
      <c r="D957" s="154" t="s">
        <v>134</v>
      </c>
      <c r="E957" s="154" t="s">
        <v>136</v>
      </c>
      <c r="F957" s="154" t="s">
        <v>136</v>
      </c>
      <c r="G957" s="154" t="s">
        <v>1421</v>
      </c>
      <c r="H957" s="155"/>
      <c r="I957" s="154" t="s">
        <v>135</v>
      </c>
      <c r="J957" s="154" t="s">
        <v>2137</v>
      </c>
      <c r="K957" s="154" t="s">
        <v>139</v>
      </c>
      <c r="L957" s="156" t="s">
        <v>70</v>
      </c>
    </row>
    <row r="958">
      <c r="A958" s="153">
        <v>4.0</v>
      </c>
      <c r="B958" s="154" t="s">
        <v>7</v>
      </c>
      <c r="C958" s="154" t="s">
        <v>315</v>
      </c>
      <c r="D958" s="154" t="s">
        <v>164</v>
      </c>
      <c r="E958" s="154" t="s">
        <v>136</v>
      </c>
      <c r="F958" s="154" t="s">
        <v>136</v>
      </c>
      <c r="G958" s="154" t="s">
        <v>185</v>
      </c>
      <c r="H958" s="155"/>
      <c r="I958" s="154" t="s">
        <v>136</v>
      </c>
      <c r="J958" s="154" t="s">
        <v>2138</v>
      </c>
      <c r="K958" s="154" t="s">
        <v>139</v>
      </c>
      <c r="L958" s="156" t="s">
        <v>70</v>
      </c>
    </row>
    <row r="959">
      <c r="A959" s="153">
        <v>43.0</v>
      </c>
      <c r="B959" s="154" t="s">
        <v>7</v>
      </c>
      <c r="C959" s="154" t="s">
        <v>2139</v>
      </c>
      <c r="D959" s="154" t="s">
        <v>143</v>
      </c>
      <c r="E959" s="154" t="s">
        <v>135</v>
      </c>
      <c r="F959" s="154" t="s">
        <v>136</v>
      </c>
      <c r="G959" s="154" t="s">
        <v>1108</v>
      </c>
      <c r="H959" s="154" t="s">
        <v>2140</v>
      </c>
      <c r="I959" s="154" t="s">
        <v>135</v>
      </c>
      <c r="J959" s="157">
        <v>45597.55902777778</v>
      </c>
      <c r="K959" s="154" t="s">
        <v>139</v>
      </c>
      <c r="L959" s="156" t="s">
        <v>70</v>
      </c>
    </row>
    <row r="960">
      <c r="A960" s="153">
        <v>28.0</v>
      </c>
      <c r="B960" s="154" t="s">
        <v>7</v>
      </c>
      <c r="C960" s="154" t="s">
        <v>379</v>
      </c>
      <c r="D960" s="154" t="s">
        <v>202</v>
      </c>
      <c r="E960" s="154" t="s">
        <v>136</v>
      </c>
      <c r="F960" s="154" t="s">
        <v>136</v>
      </c>
      <c r="G960" s="154" t="s">
        <v>606</v>
      </c>
      <c r="H960" s="155"/>
      <c r="I960" s="154" t="s">
        <v>135</v>
      </c>
      <c r="J960" s="154" t="s">
        <v>2141</v>
      </c>
      <c r="K960" s="154" t="s">
        <v>139</v>
      </c>
      <c r="L960" s="156" t="s">
        <v>70</v>
      </c>
    </row>
    <row r="961">
      <c r="A961" s="17">
        <v>1.0</v>
      </c>
      <c r="B961" s="158" t="s">
        <v>1488</v>
      </c>
      <c r="D961" s="158" t="s">
        <v>134</v>
      </c>
      <c r="E961" s="158" t="s">
        <v>2142</v>
      </c>
      <c r="G961" s="158" t="s">
        <v>137</v>
      </c>
      <c r="J961" s="159" t="s">
        <v>2143</v>
      </c>
      <c r="K961" s="17" t="s">
        <v>139</v>
      </c>
      <c r="L961" s="17" t="s">
        <v>208</v>
      </c>
    </row>
    <row r="962">
      <c r="A962" s="17">
        <v>1.0</v>
      </c>
      <c r="B962" s="158" t="s">
        <v>1488</v>
      </c>
      <c r="D962" s="158" t="s">
        <v>143</v>
      </c>
      <c r="E962" s="158" t="s">
        <v>2113</v>
      </c>
      <c r="G962" s="158" t="s">
        <v>2144</v>
      </c>
      <c r="J962" s="159" t="s">
        <v>2145</v>
      </c>
      <c r="K962" s="17" t="s">
        <v>139</v>
      </c>
      <c r="L962" s="17" t="s">
        <v>208</v>
      </c>
    </row>
    <row r="963">
      <c r="A963" s="17">
        <v>1.0</v>
      </c>
      <c r="B963" s="158" t="s">
        <v>1488</v>
      </c>
      <c r="D963" s="158" t="s">
        <v>249</v>
      </c>
      <c r="E963" s="158" t="s">
        <v>2146</v>
      </c>
      <c r="G963" s="158" t="s">
        <v>1522</v>
      </c>
      <c r="J963" s="159" t="s">
        <v>2147</v>
      </c>
      <c r="K963" s="17" t="s">
        <v>139</v>
      </c>
      <c r="L963" s="17" t="s">
        <v>208</v>
      </c>
    </row>
    <row r="964">
      <c r="A964" s="17">
        <v>1.0</v>
      </c>
      <c r="B964" s="158" t="s">
        <v>1491</v>
      </c>
      <c r="D964" s="160" t="s">
        <v>358</v>
      </c>
      <c r="E964" s="158" t="s">
        <v>2142</v>
      </c>
      <c r="G964" s="158" t="s">
        <v>2148</v>
      </c>
      <c r="J964" s="159" t="s">
        <v>2149</v>
      </c>
      <c r="K964" s="17" t="s">
        <v>139</v>
      </c>
      <c r="L964" s="17" t="s">
        <v>208</v>
      </c>
    </row>
    <row r="965">
      <c r="A965" s="17">
        <v>1.0</v>
      </c>
      <c r="B965" s="158" t="s">
        <v>1491</v>
      </c>
      <c r="D965" s="158" t="s">
        <v>143</v>
      </c>
      <c r="E965" s="158" t="s">
        <v>511</v>
      </c>
      <c r="G965" s="158" t="s">
        <v>2150</v>
      </c>
      <c r="J965" s="159" t="s">
        <v>2151</v>
      </c>
      <c r="K965" s="17" t="s">
        <v>139</v>
      </c>
      <c r="L965" s="17" t="s">
        <v>208</v>
      </c>
    </row>
    <row r="966">
      <c r="A966" s="17">
        <v>1.0</v>
      </c>
      <c r="B966" s="158" t="s">
        <v>1491</v>
      </c>
      <c r="D966" s="158" t="s">
        <v>416</v>
      </c>
      <c r="E966" s="158" t="s">
        <v>2142</v>
      </c>
      <c r="G966" s="158" t="s">
        <v>2152</v>
      </c>
      <c r="J966" s="159" t="s">
        <v>2153</v>
      </c>
      <c r="K966" s="17" t="s">
        <v>139</v>
      </c>
      <c r="L966" s="17" t="s">
        <v>208</v>
      </c>
    </row>
    <row r="967">
      <c r="A967" s="17">
        <v>1.0</v>
      </c>
      <c r="B967" s="158" t="s">
        <v>1491</v>
      </c>
      <c r="D967" s="160" t="s">
        <v>263</v>
      </c>
      <c r="E967" s="158" t="s">
        <v>2154</v>
      </c>
      <c r="G967" s="158" t="s">
        <v>2155</v>
      </c>
      <c r="J967" s="159" t="s">
        <v>2156</v>
      </c>
      <c r="K967" s="17" t="s">
        <v>139</v>
      </c>
      <c r="L967" s="17" t="s">
        <v>208</v>
      </c>
    </row>
    <row r="968">
      <c r="A968" s="17">
        <v>1.0</v>
      </c>
      <c r="B968" s="158" t="s">
        <v>1491</v>
      </c>
      <c r="D968" s="160" t="s">
        <v>263</v>
      </c>
      <c r="E968" s="158" t="s">
        <v>2146</v>
      </c>
      <c r="G968" s="158" t="s">
        <v>2157</v>
      </c>
      <c r="J968" s="159" t="s">
        <v>2158</v>
      </c>
      <c r="K968" s="17" t="s">
        <v>139</v>
      </c>
      <c r="L968" s="17" t="s">
        <v>208</v>
      </c>
    </row>
    <row r="969">
      <c r="A969" s="17">
        <v>1.0</v>
      </c>
      <c r="B969" s="158" t="s">
        <v>1488</v>
      </c>
      <c r="D969" s="160" t="s">
        <v>263</v>
      </c>
      <c r="E969" s="158" t="s">
        <v>2146</v>
      </c>
      <c r="G969" s="158" t="s">
        <v>2159</v>
      </c>
      <c r="J969" s="159" t="s">
        <v>2160</v>
      </c>
      <c r="K969" s="17" t="s">
        <v>139</v>
      </c>
      <c r="L969" s="17" t="s">
        <v>208</v>
      </c>
    </row>
    <row r="970">
      <c r="A970" s="17">
        <v>1.0</v>
      </c>
      <c r="B970" s="158" t="s">
        <v>1488</v>
      </c>
      <c r="D970" s="158" t="s">
        <v>164</v>
      </c>
      <c r="E970" s="158" t="s">
        <v>2146</v>
      </c>
      <c r="G970" s="158" t="s">
        <v>2161</v>
      </c>
      <c r="J970" s="159" t="s">
        <v>2162</v>
      </c>
      <c r="K970" s="17" t="s">
        <v>139</v>
      </c>
      <c r="L970" s="17" t="s">
        <v>208</v>
      </c>
    </row>
    <row r="971">
      <c r="A971" s="17">
        <v>1.0</v>
      </c>
      <c r="B971" s="158" t="s">
        <v>1488</v>
      </c>
      <c r="D971" s="158" t="s">
        <v>202</v>
      </c>
      <c r="E971" s="158" t="s">
        <v>2154</v>
      </c>
      <c r="G971" s="158" t="s">
        <v>2163</v>
      </c>
      <c r="J971" s="159" t="s">
        <v>2164</v>
      </c>
      <c r="K971" s="17" t="s">
        <v>139</v>
      </c>
      <c r="L971" s="17" t="s">
        <v>208</v>
      </c>
    </row>
    <row r="972">
      <c r="A972" s="17">
        <v>1.0</v>
      </c>
      <c r="B972" s="158" t="s">
        <v>1488</v>
      </c>
      <c r="D972" s="160" t="s">
        <v>263</v>
      </c>
      <c r="E972" s="158" t="s">
        <v>2165</v>
      </c>
      <c r="G972" s="158" t="s">
        <v>2166</v>
      </c>
      <c r="J972" s="159" t="s">
        <v>2167</v>
      </c>
      <c r="K972" s="17" t="s">
        <v>139</v>
      </c>
      <c r="L972" s="17" t="s">
        <v>208</v>
      </c>
    </row>
    <row r="973">
      <c r="A973" s="17">
        <v>1.0</v>
      </c>
      <c r="B973" s="158" t="s">
        <v>1491</v>
      </c>
      <c r="D973" s="158" t="s">
        <v>143</v>
      </c>
      <c r="E973" s="158" t="s">
        <v>2113</v>
      </c>
      <c r="G973" s="158" t="s">
        <v>1623</v>
      </c>
      <c r="J973" s="159" t="s">
        <v>2168</v>
      </c>
      <c r="K973" s="17" t="s">
        <v>139</v>
      </c>
      <c r="L973" s="17" t="s">
        <v>208</v>
      </c>
    </row>
    <row r="974">
      <c r="A974" s="17">
        <v>1.0</v>
      </c>
      <c r="B974" s="158" t="s">
        <v>1491</v>
      </c>
      <c r="D974" s="158" t="s">
        <v>263</v>
      </c>
      <c r="E974" s="158" t="s">
        <v>2146</v>
      </c>
      <c r="G974" s="158" t="s">
        <v>2169</v>
      </c>
      <c r="J974" s="159" t="s">
        <v>2170</v>
      </c>
      <c r="K974" s="17" t="s">
        <v>139</v>
      </c>
      <c r="L974" s="17" t="s">
        <v>208</v>
      </c>
    </row>
    <row r="975">
      <c r="A975" s="17">
        <v>1.0</v>
      </c>
      <c r="B975" s="158" t="s">
        <v>1491</v>
      </c>
      <c r="D975" s="158" t="s">
        <v>202</v>
      </c>
      <c r="E975" s="158" t="s">
        <v>2165</v>
      </c>
      <c r="G975" s="158" t="s">
        <v>2171</v>
      </c>
      <c r="J975" s="159" t="s">
        <v>2172</v>
      </c>
      <c r="K975" s="17" t="s">
        <v>139</v>
      </c>
      <c r="L975" s="17" t="s">
        <v>208</v>
      </c>
    </row>
    <row r="976">
      <c r="A976" s="17">
        <v>1.0</v>
      </c>
      <c r="B976" s="158" t="s">
        <v>1488</v>
      </c>
      <c r="D976" s="158" t="s">
        <v>164</v>
      </c>
      <c r="E976" s="158" t="s">
        <v>2113</v>
      </c>
      <c r="G976" s="158" t="s">
        <v>775</v>
      </c>
      <c r="J976" s="159" t="s">
        <v>2173</v>
      </c>
      <c r="K976" s="17" t="s">
        <v>139</v>
      </c>
      <c r="L976" s="17" t="s">
        <v>208</v>
      </c>
    </row>
    <row r="977">
      <c r="A977" s="17">
        <v>1.0</v>
      </c>
      <c r="B977" s="158" t="s">
        <v>1488</v>
      </c>
      <c r="D977" s="160" t="s">
        <v>258</v>
      </c>
      <c r="E977" s="158" t="s">
        <v>2165</v>
      </c>
      <c r="G977" s="158" t="s">
        <v>2174</v>
      </c>
      <c r="J977" s="159" t="s">
        <v>2175</v>
      </c>
      <c r="K977" s="17" t="s">
        <v>139</v>
      </c>
      <c r="L977" s="17" t="s">
        <v>208</v>
      </c>
    </row>
    <row r="978">
      <c r="A978" s="17">
        <v>1.0</v>
      </c>
      <c r="B978" s="158" t="s">
        <v>1488</v>
      </c>
      <c r="D978" s="161" t="s">
        <v>176</v>
      </c>
      <c r="E978" s="158" t="s">
        <v>2146</v>
      </c>
      <c r="G978" s="158" t="s">
        <v>137</v>
      </c>
      <c r="J978" s="159" t="s">
        <v>2176</v>
      </c>
      <c r="K978" s="17" t="s">
        <v>139</v>
      </c>
      <c r="L978" s="17" t="s">
        <v>208</v>
      </c>
    </row>
    <row r="979">
      <c r="A979" s="17">
        <v>1.0</v>
      </c>
      <c r="B979" s="158" t="s">
        <v>1488</v>
      </c>
      <c r="D979" s="158" t="s">
        <v>416</v>
      </c>
      <c r="E979" s="158" t="s">
        <v>2146</v>
      </c>
      <c r="G979" s="158" t="s">
        <v>2177</v>
      </c>
      <c r="J979" s="159" t="s">
        <v>2178</v>
      </c>
      <c r="K979" s="17" t="s">
        <v>139</v>
      </c>
      <c r="L979" s="17" t="s">
        <v>208</v>
      </c>
    </row>
    <row r="980">
      <c r="A980" s="17">
        <v>1.0</v>
      </c>
      <c r="B980" s="158" t="s">
        <v>1488</v>
      </c>
      <c r="D980" s="161" t="s">
        <v>213</v>
      </c>
      <c r="E980" s="158" t="s">
        <v>2113</v>
      </c>
      <c r="G980" s="158" t="s">
        <v>2179</v>
      </c>
      <c r="J980" s="159" t="s">
        <v>2180</v>
      </c>
      <c r="K980" s="17" t="s">
        <v>139</v>
      </c>
      <c r="L980" s="17" t="s">
        <v>208</v>
      </c>
    </row>
    <row r="981">
      <c r="A981" s="17">
        <v>1.0</v>
      </c>
      <c r="B981" s="158" t="s">
        <v>1488</v>
      </c>
      <c r="D981" s="158" t="s">
        <v>416</v>
      </c>
      <c r="E981" s="158" t="s">
        <v>2113</v>
      </c>
      <c r="G981" s="158" t="s">
        <v>137</v>
      </c>
      <c r="J981" s="159" t="s">
        <v>2181</v>
      </c>
      <c r="K981" s="17" t="s">
        <v>139</v>
      </c>
      <c r="L981" s="17" t="s">
        <v>208</v>
      </c>
    </row>
    <row r="982">
      <c r="A982" s="17">
        <v>1.0</v>
      </c>
      <c r="B982" s="158" t="s">
        <v>1488</v>
      </c>
      <c r="D982" s="160" t="s">
        <v>263</v>
      </c>
      <c r="E982" s="158" t="s">
        <v>2113</v>
      </c>
      <c r="G982" s="158" t="s">
        <v>2182</v>
      </c>
      <c r="J982" s="159" t="s">
        <v>2183</v>
      </c>
      <c r="K982" s="17" t="s">
        <v>139</v>
      </c>
      <c r="L982" s="17" t="s">
        <v>208</v>
      </c>
    </row>
    <row r="983">
      <c r="A983" s="17">
        <v>1.0</v>
      </c>
      <c r="B983" s="158" t="s">
        <v>1491</v>
      </c>
      <c r="D983" s="160" t="s">
        <v>263</v>
      </c>
      <c r="E983" s="158" t="s">
        <v>2154</v>
      </c>
      <c r="G983" s="158" t="s">
        <v>2184</v>
      </c>
      <c r="J983" s="159" t="s">
        <v>2185</v>
      </c>
      <c r="K983" s="17" t="s">
        <v>139</v>
      </c>
      <c r="L983" s="17" t="s">
        <v>208</v>
      </c>
    </row>
    <row r="984">
      <c r="A984" s="17">
        <v>1.0</v>
      </c>
      <c r="B984" s="158" t="s">
        <v>1491</v>
      </c>
      <c r="D984" s="160" t="s">
        <v>263</v>
      </c>
      <c r="E984" s="158" t="s">
        <v>2142</v>
      </c>
      <c r="G984" s="158" t="s">
        <v>2186</v>
      </c>
      <c r="J984" s="159" t="s">
        <v>2187</v>
      </c>
      <c r="K984" s="17" t="s">
        <v>139</v>
      </c>
      <c r="L984" s="17" t="s">
        <v>208</v>
      </c>
    </row>
    <row r="985">
      <c r="A985" s="17">
        <v>1.0</v>
      </c>
      <c r="B985" s="162" t="s">
        <v>416</v>
      </c>
      <c r="D985" s="158" t="s">
        <v>164</v>
      </c>
      <c r="E985" s="158" t="s">
        <v>2188</v>
      </c>
      <c r="G985" s="158" t="s">
        <v>137</v>
      </c>
      <c r="J985" s="159" t="s">
        <v>2189</v>
      </c>
      <c r="K985" s="17" t="s">
        <v>139</v>
      </c>
      <c r="L985" s="17" t="s">
        <v>208</v>
      </c>
    </row>
    <row r="986">
      <c r="A986" s="17">
        <v>1.0</v>
      </c>
      <c r="B986" s="158" t="s">
        <v>1488</v>
      </c>
      <c r="D986" s="160" t="s">
        <v>263</v>
      </c>
      <c r="E986" s="158" t="s">
        <v>2146</v>
      </c>
      <c r="G986" s="158" t="s">
        <v>137</v>
      </c>
      <c r="J986" s="159" t="s">
        <v>2190</v>
      </c>
      <c r="K986" s="17" t="s">
        <v>139</v>
      </c>
      <c r="L986" s="17" t="s">
        <v>208</v>
      </c>
    </row>
    <row r="987">
      <c r="A987" s="17">
        <v>1.0</v>
      </c>
      <c r="B987" s="158" t="s">
        <v>1488</v>
      </c>
      <c r="D987" s="161" t="s">
        <v>223</v>
      </c>
      <c r="E987" s="158" t="s">
        <v>2191</v>
      </c>
      <c r="G987" s="158" t="s">
        <v>137</v>
      </c>
      <c r="J987" s="159" t="s">
        <v>2192</v>
      </c>
      <c r="K987" s="17" t="s">
        <v>139</v>
      </c>
      <c r="L987" s="17" t="s">
        <v>208</v>
      </c>
    </row>
    <row r="988">
      <c r="A988" s="17">
        <v>1.0</v>
      </c>
      <c r="B988" s="158" t="s">
        <v>1491</v>
      </c>
      <c r="D988" s="158" t="s">
        <v>416</v>
      </c>
      <c r="E988" s="158" t="s">
        <v>2191</v>
      </c>
      <c r="G988" s="158" t="s">
        <v>2193</v>
      </c>
      <c r="J988" s="159" t="s">
        <v>2194</v>
      </c>
      <c r="K988" s="17" t="s">
        <v>139</v>
      </c>
      <c r="L988" s="17" t="s">
        <v>208</v>
      </c>
    </row>
    <row r="989">
      <c r="A989" s="17">
        <v>1.0</v>
      </c>
      <c r="B989" s="158" t="s">
        <v>1491</v>
      </c>
      <c r="D989" s="160" t="s">
        <v>244</v>
      </c>
      <c r="E989" s="158" t="s">
        <v>2146</v>
      </c>
      <c r="G989" s="158" t="s">
        <v>2195</v>
      </c>
      <c r="J989" s="159" t="s">
        <v>2196</v>
      </c>
      <c r="K989" s="17" t="s">
        <v>139</v>
      </c>
      <c r="L989" s="17" t="s">
        <v>208</v>
      </c>
    </row>
    <row r="990">
      <c r="A990" s="17">
        <v>1.0</v>
      </c>
      <c r="B990" s="158" t="s">
        <v>1491</v>
      </c>
      <c r="D990" s="158" t="s">
        <v>416</v>
      </c>
      <c r="E990" s="158" t="s">
        <v>2113</v>
      </c>
      <c r="G990" s="158" t="s">
        <v>2197</v>
      </c>
      <c r="J990" s="159" t="s">
        <v>2198</v>
      </c>
      <c r="K990" s="17" t="s">
        <v>139</v>
      </c>
      <c r="L990" s="17" t="s">
        <v>208</v>
      </c>
    </row>
    <row r="991">
      <c r="A991" s="17">
        <v>1.0</v>
      </c>
      <c r="B991" s="158" t="s">
        <v>1491</v>
      </c>
      <c r="D991" s="160" t="s">
        <v>263</v>
      </c>
      <c r="E991" s="158" t="s">
        <v>2154</v>
      </c>
      <c r="G991" s="158" t="s">
        <v>2199</v>
      </c>
      <c r="J991" s="159" t="s">
        <v>2200</v>
      </c>
      <c r="K991" s="17" t="s">
        <v>139</v>
      </c>
      <c r="L991" s="17" t="s">
        <v>208</v>
      </c>
    </row>
    <row r="992">
      <c r="A992" s="17">
        <v>1.0</v>
      </c>
      <c r="B992" s="158" t="s">
        <v>1488</v>
      </c>
      <c r="D992" s="160" t="s">
        <v>263</v>
      </c>
      <c r="E992" s="158" t="s">
        <v>2165</v>
      </c>
      <c r="G992" s="158" t="s">
        <v>2201</v>
      </c>
      <c r="J992" s="159" t="s">
        <v>2202</v>
      </c>
      <c r="K992" s="17" t="s">
        <v>139</v>
      </c>
      <c r="L992" s="17" t="s">
        <v>208</v>
      </c>
    </row>
    <row r="993">
      <c r="A993" s="17">
        <v>1.0</v>
      </c>
      <c r="B993" s="158" t="s">
        <v>1488</v>
      </c>
      <c r="D993" s="160" t="s">
        <v>263</v>
      </c>
      <c r="E993" s="158" t="s">
        <v>2203</v>
      </c>
      <c r="G993" s="158" t="s">
        <v>2204</v>
      </c>
      <c r="J993" s="159" t="s">
        <v>2205</v>
      </c>
      <c r="K993" s="17" t="s">
        <v>139</v>
      </c>
      <c r="L993" s="17" t="s">
        <v>208</v>
      </c>
    </row>
    <row r="994">
      <c r="A994" s="17">
        <v>1.0</v>
      </c>
      <c r="B994" s="158" t="s">
        <v>1488</v>
      </c>
      <c r="D994" s="160" t="s">
        <v>219</v>
      </c>
      <c r="E994" s="158" t="s">
        <v>2146</v>
      </c>
      <c r="G994" s="158" t="s">
        <v>1670</v>
      </c>
      <c r="J994" s="159" t="s">
        <v>2206</v>
      </c>
      <c r="K994" s="17" t="s">
        <v>139</v>
      </c>
      <c r="L994" s="17" t="s">
        <v>208</v>
      </c>
    </row>
    <row r="995">
      <c r="A995" s="17">
        <v>1.0</v>
      </c>
      <c r="B995" s="158" t="s">
        <v>1491</v>
      </c>
      <c r="D995" s="160" t="s">
        <v>263</v>
      </c>
      <c r="E995" s="158" t="s">
        <v>2146</v>
      </c>
      <c r="G995" s="158" t="s">
        <v>2207</v>
      </c>
      <c r="J995" s="159" t="s">
        <v>2208</v>
      </c>
      <c r="K995" s="17" t="s">
        <v>139</v>
      </c>
      <c r="L995" s="17" t="s">
        <v>208</v>
      </c>
    </row>
    <row r="996">
      <c r="A996" s="17">
        <v>1.0</v>
      </c>
      <c r="B996" s="158" t="s">
        <v>1488</v>
      </c>
      <c r="D996" s="158" t="s">
        <v>193</v>
      </c>
      <c r="E996" s="158" t="s">
        <v>2165</v>
      </c>
      <c r="G996" s="158" t="s">
        <v>2209</v>
      </c>
      <c r="J996" s="159" t="s">
        <v>2210</v>
      </c>
      <c r="K996" s="17" t="s">
        <v>139</v>
      </c>
      <c r="L996" s="17" t="s">
        <v>208</v>
      </c>
    </row>
    <row r="997">
      <c r="A997" s="17">
        <v>1.0</v>
      </c>
      <c r="B997" s="158" t="s">
        <v>1488</v>
      </c>
      <c r="D997" s="160" t="s">
        <v>263</v>
      </c>
      <c r="E997" s="158" t="s">
        <v>2113</v>
      </c>
      <c r="G997" s="158" t="s">
        <v>2211</v>
      </c>
      <c r="J997" s="159" t="s">
        <v>2212</v>
      </c>
      <c r="K997" s="17" t="s">
        <v>139</v>
      </c>
      <c r="L997" s="17" t="s">
        <v>208</v>
      </c>
    </row>
    <row r="998">
      <c r="A998" s="17">
        <v>1.0</v>
      </c>
      <c r="B998" s="162" t="s">
        <v>416</v>
      </c>
      <c r="D998" s="158" t="s">
        <v>143</v>
      </c>
      <c r="E998" s="158" t="s">
        <v>2165</v>
      </c>
      <c r="G998" s="158" t="s">
        <v>137</v>
      </c>
      <c r="J998" s="159" t="s">
        <v>2213</v>
      </c>
      <c r="K998" s="17" t="s">
        <v>139</v>
      </c>
      <c r="L998" s="17" t="s">
        <v>208</v>
      </c>
    </row>
    <row r="999">
      <c r="A999" s="17">
        <v>1.0</v>
      </c>
      <c r="B999" s="158" t="s">
        <v>1488</v>
      </c>
      <c r="D999" s="158" t="s">
        <v>416</v>
      </c>
      <c r="E999" s="158" t="s">
        <v>2142</v>
      </c>
      <c r="G999" s="158" t="s">
        <v>2214</v>
      </c>
      <c r="J999" s="159" t="s">
        <v>2215</v>
      </c>
      <c r="K999" s="17" t="s">
        <v>139</v>
      </c>
      <c r="L999" s="17" t="s">
        <v>208</v>
      </c>
    </row>
    <row r="1000">
      <c r="A1000" s="17">
        <v>1.0</v>
      </c>
      <c r="B1000" s="158" t="s">
        <v>1488</v>
      </c>
      <c r="D1000" s="160" t="s">
        <v>263</v>
      </c>
      <c r="E1000" s="158" t="s">
        <v>2154</v>
      </c>
      <c r="G1000" s="158" t="s">
        <v>2216</v>
      </c>
      <c r="J1000" s="159" t="s">
        <v>2217</v>
      </c>
      <c r="K1000" s="17" t="s">
        <v>139</v>
      </c>
      <c r="L1000" s="17" t="s">
        <v>208</v>
      </c>
    </row>
    <row r="1001">
      <c r="A1001" s="17">
        <v>1.0</v>
      </c>
      <c r="B1001" s="158" t="s">
        <v>1488</v>
      </c>
      <c r="D1001" s="160" t="s">
        <v>263</v>
      </c>
      <c r="E1001" s="158" t="s">
        <v>2146</v>
      </c>
      <c r="G1001" s="158" t="s">
        <v>2218</v>
      </c>
      <c r="J1001" s="159" t="s">
        <v>2219</v>
      </c>
      <c r="K1001" s="17" t="s">
        <v>139</v>
      </c>
      <c r="L1001" s="17" t="s">
        <v>208</v>
      </c>
    </row>
    <row r="1002">
      <c r="A1002" s="17">
        <v>1.0</v>
      </c>
      <c r="B1002" s="158" t="s">
        <v>1491</v>
      </c>
      <c r="D1002" s="158" t="s">
        <v>416</v>
      </c>
      <c r="E1002" s="158" t="s">
        <v>2146</v>
      </c>
      <c r="G1002" s="158" t="s">
        <v>137</v>
      </c>
      <c r="J1002" s="159" t="s">
        <v>2220</v>
      </c>
      <c r="K1002" s="17" t="s">
        <v>139</v>
      </c>
      <c r="L1002" s="17" t="s">
        <v>208</v>
      </c>
    </row>
    <row r="1003">
      <c r="A1003" s="17">
        <v>1.0</v>
      </c>
      <c r="B1003" s="158" t="s">
        <v>1488</v>
      </c>
      <c r="D1003" s="160" t="s">
        <v>264</v>
      </c>
      <c r="E1003" s="158" t="s">
        <v>2165</v>
      </c>
      <c r="G1003" s="158" t="s">
        <v>2221</v>
      </c>
      <c r="J1003" s="159" t="s">
        <v>2222</v>
      </c>
      <c r="K1003" s="17" t="s">
        <v>139</v>
      </c>
      <c r="L1003" s="17" t="s">
        <v>208</v>
      </c>
    </row>
    <row r="1004">
      <c r="A1004" s="17">
        <v>1.0</v>
      </c>
      <c r="B1004" s="158" t="s">
        <v>1488</v>
      </c>
      <c r="D1004" s="160" t="s">
        <v>210</v>
      </c>
      <c r="E1004" s="158" t="s">
        <v>2146</v>
      </c>
      <c r="G1004" s="158" t="s">
        <v>2223</v>
      </c>
      <c r="J1004" s="159" t="s">
        <v>2224</v>
      </c>
      <c r="K1004" s="17" t="s">
        <v>139</v>
      </c>
      <c r="L1004" s="17" t="s">
        <v>208</v>
      </c>
    </row>
    <row r="1005">
      <c r="A1005" s="17">
        <v>1.0</v>
      </c>
      <c r="B1005" s="158" t="s">
        <v>1491</v>
      </c>
      <c r="D1005" s="160" t="s">
        <v>263</v>
      </c>
      <c r="E1005" s="158" t="s">
        <v>2142</v>
      </c>
      <c r="G1005" s="158" t="s">
        <v>2225</v>
      </c>
      <c r="J1005" s="159" t="s">
        <v>2226</v>
      </c>
      <c r="K1005" s="17" t="s">
        <v>139</v>
      </c>
      <c r="L1005" s="17" t="s">
        <v>208</v>
      </c>
    </row>
    <row r="1006">
      <c r="A1006" s="17">
        <v>1.0</v>
      </c>
      <c r="B1006" s="158" t="s">
        <v>1491</v>
      </c>
      <c r="D1006" s="160" t="s">
        <v>263</v>
      </c>
      <c r="E1006" s="158" t="s">
        <v>2146</v>
      </c>
      <c r="G1006" s="158" t="s">
        <v>2227</v>
      </c>
      <c r="J1006" s="159" t="s">
        <v>2228</v>
      </c>
      <c r="K1006" s="17" t="s">
        <v>139</v>
      </c>
      <c r="L1006" s="17" t="s">
        <v>208</v>
      </c>
    </row>
    <row r="1007">
      <c r="A1007" s="17">
        <v>1.0</v>
      </c>
      <c r="B1007" s="158" t="s">
        <v>1488</v>
      </c>
      <c r="D1007" s="160" t="s">
        <v>263</v>
      </c>
      <c r="E1007" s="158" t="s">
        <v>2154</v>
      </c>
      <c r="G1007" s="158" t="s">
        <v>2229</v>
      </c>
      <c r="J1007" s="159" t="s">
        <v>2230</v>
      </c>
      <c r="K1007" s="17" t="s">
        <v>139</v>
      </c>
      <c r="L1007" s="17" t="s">
        <v>208</v>
      </c>
    </row>
    <row r="1008">
      <c r="A1008" s="17">
        <v>1.0</v>
      </c>
      <c r="B1008" s="158" t="s">
        <v>1488</v>
      </c>
      <c r="D1008" s="158" t="s">
        <v>263</v>
      </c>
      <c r="E1008" s="158" t="s">
        <v>2231</v>
      </c>
      <c r="G1008" s="158" t="s">
        <v>2232</v>
      </c>
      <c r="J1008" s="159" t="s">
        <v>2233</v>
      </c>
      <c r="K1008" s="17" t="s">
        <v>139</v>
      </c>
      <c r="L1008" s="17" t="s">
        <v>208</v>
      </c>
    </row>
    <row r="1009">
      <c r="A1009" s="17">
        <v>1.0</v>
      </c>
      <c r="B1009" s="158" t="s">
        <v>1488</v>
      </c>
      <c r="D1009" s="158" t="s">
        <v>416</v>
      </c>
      <c r="E1009" s="158" t="s">
        <v>2154</v>
      </c>
      <c r="G1009" s="158" t="s">
        <v>2234</v>
      </c>
      <c r="J1009" s="159" t="s">
        <v>2235</v>
      </c>
      <c r="K1009" s="17" t="s">
        <v>139</v>
      </c>
      <c r="L1009" s="17" t="s">
        <v>208</v>
      </c>
    </row>
    <row r="1010">
      <c r="A1010" s="17">
        <v>1.0</v>
      </c>
      <c r="B1010" s="158" t="s">
        <v>1491</v>
      </c>
      <c r="D1010" s="160" t="s">
        <v>263</v>
      </c>
      <c r="E1010" s="158" t="s">
        <v>2146</v>
      </c>
      <c r="G1010" s="158" t="s">
        <v>2236</v>
      </c>
      <c r="J1010" s="159" t="s">
        <v>2237</v>
      </c>
      <c r="K1010" s="17" t="s">
        <v>139</v>
      </c>
      <c r="L1010" s="17" t="s">
        <v>208</v>
      </c>
    </row>
    <row r="1011">
      <c r="A1011" s="17">
        <v>1.0</v>
      </c>
      <c r="B1011" s="158" t="s">
        <v>1488</v>
      </c>
      <c r="D1011" s="160" t="s">
        <v>313</v>
      </c>
      <c r="E1011" s="158" t="s">
        <v>2146</v>
      </c>
      <c r="G1011" s="158" t="s">
        <v>2238</v>
      </c>
      <c r="J1011" s="159" t="s">
        <v>2239</v>
      </c>
      <c r="K1011" s="17" t="s">
        <v>139</v>
      </c>
      <c r="L1011" s="17" t="s">
        <v>208</v>
      </c>
    </row>
    <row r="1012">
      <c r="A1012" s="17">
        <v>1.0</v>
      </c>
      <c r="B1012" s="158" t="s">
        <v>1491</v>
      </c>
      <c r="D1012" s="158" t="s">
        <v>143</v>
      </c>
      <c r="E1012" s="158" t="s">
        <v>2113</v>
      </c>
      <c r="G1012" s="158" t="s">
        <v>2240</v>
      </c>
      <c r="J1012" s="159" t="s">
        <v>2241</v>
      </c>
      <c r="K1012" s="17" t="s">
        <v>139</v>
      </c>
      <c r="L1012" s="17" t="s">
        <v>208</v>
      </c>
    </row>
    <row r="1013">
      <c r="A1013" s="17">
        <v>1.0</v>
      </c>
      <c r="B1013" s="158" t="s">
        <v>1491</v>
      </c>
      <c r="D1013" s="158" t="s">
        <v>143</v>
      </c>
      <c r="E1013" s="158" t="s">
        <v>2242</v>
      </c>
      <c r="G1013" s="158" t="s">
        <v>137</v>
      </c>
      <c r="J1013" s="159" t="s">
        <v>2243</v>
      </c>
      <c r="K1013" s="17" t="s">
        <v>139</v>
      </c>
      <c r="L1013" s="17" t="s">
        <v>208</v>
      </c>
    </row>
    <row r="1014">
      <c r="A1014" s="17">
        <v>1.0</v>
      </c>
      <c r="B1014" s="158" t="s">
        <v>1488</v>
      </c>
      <c r="D1014" s="160" t="s">
        <v>263</v>
      </c>
      <c r="E1014" s="158" t="s">
        <v>2146</v>
      </c>
      <c r="G1014" s="158" t="s">
        <v>2244</v>
      </c>
      <c r="J1014" s="159" t="s">
        <v>2245</v>
      </c>
      <c r="K1014" s="17" t="s">
        <v>139</v>
      </c>
      <c r="L1014" s="17" t="s">
        <v>208</v>
      </c>
    </row>
    <row r="1015">
      <c r="A1015" s="17">
        <v>1.0</v>
      </c>
      <c r="B1015" s="158" t="s">
        <v>1491</v>
      </c>
      <c r="D1015" s="160" t="s">
        <v>258</v>
      </c>
      <c r="E1015" s="158" t="s">
        <v>2146</v>
      </c>
      <c r="G1015" s="158" t="s">
        <v>2246</v>
      </c>
      <c r="J1015" s="159" t="s">
        <v>2247</v>
      </c>
      <c r="K1015" s="17" t="s">
        <v>139</v>
      </c>
      <c r="L1015" s="17" t="s">
        <v>208</v>
      </c>
    </row>
    <row r="1016">
      <c r="A1016" s="17">
        <v>1.0</v>
      </c>
      <c r="B1016" s="158" t="s">
        <v>1491</v>
      </c>
      <c r="D1016" s="160" t="s">
        <v>258</v>
      </c>
      <c r="E1016" s="158" t="s">
        <v>2203</v>
      </c>
      <c r="G1016" s="158" t="s">
        <v>137</v>
      </c>
      <c r="J1016" s="159" t="s">
        <v>2248</v>
      </c>
      <c r="K1016" s="17" t="s">
        <v>139</v>
      </c>
      <c r="L1016" s="17" t="s">
        <v>208</v>
      </c>
    </row>
    <row r="1017">
      <c r="A1017" s="17">
        <v>1.0</v>
      </c>
      <c r="B1017" s="158" t="s">
        <v>1488</v>
      </c>
      <c r="D1017" s="158" t="s">
        <v>134</v>
      </c>
      <c r="E1017" s="158" t="s">
        <v>2146</v>
      </c>
      <c r="G1017" s="158" t="s">
        <v>2249</v>
      </c>
      <c r="J1017" s="159" t="s">
        <v>2250</v>
      </c>
      <c r="K1017" s="17" t="s">
        <v>139</v>
      </c>
      <c r="L1017" s="17" t="s">
        <v>208</v>
      </c>
    </row>
    <row r="1018">
      <c r="A1018" s="17">
        <v>1.0</v>
      </c>
      <c r="B1018" s="158" t="s">
        <v>1488</v>
      </c>
      <c r="D1018" s="158" t="s">
        <v>134</v>
      </c>
      <c r="E1018" s="158" t="s">
        <v>2146</v>
      </c>
      <c r="G1018" s="158" t="s">
        <v>2251</v>
      </c>
      <c r="J1018" s="159" t="s">
        <v>2252</v>
      </c>
      <c r="K1018" s="17" t="s">
        <v>139</v>
      </c>
      <c r="L1018" s="17" t="s">
        <v>208</v>
      </c>
    </row>
    <row r="1019">
      <c r="A1019" s="17">
        <v>1.0</v>
      </c>
      <c r="B1019" s="158" t="s">
        <v>1491</v>
      </c>
      <c r="D1019" s="160" t="s">
        <v>203</v>
      </c>
      <c r="E1019" s="158" t="s">
        <v>2142</v>
      </c>
      <c r="G1019" s="158" t="s">
        <v>2253</v>
      </c>
      <c r="J1019" s="159" t="s">
        <v>2254</v>
      </c>
      <c r="K1019" s="17" t="s">
        <v>139</v>
      </c>
      <c r="L1019" s="17" t="s">
        <v>208</v>
      </c>
    </row>
    <row r="1020">
      <c r="A1020" s="17">
        <v>1.0</v>
      </c>
      <c r="B1020" s="158" t="s">
        <v>1488</v>
      </c>
      <c r="D1020" s="160" t="s">
        <v>263</v>
      </c>
      <c r="E1020" s="158" t="s">
        <v>2146</v>
      </c>
      <c r="G1020" s="158" t="s">
        <v>2255</v>
      </c>
      <c r="J1020" s="159" t="s">
        <v>2256</v>
      </c>
      <c r="K1020" s="17" t="s">
        <v>139</v>
      </c>
      <c r="L1020" s="17" t="s">
        <v>208</v>
      </c>
    </row>
    <row r="1021">
      <c r="A1021" s="17">
        <v>1.0</v>
      </c>
      <c r="B1021" s="158" t="s">
        <v>1488</v>
      </c>
      <c r="D1021" s="158" t="s">
        <v>164</v>
      </c>
      <c r="E1021" s="158" t="s">
        <v>2165</v>
      </c>
      <c r="G1021" s="158" t="s">
        <v>2257</v>
      </c>
      <c r="J1021" s="159" t="s">
        <v>2258</v>
      </c>
      <c r="K1021" s="17" t="s">
        <v>139</v>
      </c>
      <c r="L1021" s="17" t="s">
        <v>208</v>
      </c>
    </row>
    <row r="1022">
      <c r="A1022" s="17">
        <v>1.0</v>
      </c>
      <c r="B1022" s="158" t="s">
        <v>1488</v>
      </c>
      <c r="D1022" s="158" t="s">
        <v>143</v>
      </c>
      <c r="E1022" s="158" t="s">
        <v>2113</v>
      </c>
      <c r="G1022" s="158" t="s">
        <v>2259</v>
      </c>
      <c r="J1022" s="159" t="s">
        <v>2260</v>
      </c>
      <c r="K1022" s="17" t="s">
        <v>139</v>
      </c>
      <c r="L1022" s="17" t="s">
        <v>208</v>
      </c>
    </row>
    <row r="1023">
      <c r="A1023" s="17">
        <v>1.0</v>
      </c>
      <c r="B1023" s="158" t="s">
        <v>1491</v>
      </c>
      <c r="D1023" s="158" t="s">
        <v>202</v>
      </c>
      <c r="E1023" s="158" t="s">
        <v>2113</v>
      </c>
      <c r="G1023" s="158" t="s">
        <v>2261</v>
      </c>
      <c r="J1023" s="159" t="s">
        <v>2262</v>
      </c>
      <c r="K1023" s="17" t="s">
        <v>139</v>
      </c>
      <c r="L1023" s="17" t="s">
        <v>208</v>
      </c>
    </row>
    <row r="1024">
      <c r="A1024" s="17">
        <v>1.0</v>
      </c>
      <c r="B1024" s="158" t="s">
        <v>1488</v>
      </c>
      <c r="D1024" s="160" t="s">
        <v>263</v>
      </c>
      <c r="E1024" s="158" t="s">
        <v>2146</v>
      </c>
      <c r="G1024" s="158" t="s">
        <v>2263</v>
      </c>
      <c r="J1024" s="159" t="s">
        <v>2264</v>
      </c>
      <c r="K1024" s="17" t="s">
        <v>139</v>
      </c>
      <c r="L1024" s="17" t="s">
        <v>208</v>
      </c>
    </row>
    <row r="1025">
      <c r="A1025" s="17">
        <v>1.0</v>
      </c>
      <c r="B1025" s="158" t="s">
        <v>1488</v>
      </c>
      <c r="D1025" s="158" t="s">
        <v>416</v>
      </c>
      <c r="E1025" s="158" t="s">
        <v>2165</v>
      </c>
      <c r="G1025" s="158" t="s">
        <v>2265</v>
      </c>
      <c r="J1025" s="159" t="s">
        <v>2266</v>
      </c>
      <c r="K1025" s="17" t="s">
        <v>139</v>
      </c>
      <c r="L1025" s="17" t="s">
        <v>208</v>
      </c>
    </row>
    <row r="1026">
      <c r="A1026" s="17">
        <v>1.0</v>
      </c>
      <c r="B1026" s="158" t="s">
        <v>1491</v>
      </c>
      <c r="D1026" s="158" t="s">
        <v>134</v>
      </c>
      <c r="E1026" s="158" t="s">
        <v>511</v>
      </c>
      <c r="G1026" s="158" t="s">
        <v>2267</v>
      </c>
      <c r="J1026" s="159" t="s">
        <v>2268</v>
      </c>
      <c r="K1026" s="17" t="s">
        <v>139</v>
      </c>
      <c r="L1026" s="17" t="s">
        <v>208</v>
      </c>
    </row>
    <row r="1027">
      <c r="A1027" s="17">
        <v>1.0</v>
      </c>
      <c r="B1027" s="158" t="s">
        <v>1488</v>
      </c>
      <c r="D1027" s="160" t="s">
        <v>263</v>
      </c>
      <c r="E1027" s="158" t="s">
        <v>2146</v>
      </c>
      <c r="G1027" s="158" t="s">
        <v>137</v>
      </c>
      <c r="J1027" s="159" t="s">
        <v>2269</v>
      </c>
      <c r="K1027" s="17" t="s">
        <v>139</v>
      </c>
      <c r="L1027" s="17" t="s">
        <v>208</v>
      </c>
    </row>
    <row r="1028">
      <c r="A1028" s="17">
        <v>1.0</v>
      </c>
      <c r="B1028" s="158" t="s">
        <v>1491</v>
      </c>
      <c r="D1028" s="160" t="s">
        <v>159</v>
      </c>
      <c r="E1028" s="158" t="s">
        <v>2146</v>
      </c>
      <c r="G1028" s="158" t="s">
        <v>2270</v>
      </c>
      <c r="J1028" s="159" t="s">
        <v>2271</v>
      </c>
      <c r="K1028" s="17" t="s">
        <v>139</v>
      </c>
      <c r="L1028" s="17" t="s">
        <v>208</v>
      </c>
    </row>
    <row r="1029">
      <c r="A1029" s="17">
        <v>1.0</v>
      </c>
      <c r="B1029" s="158" t="s">
        <v>1488</v>
      </c>
      <c r="D1029" s="160" t="s">
        <v>263</v>
      </c>
      <c r="E1029" s="158" t="s">
        <v>2146</v>
      </c>
      <c r="G1029" s="158" t="s">
        <v>2272</v>
      </c>
      <c r="J1029" s="159" t="s">
        <v>2273</v>
      </c>
      <c r="K1029" s="17" t="s">
        <v>139</v>
      </c>
      <c r="L1029" s="17" t="s">
        <v>208</v>
      </c>
    </row>
    <row r="1030">
      <c r="A1030" s="17">
        <v>1.0</v>
      </c>
      <c r="B1030" s="158" t="s">
        <v>1491</v>
      </c>
      <c r="D1030" s="160" t="s">
        <v>263</v>
      </c>
      <c r="E1030" s="158" t="s">
        <v>2146</v>
      </c>
      <c r="G1030" s="158" t="s">
        <v>2274</v>
      </c>
      <c r="J1030" s="159" t="s">
        <v>2275</v>
      </c>
      <c r="K1030" s="17" t="s">
        <v>139</v>
      </c>
      <c r="L1030" s="17" t="s">
        <v>208</v>
      </c>
    </row>
    <row r="1031">
      <c r="A1031" s="17">
        <v>1.0</v>
      </c>
      <c r="B1031" s="158" t="s">
        <v>1488</v>
      </c>
      <c r="D1031" s="160" t="s">
        <v>263</v>
      </c>
      <c r="E1031" s="158" t="s">
        <v>2146</v>
      </c>
      <c r="G1031" s="158" t="s">
        <v>2276</v>
      </c>
      <c r="J1031" s="159" t="s">
        <v>2277</v>
      </c>
      <c r="K1031" s="17" t="s">
        <v>139</v>
      </c>
      <c r="L1031" s="17" t="s">
        <v>208</v>
      </c>
    </row>
    <row r="1032">
      <c r="A1032" s="17">
        <v>1.0</v>
      </c>
      <c r="B1032" s="158" t="s">
        <v>1488</v>
      </c>
      <c r="D1032" s="160" t="s">
        <v>263</v>
      </c>
      <c r="E1032" s="158" t="s">
        <v>2165</v>
      </c>
      <c r="G1032" s="158" t="s">
        <v>2278</v>
      </c>
      <c r="J1032" s="159" t="s">
        <v>2279</v>
      </c>
      <c r="K1032" s="17" t="s">
        <v>139</v>
      </c>
      <c r="L1032" s="17" t="s">
        <v>208</v>
      </c>
    </row>
    <row r="1033">
      <c r="A1033" s="17">
        <v>1.0</v>
      </c>
      <c r="B1033" s="158" t="s">
        <v>1488</v>
      </c>
      <c r="D1033" s="158" t="s">
        <v>164</v>
      </c>
      <c r="E1033" s="158" t="s">
        <v>2280</v>
      </c>
      <c r="G1033" s="158" t="s">
        <v>2281</v>
      </c>
      <c r="J1033" s="159" t="s">
        <v>2282</v>
      </c>
      <c r="K1033" s="17" t="s">
        <v>139</v>
      </c>
      <c r="L1033" s="17" t="s">
        <v>208</v>
      </c>
    </row>
    <row r="1034">
      <c r="A1034" s="17">
        <v>1.0</v>
      </c>
      <c r="B1034" s="158" t="s">
        <v>1491</v>
      </c>
      <c r="D1034" s="161" t="s">
        <v>176</v>
      </c>
      <c r="E1034" s="158" t="s">
        <v>2283</v>
      </c>
      <c r="G1034" s="158" t="s">
        <v>137</v>
      </c>
      <c r="J1034" s="159" t="s">
        <v>2284</v>
      </c>
      <c r="K1034" s="17" t="s">
        <v>139</v>
      </c>
      <c r="L1034" s="17" t="s">
        <v>208</v>
      </c>
    </row>
    <row r="1035">
      <c r="A1035" s="17">
        <v>1.0</v>
      </c>
      <c r="B1035" s="158" t="s">
        <v>1491</v>
      </c>
      <c r="D1035" s="161" t="s">
        <v>176</v>
      </c>
      <c r="E1035" s="158" t="s">
        <v>2285</v>
      </c>
      <c r="G1035" s="158" t="s">
        <v>2286</v>
      </c>
      <c r="J1035" s="159" t="s">
        <v>2287</v>
      </c>
      <c r="K1035" s="17" t="s">
        <v>139</v>
      </c>
      <c r="L1035" s="17" t="s">
        <v>208</v>
      </c>
    </row>
    <row r="1036">
      <c r="A1036" s="17">
        <v>1.0</v>
      </c>
      <c r="B1036" s="158" t="s">
        <v>1491</v>
      </c>
      <c r="D1036" s="158" t="s">
        <v>193</v>
      </c>
      <c r="E1036" s="158" t="s">
        <v>2113</v>
      </c>
      <c r="G1036" s="158" t="s">
        <v>2288</v>
      </c>
      <c r="J1036" s="159" t="s">
        <v>2289</v>
      </c>
      <c r="K1036" s="17" t="s">
        <v>139</v>
      </c>
      <c r="L1036" s="17" t="s">
        <v>208</v>
      </c>
    </row>
    <row r="1037">
      <c r="A1037" s="17">
        <v>1.0</v>
      </c>
      <c r="B1037" s="158" t="s">
        <v>1491</v>
      </c>
      <c r="D1037" s="158" t="s">
        <v>164</v>
      </c>
      <c r="E1037" s="158" t="s">
        <v>2113</v>
      </c>
      <c r="G1037" s="158" t="s">
        <v>2290</v>
      </c>
      <c r="J1037" s="159" t="s">
        <v>2291</v>
      </c>
      <c r="K1037" s="17" t="s">
        <v>139</v>
      </c>
      <c r="L1037" s="17" t="s">
        <v>208</v>
      </c>
    </row>
    <row r="1038">
      <c r="A1038" s="17">
        <v>1.0</v>
      </c>
      <c r="B1038" s="158" t="s">
        <v>1488</v>
      </c>
      <c r="D1038" s="160" t="s">
        <v>263</v>
      </c>
      <c r="E1038" s="158" t="s">
        <v>2113</v>
      </c>
      <c r="G1038" s="158" t="s">
        <v>2292</v>
      </c>
      <c r="J1038" s="159" t="s">
        <v>2293</v>
      </c>
      <c r="K1038" s="17" t="s">
        <v>139</v>
      </c>
      <c r="L1038" s="17" t="s">
        <v>208</v>
      </c>
    </row>
    <row r="1039">
      <c r="A1039" s="17">
        <v>1.0</v>
      </c>
      <c r="B1039" s="158" t="s">
        <v>1488</v>
      </c>
      <c r="D1039" s="158" t="s">
        <v>416</v>
      </c>
      <c r="E1039" s="158" t="s">
        <v>2191</v>
      </c>
      <c r="G1039" s="158" t="s">
        <v>2294</v>
      </c>
      <c r="J1039" s="159" t="s">
        <v>2295</v>
      </c>
      <c r="K1039" s="17" t="s">
        <v>139</v>
      </c>
      <c r="L1039" s="17" t="s">
        <v>208</v>
      </c>
    </row>
    <row r="1040">
      <c r="A1040" s="17">
        <v>1.0</v>
      </c>
      <c r="B1040" s="158" t="s">
        <v>1491</v>
      </c>
      <c r="D1040" s="161" t="s">
        <v>176</v>
      </c>
      <c r="E1040" s="158" t="s">
        <v>2113</v>
      </c>
      <c r="G1040" s="158" t="s">
        <v>2296</v>
      </c>
      <c r="J1040" s="159" t="s">
        <v>2297</v>
      </c>
      <c r="K1040" s="17" t="s">
        <v>139</v>
      </c>
      <c r="L1040" s="17" t="s">
        <v>208</v>
      </c>
    </row>
    <row r="1041">
      <c r="A1041" s="17">
        <v>1.0</v>
      </c>
      <c r="B1041" s="158" t="s">
        <v>1491</v>
      </c>
      <c r="D1041" s="161" t="s">
        <v>233</v>
      </c>
      <c r="E1041" s="158" t="s">
        <v>2285</v>
      </c>
      <c r="G1041" s="158" t="s">
        <v>2298</v>
      </c>
      <c r="J1041" s="159" t="s">
        <v>2299</v>
      </c>
      <c r="K1041" s="17" t="s">
        <v>139</v>
      </c>
      <c r="L1041" s="17" t="s">
        <v>208</v>
      </c>
    </row>
    <row r="1042">
      <c r="A1042" s="17">
        <v>1.0</v>
      </c>
      <c r="B1042" s="158" t="s">
        <v>1488</v>
      </c>
      <c r="D1042" s="160" t="s">
        <v>347</v>
      </c>
      <c r="E1042" s="158" t="s">
        <v>2285</v>
      </c>
      <c r="G1042" s="158" t="s">
        <v>137</v>
      </c>
      <c r="J1042" s="159" t="s">
        <v>2300</v>
      </c>
      <c r="K1042" s="17" t="s">
        <v>139</v>
      </c>
      <c r="L1042" s="17" t="s">
        <v>208</v>
      </c>
    </row>
    <row r="1043">
      <c r="A1043" s="17">
        <v>1.0</v>
      </c>
      <c r="B1043" s="158" t="s">
        <v>1488</v>
      </c>
      <c r="D1043" s="158" t="s">
        <v>143</v>
      </c>
      <c r="E1043" s="158" t="s">
        <v>2165</v>
      </c>
      <c r="G1043" s="158" t="s">
        <v>2218</v>
      </c>
      <c r="J1043" s="159" t="s">
        <v>2301</v>
      </c>
      <c r="K1043" s="17" t="s">
        <v>139</v>
      </c>
      <c r="L1043" s="17" t="s">
        <v>208</v>
      </c>
    </row>
    <row r="1044">
      <c r="A1044" s="17">
        <v>1.0</v>
      </c>
      <c r="B1044" s="158" t="s">
        <v>1491</v>
      </c>
      <c r="D1044" s="158" t="s">
        <v>134</v>
      </c>
      <c r="E1044" s="158" t="s">
        <v>2146</v>
      </c>
      <c r="G1044" s="158" t="s">
        <v>2302</v>
      </c>
      <c r="J1044" s="159" t="s">
        <v>2303</v>
      </c>
      <c r="K1044" s="17" t="s">
        <v>139</v>
      </c>
      <c r="L1044" s="17" t="s">
        <v>208</v>
      </c>
    </row>
    <row r="1045">
      <c r="A1045" s="17">
        <v>1.0</v>
      </c>
      <c r="B1045" s="158" t="s">
        <v>1488</v>
      </c>
      <c r="D1045" s="160" t="s">
        <v>263</v>
      </c>
      <c r="E1045" s="158" t="s">
        <v>2191</v>
      </c>
      <c r="G1045" s="158" t="s">
        <v>2304</v>
      </c>
      <c r="J1045" s="159" t="s">
        <v>2305</v>
      </c>
      <c r="K1045" s="17" t="s">
        <v>139</v>
      </c>
      <c r="L1045" s="17" t="s">
        <v>208</v>
      </c>
    </row>
    <row r="1046">
      <c r="A1046" s="17">
        <v>1.0</v>
      </c>
      <c r="B1046" s="158" t="s">
        <v>2306</v>
      </c>
      <c r="D1046" s="158" t="s">
        <v>416</v>
      </c>
      <c r="E1046" s="158" t="s">
        <v>2307</v>
      </c>
      <c r="G1046" s="158" t="s">
        <v>2308</v>
      </c>
      <c r="J1046" s="159" t="s">
        <v>2309</v>
      </c>
      <c r="K1046" s="17" t="s">
        <v>139</v>
      </c>
      <c r="L1046" s="17" t="s">
        <v>208</v>
      </c>
    </row>
    <row r="1047">
      <c r="A1047" s="17">
        <v>1.0</v>
      </c>
      <c r="B1047" s="158" t="s">
        <v>1488</v>
      </c>
      <c r="D1047" s="160" t="s">
        <v>263</v>
      </c>
      <c r="E1047" s="158" t="s">
        <v>2165</v>
      </c>
      <c r="G1047" s="158" t="s">
        <v>2310</v>
      </c>
      <c r="J1047" s="159" t="s">
        <v>2311</v>
      </c>
      <c r="K1047" s="17" t="s">
        <v>139</v>
      </c>
      <c r="L1047" s="17" t="s">
        <v>208</v>
      </c>
    </row>
    <row r="1048">
      <c r="A1048" s="17">
        <v>1.0</v>
      </c>
      <c r="B1048" s="158" t="s">
        <v>1488</v>
      </c>
      <c r="D1048" s="158" t="s">
        <v>416</v>
      </c>
      <c r="E1048" s="158" t="s">
        <v>2242</v>
      </c>
      <c r="G1048" s="158" t="s">
        <v>2312</v>
      </c>
      <c r="J1048" s="159" t="s">
        <v>2313</v>
      </c>
      <c r="K1048" s="17" t="s">
        <v>139</v>
      </c>
      <c r="L1048" s="17" t="s">
        <v>208</v>
      </c>
    </row>
    <row r="1049">
      <c r="A1049" s="17">
        <v>1.0</v>
      </c>
      <c r="B1049" s="158" t="s">
        <v>1488</v>
      </c>
      <c r="D1049" s="158" t="s">
        <v>416</v>
      </c>
      <c r="E1049" s="158" t="s">
        <v>2191</v>
      </c>
      <c r="G1049" s="158" t="s">
        <v>2314</v>
      </c>
      <c r="J1049" s="159" t="s">
        <v>2315</v>
      </c>
      <c r="K1049" s="17" t="s">
        <v>139</v>
      </c>
      <c r="L1049" s="17" t="s">
        <v>208</v>
      </c>
    </row>
    <row r="1050">
      <c r="A1050" s="17">
        <v>1.0</v>
      </c>
      <c r="B1050" s="158" t="s">
        <v>1488</v>
      </c>
      <c r="D1050" s="158" t="s">
        <v>170</v>
      </c>
      <c r="E1050" s="158" t="s">
        <v>2146</v>
      </c>
      <c r="G1050" s="158" t="s">
        <v>2316</v>
      </c>
      <c r="J1050" s="159" t="s">
        <v>2317</v>
      </c>
      <c r="K1050" s="17" t="s">
        <v>139</v>
      </c>
      <c r="L1050" s="17" t="s">
        <v>208</v>
      </c>
    </row>
    <row r="1051">
      <c r="A1051" s="17">
        <v>1.0</v>
      </c>
      <c r="B1051" s="158" t="s">
        <v>1491</v>
      </c>
      <c r="D1051" s="158" t="s">
        <v>416</v>
      </c>
      <c r="E1051" s="158" t="s">
        <v>2146</v>
      </c>
      <c r="G1051" s="158" t="s">
        <v>137</v>
      </c>
      <c r="J1051" s="159" t="s">
        <v>2318</v>
      </c>
      <c r="K1051" s="17" t="s">
        <v>139</v>
      </c>
      <c r="L1051" s="17" t="s">
        <v>208</v>
      </c>
    </row>
    <row r="1052">
      <c r="A1052" s="17">
        <v>1.0</v>
      </c>
      <c r="B1052" s="158" t="s">
        <v>1488</v>
      </c>
      <c r="D1052" s="160" t="s">
        <v>358</v>
      </c>
      <c r="E1052" s="158" t="s">
        <v>2146</v>
      </c>
      <c r="G1052" s="158" t="s">
        <v>2319</v>
      </c>
      <c r="J1052" s="159" t="s">
        <v>2320</v>
      </c>
      <c r="K1052" s="17" t="s">
        <v>139</v>
      </c>
      <c r="L1052" s="17" t="s">
        <v>208</v>
      </c>
    </row>
    <row r="1053">
      <c r="A1053" s="17">
        <v>1.0</v>
      </c>
      <c r="B1053" s="158" t="s">
        <v>1491</v>
      </c>
      <c r="D1053" s="158" t="s">
        <v>187</v>
      </c>
      <c r="E1053" s="158" t="s">
        <v>511</v>
      </c>
      <c r="G1053" s="158" t="s">
        <v>2321</v>
      </c>
      <c r="J1053" s="159" t="s">
        <v>2322</v>
      </c>
      <c r="K1053" s="17" t="s">
        <v>139</v>
      </c>
      <c r="L1053" s="17" t="s">
        <v>208</v>
      </c>
    </row>
    <row r="1054">
      <c r="A1054" s="17">
        <v>1.0</v>
      </c>
      <c r="B1054" s="158" t="s">
        <v>1488</v>
      </c>
      <c r="D1054" s="160" t="s">
        <v>358</v>
      </c>
      <c r="E1054" s="158" t="s">
        <v>2165</v>
      </c>
      <c r="G1054" s="158" t="s">
        <v>2323</v>
      </c>
      <c r="J1054" s="159" t="s">
        <v>2324</v>
      </c>
      <c r="K1054" s="17" t="s">
        <v>139</v>
      </c>
      <c r="L1054" s="17" t="s">
        <v>208</v>
      </c>
    </row>
    <row r="1055">
      <c r="A1055" s="17">
        <v>1.0</v>
      </c>
      <c r="B1055" s="158" t="s">
        <v>1488</v>
      </c>
      <c r="D1055" s="160" t="s">
        <v>416</v>
      </c>
      <c r="E1055" s="158" t="s">
        <v>2165</v>
      </c>
      <c r="G1055" s="158" t="s">
        <v>2325</v>
      </c>
      <c r="J1055" s="159" t="s">
        <v>2326</v>
      </c>
      <c r="K1055" s="17" t="s">
        <v>139</v>
      </c>
      <c r="L1055" s="17" t="s">
        <v>208</v>
      </c>
    </row>
    <row r="1056">
      <c r="A1056" s="17">
        <v>1.0</v>
      </c>
      <c r="B1056" s="158" t="s">
        <v>1488</v>
      </c>
      <c r="D1056" s="158" t="s">
        <v>187</v>
      </c>
      <c r="E1056" s="158" t="s">
        <v>2154</v>
      </c>
      <c r="G1056" s="158" t="s">
        <v>2327</v>
      </c>
      <c r="J1056" s="159" t="s">
        <v>2328</v>
      </c>
      <c r="K1056" s="17" t="s">
        <v>139</v>
      </c>
      <c r="L1056" s="17" t="s">
        <v>208</v>
      </c>
    </row>
    <row r="1057">
      <c r="A1057" s="17">
        <v>1.0</v>
      </c>
      <c r="B1057" s="158" t="s">
        <v>1491</v>
      </c>
      <c r="D1057" s="158" t="s">
        <v>218</v>
      </c>
      <c r="E1057" s="158" t="s">
        <v>2113</v>
      </c>
      <c r="G1057" s="158" t="s">
        <v>2329</v>
      </c>
      <c r="J1057" s="159" t="s">
        <v>2330</v>
      </c>
      <c r="K1057" s="17" t="s">
        <v>139</v>
      </c>
      <c r="L1057" s="17" t="s">
        <v>208</v>
      </c>
    </row>
    <row r="1058">
      <c r="A1058" s="17">
        <v>1.0</v>
      </c>
      <c r="B1058" s="158" t="s">
        <v>1491</v>
      </c>
      <c r="D1058" s="158" t="s">
        <v>164</v>
      </c>
      <c r="E1058" s="158" t="s">
        <v>2146</v>
      </c>
      <c r="G1058" s="158" t="s">
        <v>2331</v>
      </c>
      <c r="J1058" s="159" t="s">
        <v>2332</v>
      </c>
      <c r="K1058" s="17" t="s">
        <v>139</v>
      </c>
      <c r="L1058" s="17" t="s">
        <v>208</v>
      </c>
    </row>
    <row r="1059">
      <c r="A1059" s="17">
        <v>1.0</v>
      </c>
      <c r="B1059" s="158" t="s">
        <v>1488</v>
      </c>
      <c r="D1059" s="158" t="s">
        <v>164</v>
      </c>
      <c r="E1059" s="158" t="s">
        <v>2113</v>
      </c>
      <c r="G1059" s="158" t="s">
        <v>2333</v>
      </c>
      <c r="J1059" s="159" t="s">
        <v>2334</v>
      </c>
      <c r="K1059" s="17" t="s">
        <v>139</v>
      </c>
      <c r="L1059" s="17" t="s">
        <v>208</v>
      </c>
    </row>
    <row r="1060">
      <c r="A1060" s="17">
        <v>1.0</v>
      </c>
      <c r="B1060" s="158" t="s">
        <v>1491</v>
      </c>
      <c r="D1060" s="158" t="s">
        <v>164</v>
      </c>
      <c r="E1060" s="158" t="s">
        <v>2113</v>
      </c>
      <c r="G1060" s="158" t="s">
        <v>2335</v>
      </c>
      <c r="J1060" s="159" t="s">
        <v>2336</v>
      </c>
      <c r="K1060" s="17" t="s">
        <v>139</v>
      </c>
      <c r="L1060" s="17" t="s">
        <v>208</v>
      </c>
    </row>
    <row r="1061">
      <c r="A1061" s="17">
        <v>1.0</v>
      </c>
      <c r="B1061" s="158" t="s">
        <v>1491</v>
      </c>
      <c r="D1061" s="158" t="s">
        <v>193</v>
      </c>
      <c r="E1061" s="158" t="s">
        <v>2146</v>
      </c>
      <c r="G1061" s="158" t="s">
        <v>2337</v>
      </c>
      <c r="J1061" s="159" t="s">
        <v>2338</v>
      </c>
      <c r="K1061" s="17" t="s">
        <v>139</v>
      </c>
      <c r="L1061" s="17" t="s">
        <v>208</v>
      </c>
    </row>
    <row r="1062">
      <c r="A1062" s="17">
        <v>1.0</v>
      </c>
      <c r="B1062" s="158" t="s">
        <v>1488</v>
      </c>
      <c r="D1062" s="160" t="s">
        <v>358</v>
      </c>
      <c r="E1062" s="158" t="s">
        <v>2146</v>
      </c>
      <c r="G1062" s="158" t="s">
        <v>2339</v>
      </c>
      <c r="J1062" s="159" t="s">
        <v>2340</v>
      </c>
      <c r="K1062" s="17" t="s">
        <v>139</v>
      </c>
      <c r="L1062" s="17" t="s">
        <v>208</v>
      </c>
    </row>
    <row r="1063">
      <c r="A1063" s="17">
        <v>1.0</v>
      </c>
      <c r="B1063" s="158" t="s">
        <v>1491</v>
      </c>
      <c r="D1063" s="160" t="s">
        <v>263</v>
      </c>
      <c r="E1063" s="158" t="s">
        <v>2146</v>
      </c>
      <c r="G1063" s="158" t="s">
        <v>2341</v>
      </c>
      <c r="J1063" s="159" t="s">
        <v>2342</v>
      </c>
      <c r="K1063" s="17" t="s">
        <v>139</v>
      </c>
      <c r="L1063" s="17" t="s">
        <v>208</v>
      </c>
    </row>
    <row r="1064">
      <c r="A1064" s="17">
        <v>1.0</v>
      </c>
      <c r="B1064" s="158" t="s">
        <v>1488</v>
      </c>
      <c r="D1064" s="161" t="s">
        <v>176</v>
      </c>
      <c r="E1064" s="158" t="s">
        <v>983</v>
      </c>
      <c r="G1064" s="158" t="s">
        <v>349</v>
      </c>
      <c r="J1064" s="159" t="s">
        <v>2343</v>
      </c>
      <c r="K1064" s="17" t="s">
        <v>139</v>
      </c>
      <c r="L1064" s="17" t="s">
        <v>208</v>
      </c>
    </row>
    <row r="1065">
      <c r="A1065" s="17">
        <v>1.0</v>
      </c>
      <c r="B1065" s="158" t="s">
        <v>1491</v>
      </c>
      <c r="D1065" s="158" t="s">
        <v>263</v>
      </c>
      <c r="E1065" s="158" t="s">
        <v>2142</v>
      </c>
      <c r="G1065" s="158" t="s">
        <v>2344</v>
      </c>
      <c r="J1065" s="159" t="s">
        <v>2345</v>
      </c>
      <c r="K1065" s="17" t="s">
        <v>139</v>
      </c>
      <c r="L1065" s="17" t="s">
        <v>208</v>
      </c>
    </row>
    <row r="1066">
      <c r="A1066" s="17">
        <v>1.0</v>
      </c>
      <c r="B1066" s="158" t="s">
        <v>1491</v>
      </c>
      <c r="D1066" s="160" t="s">
        <v>263</v>
      </c>
      <c r="E1066" s="158" t="s">
        <v>2142</v>
      </c>
      <c r="G1066" s="158" t="s">
        <v>2346</v>
      </c>
      <c r="J1066" s="159" t="s">
        <v>2347</v>
      </c>
      <c r="K1066" s="17" t="s">
        <v>139</v>
      </c>
      <c r="L1066" s="17" t="s">
        <v>208</v>
      </c>
    </row>
    <row r="1067">
      <c r="A1067" s="17">
        <v>1.0</v>
      </c>
      <c r="B1067" s="158" t="s">
        <v>1488</v>
      </c>
      <c r="D1067" s="160" t="s">
        <v>263</v>
      </c>
      <c r="E1067" s="158" t="s">
        <v>2146</v>
      </c>
      <c r="G1067" s="158" t="s">
        <v>2348</v>
      </c>
      <c r="J1067" s="159" t="s">
        <v>2349</v>
      </c>
      <c r="K1067" s="17" t="s">
        <v>139</v>
      </c>
      <c r="L1067" s="17" t="s">
        <v>208</v>
      </c>
    </row>
    <row r="1068">
      <c r="A1068" s="17">
        <v>1.0</v>
      </c>
      <c r="B1068" s="158" t="s">
        <v>1488</v>
      </c>
      <c r="D1068" s="160" t="s">
        <v>263</v>
      </c>
      <c r="E1068" s="158" t="s">
        <v>2165</v>
      </c>
      <c r="G1068" s="158" t="s">
        <v>137</v>
      </c>
      <c r="J1068" s="159" t="s">
        <v>2350</v>
      </c>
      <c r="K1068" s="17" t="s">
        <v>139</v>
      </c>
      <c r="L1068" s="17" t="s">
        <v>208</v>
      </c>
    </row>
    <row r="1069">
      <c r="A1069" s="17">
        <v>1.0</v>
      </c>
      <c r="B1069" s="162" t="s">
        <v>416</v>
      </c>
      <c r="D1069" s="160" t="s">
        <v>263</v>
      </c>
      <c r="E1069" s="158" t="s">
        <v>2146</v>
      </c>
      <c r="G1069" s="158" t="s">
        <v>2351</v>
      </c>
      <c r="J1069" s="159" t="s">
        <v>2352</v>
      </c>
      <c r="K1069" s="17" t="s">
        <v>139</v>
      </c>
      <c r="L1069" s="17" t="s">
        <v>208</v>
      </c>
    </row>
    <row r="1070">
      <c r="A1070" s="17">
        <v>1.0</v>
      </c>
      <c r="B1070" s="162" t="s">
        <v>416</v>
      </c>
      <c r="D1070" s="160" t="s">
        <v>263</v>
      </c>
      <c r="E1070" s="158" t="s">
        <v>2203</v>
      </c>
      <c r="G1070" s="158" t="s">
        <v>2353</v>
      </c>
      <c r="J1070" s="159" t="s">
        <v>2354</v>
      </c>
      <c r="K1070" s="17" t="s">
        <v>139</v>
      </c>
      <c r="L1070" s="17" t="s">
        <v>208</v>
      </c>
    </row>
    <row r="1071">
      <c r="A1071" s="17">
        <v>1.0</v>
      </c>
      <c r="B1071" s="158" t="s">
        <v>1488</v>
      </c>
      <c r="D1071" s="160" t="s">
        <v>263</v>
      </c>
      <c r="E1071" s="158" t="s">
        <v>2146</v>
      </c>
      <c r="G1071" s="158" t="s">
        <v>2355</v>
      </c>
      <c r="J1071" s="159" t="s">
        <v>2356</v>
      </c>
      <c r="K1071" s="17" t="s">
        <v>139</v>
      </c>
      <c r="L1071" s="17" t="s">
        <v>208</v>
      </c>
    </row>
    <row r="1072">
      <c r="A1072" s="17">
        <v>1.0</v>
      </c>
      <c r="B1072" s="158" t="s">
        <v>1488</v>
      </c>
      <c r="D1072" s="160" t="s">
        <v>263</v>
      </c>
      <c r="E1072" s="158" t="s">
        <v>2146</v>
      </c>
      <c r="G1072" s="158" t="s">
        <v>2357</v>
      </c>
      <c r="J1072" s="159" t="s">
        <v>2358</v>
      </c>
      <c r="K1072" s="17" t="s">
        <v>139</v>
      </c>
      <c r="L1072" s="17" t="s">
        <v>208</v>
      </c>
    </row>
    <row r="1073">
      <c r="A1073" s="17">
        <v>1.0</v>
      </c>
      <c r="B1073" s="158" t="s">
        <v>1491</v>
      </c>
      <c r="D1073" s="158" t="s">
        <v>416</v>
      </c>
      <c r="E1073" s="158" t="s">
        <v>2146</v>
      </c>
      <c r="G1073" s="158" t="s">
        <v>2359</v>
      </c>
      <c r="J1073" s="159" t="s">
        <v>2360</v>
      </c>
      <c r="K1073" s="17" t="s">
        <v>139</v>
      </c>
      <c r="L1073" s="17" t="s">
        <v>208</v>
      </c>
    </row>
    <row r="1074">
      <c r="A1074" s="17">
        <v>1.0</v>
      </c>
      <c r="B1074" s="158" t="s">
        <v>1491</v>
      </c>
      <c r="D1074" s="160" t="s">
        <v>263</v>
      </c>
      <c r="E1074" s="158" t="s">
        <v>2146</v>
      </c>
      <c r="G1074" s="158" t="s">
        <v>1609</v>
      </c>
      <c r="J1074" s="159" t="s">
        <v>2361</v>
      </c>
      <c r="K1074" s="17" t="s">
        <v>139</v>
      </c>
      <c r="L1074" s="17" t="s">
        <v>208</v>
      </c>
    </row>
    <row r="1075">
      <c r="A1075" s="17">
        <v>1.0</v>
      </c>
      <c r="B1075" s="158" t="s">
        <v>1491</v>
      </c>
      <c r="D1075" s="160" t="s">
        <v>263</v>
      </c>
      <c r="E1075" s="158" t="s">
        <v>2146</v>
      </c>
      <c r="G1075" s="158" t="s">
        <v>2362</v>
      </c>
      <c r="J1075" s="159" t="s">
        <v>2363</v>
      </c>
      <c r="K1075" s="17" t="s">
        <v>139</v>
      </c>
      <c r="L1075" s="17" t="s">
        <v>208</v>
      </c>
    </row>
    <row r="1076">
      <c r="A1076" s="17">
        <v>1.0</v>
      </c>
      <c r="B1076" s="158" t="s">
        <v>1491</v>
      </c>
      <c r="D1076" s="160" t="s">
        <v>263</v>
      </c>
      <c r="E1076" s="158" t="s">
        <v>2146</v>
      </c>
      <c r="G1076" s="158" t="s">
        <v>137</v>
      </c>
      <c r="J1076" s="159" t="s">
        <v>2364</v>
      </c>
      <c r="K1076" s="17" t="s">
        <v>139</v>
      </c>
      <c r="L1076" s="17" t="s">
        <v>208</v>
      </c>
    </row>
    <row r="1077">
      <c r="A1077" s="17">
        <v>1.0</v>
      </c>
      <c r="B1077" s="158" t="s">
        <v>1488</v>
      </c>
      <c r="D1077" s="160" t="s">
        <v>263</v>
      </c>
      <c r="E1077" s="158" t="s">
        <v>2165</v>
      </c>
      <c r="G1077" s="158" t="s">
        <v>137</v>
      </c>
      <c r="J1077" s="159" t="s">
        <v>2365</v>
      </c>
      <c r="K1077" s="17" t="s">
        <v>139</v>
      </c>
      <c r="L1077" s="17" t="s">
        <v>208</v>
      </c>
    </row>
    <row r="1078">
      <c r="A1078" s="17">
        <v>1.0</v>
      </c>
      <c r="B1078" s="158" t="s">
        <v>1488</v>
      </c>
      <c r="D1078" s="160" t="s">
        <v>263</v>
      </c>
      <c r="E1078" s="158" t="s">
        <v>2203</v>
      </c>
      <c r="G1078" s="158" t="s">
        <v>1609</v>
      </c>
      <c r="J1078" s="159" t="s">
        <v>2366</v>
      </c>
      <c r="K1078" s="17" t="s">
        <v>139</v>
      </c>
      <c r="L1078" s="17" t="s">
        <v>208</v>
      </c>
    </row>
    <row r="1079">
      <c r="A1079" s="17">
        <v>1.0</v>
      </c>
      <c r="B1079" s="158" t="s">
        <v>1488</v>
      </c>
      <c r="D1079" s="160" t="s">
        <v>263</v>
      </c>
      <c r="E1079" s="158" t="s">
        <v>2165</v>
      </c>
      <c r="G1079" s="158" t="s">
        <v>2367</v>
      </c>
      <c r="J1079" s="159" t="s">
        <v>2368</v>
      </c>
      <c r="K1079" s="17" t="s">
        <v>139</v>
      </c>
      <c r="L1079" s="17" t="s">
        <v>208</v>
      </c>
    </row>
    <row r="1080">
      <c r="A1080" s="17">
        <v>1.0</v>
      </c>
      <c r="B1080" s="158" t="s">
        <v>1488</v>
      </c>
      <c r="D1080" s="160" t="s">
        <v>263</v>
      </c>
      <c r="E1080" s="158" t="s">
        <v>2146</v>
      </c>
      <c r="G1080" s="158" t="s">
        <v>2369</v>
      </c>
      <c r="J1080" s="159" t="s">
        <v>2370</v>
      </c>
      <c r="K1080" s="17" t="s">
        <v>139</v>
      </c>
      <c r="L1080" s="17" t="s">
        <v>208</v>
      </c>
    </row>
    <row r="1081">
      <c r="A1081" s="17">
        <v>1.0</v>
      </c>
      <c r="B1081" s="158" t="s">
        <v>1488</v>
      </c>
      <c r="D1081" s="158" t="s">
        <v>416</v>
      </c>
      <c r="E1081" s="158" t="s">
        <v>2146</v>
      </c>
      <c r="G1081" s="158" t="s">
        <v>137</v>
      </c>
      <c r="J1081" s="159" t="s">
        <v>2371</v>
      </c>
      <c r="K1081" s="17" t="s">
        <v>139</v>
      </c>
      <c r="L1081" s="17" t="s">
        <v>208</v>
      </c>
    </row>
    <row r="1082">
      <c r="A1082" s="17">
        <v>1.0</v>
      </c>
      <c r="B1082" s="158" t="s">
        <v>1488</v>
      </c>
      <c r="D1082" s="160" t="s">
        <v>263</v>
      </c>
      <c r="E1082" s="158" t="s">
        <v>2203</v>
      </c>
      <c r="G1082" s="158" t="s">
        <v>2372</v>
      </c>
      <c r="J1082" s="159" t="s">
        <v>2373</v>
      </c>
      <c r="K1082" s="17" t="s">
        <v>139</v>
      </c>
      <c r="L1082" s="17" t="s">
        <v>208</v>
      </c>
    </row>
    <row r="1083">
      <c r="A1083" s="17">
        <v>1.0</v>
      </c>
      <c r="B1083" s="158" t="s">
        <v>1488</v>
      </c>
      <c r="D1083" s="158" t="s">
        <v>416</v>
      </c>
      <c r="E1083" s="158" t="s">
        <v>2146</v>
      </c>
      <c r="G1083" s="158" t="s">
        <v>2374</v>
      </c>
      <c r="J1083" s="159" t="s">
        <v>2375</v>
      </c>
      <c r="K1083" s="17" t="s">
        <v>139</v>
      </c>
      <c r="L1083" s="17" t="s">
        <v>208</v>
      </c>
    </row>
    <row r="1084">
      <c r="A1084" s="17">
        <v>1.0</v>
      </c>
      <c r="B1084" s="158" t="s">
        <v>1488</v>
      </c>
      <c r="D1084" s="158" t="s">
        <v>218</v>
      </c>
      <c r="E1084" s="158" t="s">
        <v>2154</v>
      </c>
      <c r="G1084" s="158" t="s">
        <v>1609</v>
      </c>
      <c r="J1084" s="159" t="s">
        <v>2376</v>
      </c>
      <c r="K1084" s="17" t="s">
        <v>139</v>
      </c>
      <c r="L1084" s="17" t="s">
        <v>208</v>
      </c>
    </row>
    <row r="1085">
      <c r="A1085" s="17">
        <v>1.0</v>
      </c>
      <c r="B1085" s="158" t="s">
        <v>1488</v>
      </c>
      <c r="D1085" s="160" t="s">
        <v>263</v>
      </c>
      <c r="E1085" s="158" t="s">
        <v>2165</v>
      </c>
      <c r="G1085" s="158" t="s">
        <v>2377</v>
      </c>
      <c r="J1085" s="159" t="s">
        <v>2378</v>
      </c>
      <c r="K1085" s="17" t="s">
        <v>139</v>
      </c>
      <c r="L1085" s="17" t="s">
        <v>208</v>
      </c>
    </row>
    <row r="1086">
      <c r="A1086" s="17">
        <v>1.0</v>
      </c>
      <c r="B1086" s="158" t="s">
        <v>1488</v>
      </c>
      <c r="D1086" s="160" t="s">
        <v>263</v>
      </c>
      <c r="E1086" s="158" t="s">
        <v>2146</v>
      </c>
      <c r="G1086" s="158" t="s">
        <v>2379</v>
      </c>
      <c r="J1086" s="159" t="s">
        <v>2380</v>
      </c>
      <c r="K1086" s="17" t="s">
        <v>139</v>
      </c>
      <c r="L1086" s="17" t="s">
        <v>208</v>
      </c>
    </row>
    <row r="1087">
      <c r="A1087" s="17">
        <v>1.0</v>
      </c>
      <c r="B1087" s="158" t="s">
        <v>1488</v>
      </c>
      <c r="D1087" s="160" t="s">
        <v>219</v>
      </c>
      <c r="E1087" s="158" t="s">
        <v>2113</v>
      </c>
      <c r="G1087" s="158" t="s">
        <v>2381</v>
      </c>
      <c r="J1087" s="159" t="s">
        <v>2382</v>
      </c>
      <c r="K1087" s="17" t="s">
        <v>139</v>
      </c>
      <c r="L1087" s="17" t="s">
        <v>208</v>
      </c>
    </row>
    <row r="1088">
      <c r="A1088" s="17">
        <v>1.0</v>
      </c>
      <c r="B1088" s="158" t="s">
        <v>1488</v>
      </c>
      <c r="D1088" s="160" t="s">
        <v>263</v>
      </c>
      <c r="E1088" s="158" t="s">
        <v>2146</v>
      </c>
      <c r="G1088" s="158" t="s">
        <v>2383</v>
      </c>
      <c r="J1088" s="159" t="s">
        <v>2384</v>
      </c>
      <c r="K1088" s="17" t="s">
        <v>139</v>
      </c>
      <c r="L1088" s="17" t="s">
        <v>208</v>
      </c>
    </row>
    <row r="1089">
      <c r="A1089" s="17">
        <v>1.0</v>
      </c>
      <c r="B1089" s="158" t="s">
        <v>1488</v>
      </c>
      <c r="D1089" s="158" t="s">
        <v>416</v>
      </c>
      <c r="E1089" s="158" t="s">
        <v>2146</v>
      </c>
      <c r="G1089" s="158" t="s">
        <v>2385</v>
      </c>
      <c r="J1089" s="159" t="s">
        <v>2386</v>
      </c>
      <c r="K1089" s="17" t="s">
        <v>139</v>
      </c>
      <c r="L1089" s="17" t="s">
        <v>208</v>
      </c>
    </row>
    <row r="1090">
      <c r="A1090" s="17">
        <v>1.0</v>
      </c>
      <c r="B1090" s="158" t="s">
        <v>1488</v>
      </c>
      <c r="D1090" s="158" t="s">
        <v>248</v>
      </c>
      <c r="E1090" s="158" t="s">
        <v>2146</v>
      </c>
      <c r="G1090" s="158" t="s">
        <v>2387</v>
      </c>
      <c r="J1090" s="159" t="s">
        <v>2388</v>
      </c>
      <c r="K1090" s="17" t="s">
        <v>139</v>
      </c>
      <c r="L1090" s="17" t="s">
        <v>208</v>
      </c>
    </row>
    <row r="1091">
      <c r="A1091" s="17">
        <v>1.0</v>
      </c>
      <c r="B1091" s="158" t="s">
        <v>1488</v>
      </c>
      <c r="D1091" s="160" t="s">
        <v>263</v>
      </c>
      <c r="E1091" s="158" t="s">
        <v>2146</v>
      </c>
      <c r="G1091" s="158" t="s">
        <v>2389</v>
      </c>
      <c r="J1091" s="159" t="s">
        <v>2390</v>
      </c>
      <c r="K1091" s="17" t="s">
        <v>139</v>
      </c>
      <c r="L1091" s="17" t="s">
        <v>208</v>
      </c>
    </row>
    <row r="1092">
      <c r="A1092" s="17">
        <v>1.0</v>
      </c>
      <c r="B1092" s="158" t="s">
        <v>1488</v>
      </c>
      <c r="D1092" s="158" t="s">
        <v>416</v>
      </c>
      <c r="E1092" s="158" t="s">
        <v>2113</v>
      </c>
      <c r="G1092" s="158" t="s">
        <v>2391</v>
      </c>
      <c r="J1092" s="159" t="s">
        <v>2392</v>
      </c>
      <c r="K1092" s="17" t="s">
        <v>139</v>
      </c>
      <c r="L1092" s="17" t="s">
        <v>208</v>
      </c>
    </row>
    <row r="1093">
      <c r="A1093" s="17">
        <v>1.0</v>
      </c>
      <c r="B1093" s="158" t="s">
        <v>1488</v>
      </c>
      <c r="D1093" s="160" t="s">
        <v>140</v>
      </c>
      <c r="E1093" s="158" t="s">
        <v>2113</v>
      </c>
      <c r="G1093" s="158" t="s">
        <v>2393</v>
      </c>
      <c r="J1093" s="159" t="s">
        <v>2394</v>
      </c>
      <c r="K1093" s="17" t="s">
        <v>139</v>
      </c>
      <c r="L1093" s="17" t="s">
        <v>208</v>
      </c>
    </row>
    <row r="1094">
      <c r="A1094" s="17">
        <v>1.0</v>
      </c>
      <c r="B1094" s="158" t="s">
        <v>1488</v>
      </c>
      <c r="D1094" s="160" t="s">
        <v>263</v>
      </c>
      <c r="E1094" s="158" t="s">
        <v>2146</v>
      </c>
      <c r="G1094" s="158" t="s">
        <v>2395</v>
      </c>
      <c r="J1094" s="159" t="s">
        <v>2396</v>
      </c>
      <c r="K1094" s="17" t="s">
        <v>139</v>
      </c>
      <c r="L1094" s="17" t="s">
        <v>208</v>
      </c>
    </row>
    <row r="1095">
      <c r="A1095" s="17">
        <v>1.0</v>
      </c>
      <c r="B1095" s="158" t="s">
        <v>1488</v>
      </c>
      <c r="D1095" s="160" t="s">
        <v>263</v>
      </c>
      <c r="E1095" s="158" t="s">
        <v>2113</v>
      </c>
      <c r="G1095" s="158" t="s">
        <v>2397</v>
      </c>
      <c r="J1095" s="159" t="s">
        <v>2398</v>
      </c>
      <c r="K1095" s="17" t="s">
        <v>139</v>
      </c>
      <c r="L1095" s="17" t="s">
        <v>208</v>
      </c>
    </row>
    <row r="1096">
      <c r="A1096" s="17">
        <v>1.0</v>
      </c>
      <c r="B1096" s="158" t="s">
        <v>1491</v>
      </c>
      <c r="D1096" s="161" t="s">
        <v>153</v>
      </c>
      <c r="E1096" s="158" t="s">
        <v>2165</v>
      </c>
      <c r="G1096" s="158" t="s">
        <v>2399</v>
      </c>
      <c r="J1096" s="159" t="s">
        <v>2400</v>
      </c>
      <c r="K1096" s="17" t="s">
        <v>139</v>
      </c>
      <c r="L1096" s="17" t="s">
        <v>208</v>
      </c>
    </row>
    <row r="1097">
      <c r="A1097" s="17">
        <v>1.0</v>
      </c>
      <c r="B1097" s="158" t="s">
        <v>1488</v>
      </c>
      <c r="D1097" s="160" t="s">
        <v>159</v>
      </c>
      <c r="E1097" s="158" t="s">
        <v>2146</v>
      </c>
      <c r="G1097" s="158" t="s">
        <v>2401</v>
      </c>
      <c r="J1097" s="159" t="s">
        <v>2402</v>
      </c>
      <c r="K1097" s="17" t="s">
        <v>139</v>
      </c>
      <c r="L1097" s="17" t="s">
        <v>208</v>
      </c>
    </row>
    <row r="1098">
      <c r="A1098" s="17">
        <v>1.0</v>
      </c>
      <c r="B1098" s="158" t="s">
        <v>1488</v>
      </c>
      <c r="D1098" s="158" t="s">
        <v>416</v>
      </c>
      <c r="E1098" s="158" t="s">
        <v>2191</v>
      </c>
      <c r="G1098" s="158" t="s">
        <v>647</v>
      </c>
      <c r="J1098" s="159" t="s">
        <v>2403</v>
      </c>
      <c r="K1098" s="17" t="s">
        <v>139</v>
      </c>
      <c r="L1098" s="17" t="s">
        <v>208</v>
      </c>
    </row>
    <row r="1099">
      <c r="A1099" s="17">
        <v>1.0</v>
      </c>
      <c r="B1099" s="158" t="s">
        <v>1488</v>
      </c>
      <c r="D1099" s="160" t="s">
        <v>263</v>
      </c>
      <c r="E1099" s="158" t="s">
        <v>2165</v>
      </c>
      <c r="G1099" s="158" t="s">
        <v>2404</v>
      </c>
      <c r="J1099" s="159" t="s">
        <v>2405</v>
      </c>
      <c r="K1099" s="17" t="s">
        <v>139</v>
      </c>
      <c r="L1099" s="17" t="s">
        <v>208</v>
      </c>
    </row>
    <row r="1100">
      <c r="A1100" s="17">
        <v>1.0</v>
      </c>
      <c r="B1100" s="158" t="s">
        <v>1488</v>
      </c>
      <c r="D1100" s="160" t="s">
        <v>214</v>
      </c>
      <c r="E1100" s="158" t="s">
        <v>2113</v>
      </c>
      <c r="G1100" s="158" t="s">
        <v>2406</v>
      </c>
      <c r="J1100" s="159" t="s">
        <v>2407</v>
      </c>
      <c r="K1100" s="17" t="s">
        <v>139</v>
      </c>
      <c r="L1100" s="17" t="s">
        <v>208</v>
      </c>
    </row>
    <row r="1101">
      <c r="A1101" s="17">
        <v>1.0</v>
      </c>
      <c r="B1101" s="158" t="s">
        <v>1488</v>
      </c>
      <c r="D1101" s="158" t="s">
        <v>193</v>
      </c>
      <c r="E1101" s="158" t="s">
        <v>2146</v>
      </c>
      <c r="G1101" s="158" t="s">
        <v>2408</v>
      </c>
      <c r="J1101" s="159" t="s">
        <v>2409</v>
      </c>
      <c r="K1101" s="17" t="s">
        <v>139</v>
      </c>
      <c r="L1101" s="17" t="s">
        <v>208</v>
      </c>
    </row>
    <row r="1102">
      <c r="A1102" s="17">
        <v>1.0</v>
      </c>
      <c r="B1102" s="158" t="s">
        <v>1491</v>
      </c>
      <c r="D1102" s="160" t="s">
        <v>263</v>
      </c>
      <c r="E1102" s="158" t="s">
        <v>2242</v>
      </c>
      <c r="G1102" s="158" t="s">
        <v>2410</v>
      </c>
      <c r="J1102" s="159" t="s">
        <v>2411</v>
      </c>
      <c r="K1102" s="17" t="s">
        <v>139</v>
      </c>
      <c r="L1102" s="17" t="s">
        <v>208</v>
      </c>
    </row>
    <row r="1103">
      <c r="A1103" s="17">
        <v>1.0</v>
      </c>
      <c r="B1103" s="158" t="s">
        <v>1488</v>
      </c>
      <c r="D1103" s="160" t="s">
        <v>263</v>
      </c>
      <c r="E1103" s="158" t="s">
        <v>2165</v>
      </c>
      <c r="G1103" s="158" t="s">
        <v>2412</v>
      </c>
      <c r="J1103" s="159" t="s">
        <v>2413</v>
      </c>
      <c r="K1103" s="17" t="s">
        <v>139</v>
      </c>
      <c r="L1103" s="17" t="s">
        <v>208</v>
      </c>
    </row>
    <row r="1104">
      <c r="A1104" s="17">
        <v>1.0</v>
      </c>
      <c r="B1104" s="158" t="s">
        <v>1488</v>
      </c>
      <c r="D1104" s="160" t="s">
        <v>203</v>
      </c>
      <c r="E1104" s="158" t="s">
        <v>2285</v>
      </c>
      <c r="G1104" s="158" t="s">
        <v>2414</v>
      </c>
      <c r="J1104" s="159" t="s">
        <v>2415</v>
      </c>
      <c r="K1104" s="17" t="s">
        <v>139</v>
      </c>
      <c r="L1104" s="17" t="s">
        <v>208</v>
      </c>
    </row>
    <row r="1105">
      <c r="A1105" s="17">
        <v>1.0</v>
      </c>
      <c r="B1105" s="158" t="s">
        <v>1488</v>
      </c>
      <c r="D1105" s="158" t="s">
        <v>187</v>
      </c>
      <c r="E1105" s="158" t="s">
        <v>2416</v>
      </c>
      <c r="G1105" s="158" t="s">
        <v>2417</v>
      </c>
      <c r="J1105" s="159" t="s">
        <v>2418</v>
      </c>
      <c r="K1105" s="17" t="s">
        <v>139</v>
      </c>
      <c r="L1105" s="17" t="s">
        <v>208</v>
      </c>
    </row>
    <row r="1106">
      <c r="A1106" s="17">
        <v>1.0</v>
      </c>
      <c r="B1106" s="158" t="s">
        <v>1491</v>
      </c>
      <c r="D1106" s="160" t="s">
        <v>263</v>
      </c>
      <c r="E1106" s="158" t="s">
        <v>2165</v>
      </c>
      <c r="G1106" s="158" t="s">
        <v>137</v>
      </c>
      <c r="J1106" s="159" t="s">
        <v>2419</v>
      </c>
      <c r="K1106" s="17" t="s">
        <v>139</v>
      </c>
      <c r="L1106" s="17" t="s">
        <v>208</v>
      </c>
    </row>
    <row r="1107">
      <c r="A1107" s="17">
        <v>1.0</v>
      </c>
      <c r="B1107" s="158" t="s">
        <v>1491</v>
      </c>
      <c r="D1107" s="160" t="s">
        <v>263</v>
      </c>
      <c r="E1107" s="158" t="s">
        <v>2191</v>
      </c>
      <c r="G1107" s="158" t="s">
        <v>2420</v>
      </c>
      <c r="J1107" s="159" t="s">
        <v>2421</v>
      </c>
      <c r="K1107" s="17" t="s">
        <v>139</v>
      </c>
      <c r="L1107" s="17" t="s">
        <v>208</v>
      </c>
    </row>
    <row r="1108">
      <c r="A1108" s="17">
        <v>1.0</v>
      </c>
      <c r="B1108" s="158" t="s">
        <v>1491</v>
      </c>
      <c r="D1108" s="158" t="s">
        <v>416</v>
      </c>
      <c r="E1108" s="158" t="s">
        <v>2142</v>
      </c>
      <c r="G1108" s="158" t="s">
        <v>896</v>
      </c>
      <c r="J1108" s="159" t="s">
        <v>2422</v>
      </c>
      <c r="K1108" s="17" t="s">
        <v>139</v>
      </c>
      <c r="L1108" s="17" t="s">
        <v>208</v>
      </c>
    </row>
    <row r="1109">
      <c r="A1109" s="17">
        <v>1.0</v>
      </c>
      <c r="B1109" s="158" t="s">
        <v>1491</v>
      </c>
      <c r="D1109" s="160" t="s">
        <v>263</v>
      </c>
      <c r="E1109" s="158" t="s">
        <v>2113</v>
      </c>
      <c r="G1109" s="158" t="s">
        <v>2423</v>
      </c>
      <c r="J1109" s="159" t="s">
        <v>2424</v>
      </c>
      <c r="K1109" s="17" t="s">
        <v>139</v>
      </c>
      <c r="L1109" s="17" t="s">
        <v>208</v>
      </c>
    </row>
    <row r="1110">
      <c r="A1110" s="17">
        <v>1.0</v>
      </c>
      <c r="B1110" s="158" t="s">
        <v>1488</v>
      </c>
      <c r="D1110" s="160" t="s">
        <v>214</v>
      </c>
      <c r="E1110" s="158" t="s">
        <v>2113</v>
      </c>
      <c r="G1110" s="158" t="s">
        <v>137</v>
      </c>
      <c r="J1110" s="159" t="s">
        <v>2425</v>
      </c>
      <c r="K1110" s="17" t="s">
        <v>139</v>
      </c>
      <c r="L1110" s="17" t="s">
        <v>208</v>
      </c>
    </row>
    <row r="1111">
      <c r="A1111" s="17">
        <v>1.0</v>
      </c>
      <c r="B1111" s="158" t="s">
        <v>1491</v>
      </c>
      <c r="D1111" s="160" t="s">
        <v>263</v>
      </c>
      <c r="E1111" s="158" t="s">
        <v>2154</v>
      </c>
      <c r="G1111" s="158" t="s">
        <v>2426</v>
      </c>
      <c r="J1111" s="159" t="s">
        <v>2427</v>
      </c>
      <c r="K1111" s="17" t="s">
        <v>139</v>
      </c>
      <c r="L1111" s="17" t="s">
        <v>208</v>
      </c>
    </row>
    <row r="1112">
      <c r="A1112" s="17">
        <v>1.0</v>
      </c>
      <c r="B1112" s="158" t="s">
        <v>1491</v>
      </c>
      <c r="D1112" s="160" t="s">
        <v>263</v>
      </c>
      <c r="E1112" s="158" t="s">
        <v>2165</v>
      </c>
      <c r="G1112" s="158" t="s">
        <v>2428</v>
      </c>
      <c r="J1112" s="159" t="s">
        <v>2429</v>
      </c>
      <c r="K1112" s="17" t="s">
        <v>139</v>
      </c>
      <c r="L1112" s="17" t="s">
        <v>208</v>
      </c>
    </row>
    <row r="1113">
      <c r="A1113" s="17">
        <v>1.0</v>
      </c>
      <c r="B1113" s="158" t="s">
        <v>1491</v>
      </c>
      <c r="D1113" s="158" t="s">
        <v>416</v>
      </c>
      <c r="E1113" s="158" t="s">
        <v>2146</v>
      </c>
      <c r="G1113" s="158" t="s">
        <v>2430</v>
      </c>
      <c r="J1113" s="159" t="s">
        <v>2431</v>
      </c>
      <c r="K1113" s="17" t="s">
        <v>139</v>
      </c>
      <c r="L1113" s="17" t="s">
        <v>208</v>
      </c>
    </row>
    <row r="1114">
      <c r="A1114" s="17">
        <v>1.0</v>
      </c>
      <c r="B1114" s="158" t="s">
        <v>1488</v>
      </c>
      <c r="D1114" s="158" t="s">
        <v>416</v>
      </c>
      <c r="E1114" s="158" t="s">
        <v>2113</v>
      </c>
      <c r="G1114" s="158" t="s">
        <v>2432</v>
      </c>
      <c r="J1114" s="159" t="s">
        <v>2433</v>
      </c>
      <c r="K1114" s="17" t="s">
        <v>139</v>
      </c>
      <c r="L1114" s="17" t="s">
        <v>208</v>
      </c>
    </row>
    <row r="1115">
      <c r="A1115" s="17">
        <v>1.0</v>
      </c>
      <c r="B1115" s="158" t="s">
        <v>1488</v>
      </c>
      <c r="D1115" s="158" t="s">
        <v>249</v>
      </c>
      <c r="E1115" s="158" t="s">
        <v>2146</v>
      </c>
      <c r="G1115" s="158" t="s">
        <v>2369</v>
      </c>
      <c r="J1115" s="159" t="s">
        <v>2434</v>
      </c>
      <c r="K1115" s="17" t="s">
        <v>139</v>
      </c>
      <c r="L1115" s="17" t="s">
        <v>208</v>
      </c>
    </row>
    <row r="1116">
      <c r="A1116" s="17">
        <v>1.0</v>
      </c>
      <c r="B1116" s="158" t="s">
        <v>1491</v>
      </c>
      <c r="D1116" s="160" t="s">
        <v>263</v>
      </c>
      <c r="E1116" s="158" t="s">
        <v>2165</v>
      </c>
      <c r="G1116" s="158" t="s">
        <v>2435</v>
      </c>
      <c r="J1116" s="159" t="s">
        <v>2436</v>
      </c>
      <c r="K1116" s="17" t="s">
        <v>139</v>
      </c>
      <c r="L1116" s="17" t="s">
        <v>208</v>
      </c>
    </row>
    <row r="1117">
      <c r="A1117" s="17">
        <v>1.0</v>
      </c>
      <c r="B1117" s="158" t="s">
        <v>1491</v>
      </c>
      <c r="D1117" s="161" t="s">
        <v>153</v>
      </c>
      <c r="E1117" s="158" t="s">
        <v>2191</v>
      </c>
      <c r="G1117" s="158" t="s">
        <v>2437</v>
      </c>
      <c r="J1117" s="159" t="s">
        <v>2438</v>
      </c>
      <c r="K1117" s="17" t="s">
        <v>139</v>
      </c>
      <c r="L1117" s="17" t="s">
        <v>208</v>
      </c>
    </row>
    <row r="1118">
      <c r="A1118" s="17">
        <v>1.0</v>
      </c>
      <c r="B1118" s="158" t="s">
        <v>1491</v>
      </c>
      <c r="D1118" s="160" t="s">
        <v>263</v>
      </c>
      <c r="E1118" s="158" t="s">
        <v>2146</v>
      </c>
      <c r="G1118" s="158" t="s">
        <v>2439</v>
      </c>
      <c r="J1118" s="159" t="s">
        <v>2440</v>
      </c>
      <c r="K1118" s="17" t="s">
        <v>139</v>
      </c>
      <c r="L1118" s="17" t="s">
        <v>208</v>
      </c>
    </row>
    <row r="1119">
      <c r="A1119" s="17">
        <v>1.0</v>
      </c>
      <c r="B1119" s="158" t="s">
        <v>1488</v>
      </c>
      <c r="D1119" s="158" t="s">
        <v>416</v>
      </c>
      <c r="E1119" s="158" t="s">
        <v>2165</v>
      </c>
      <c r="G1119" s="158" t="s">
        <v>2441</v>
      </c>
      <c r="J1119" s="159" t="s">
        <v>2442</v>
      </c>
      <c r="K1119" s="17" t="s">
        <v>139</v>
      </c>
      <c r="L1119" s="17" t="s">
        <v>208</v>
      </c>
    </row>
    <row r="1120">
      <c r="A1120" s="17">
        <v>1.0</v>
      </c>
      <c r="B1120" s="158" t="s">
        <v>1488</v>
      </c>
      <c r="D1120" s="160" t="s">
        <v>263</v>
      </c>
      <c r="E1120" s="158" t="s">
        <v>2146</v>
      </c>
      <c r="G1120" s="158" t="s">
        <v>2443</v>
      </c>
      <c r="J1120" s="159" t="s">
        <v>2444</v>
      </c>
      <c r="K1120" s="17" t="s">
        <v>139</v>
      </c>
      <c r="L1120" s="17" t="s">
        <v>208</v>
      </c>
    </row>
    <row r="1121">
      <c r="A1121" s="17">
        <v>1.0</v>
      </c>
      <c r="B1121" s="158" t="s">
        <v>1488</v>
      </c>
      <c r="D1121" s="160" t="s">
        <v>263</v>
      </c>
      <c r="E1121" s="158" t="s">
        <v>2146</v>
      </c>
      <c r="G1121" s="158" t="s">
        <v>2445</v>
      </c>
      <c r="J1121" s="159" t="s">
        <v>2446</v>
      </c>
      <c r="K1121" s="17" t="s">
        <v>139</v>
      </c>
      <c r="L1121" s="17" t="s">
        <v>208</v>
      </c>
    </row>
    <row r="1122">
      <c r="A1122" s="17">
        <v>1.0</v>
      </c>
      <c r="B1122" s="158" t="s">
        <v>1491</v>
      </c>
      <c r="D1122" s="160" t="s">
        <v>159</v>
      </c>
      <c r="E1122" s="158" t="s">
        <v>2146</v>
      </c>
      <c r="G1122" s="158" t="s">
        <v>2447</v>
      </c>
      <c r="J1122" s="159" t="s">
        <v>2448</v>
      </c>
      <c r="K1122" s="17" t="s">
        <v>139</v>
      </c>
      <c r="L1122" s="17" t="s">
        <v>208</v>
      </c>
    </row>
    <row r="1123">
      <c r="A1123" s="17">
        <v>1.0</v>
      </c>
      <c r="B1123" s="158" t="s">
        <v>1488</v>
      </c>
      <c r="D1123" s="158" t="s">
        <v>416</v>
      </c>
      <c r="E1123" s="158" t="s">
        <v>2113</v>
      </c>
      <c r="G1123" s="158" t="s">
        <v>2449</v>
      </c>
      <c r="J1123" s="159" t="s">
        <v>2450</v>
      </c>
      <c r="K1123" s="17" t="s">
        <v>139</v>
      </c>
      <c r="L1123" s="17" t="s">
        <v>208</v>
      </c>
    </row>
    <row r="1124">
      <c r="A1124" s="17">
        <v>1.0</v>
      </c>
      <c r="B1124" s="158" t="s">
        <v>1488</v>
      </c>
      <c r="D1124" s="160" t="s">
        <v>263</v>
      </c>
      <c r="E1124" s="158" t="s">
        <v>2146</v>
      </c>
      <c r="G1124" s="158" t="s">
        <v>2451</v>
      </c>
      <c r="J1124" s="159" t="s">
        <v>2452</v>
      </c>
      <c r="K1124" s="17" t="s">
        <v>139</v>
      </c>
      <c r="L1124" s="17" t="s">
        <v>208</v>
      </c>
    </row>
    <row r="1125">
      <c r="A1125" s="17">
        <v>1.0</v>
      </c>
      <c r="B1125" s="158" t="s">
        <v>1491</v>
      </c>
      <c r="D1125" s="160" t="s">
        <v>263</v>
      </c>
      <c r="E1125" s="158" t="s">
        <v>2453</v>
      </c>
      <c r="G1125" s="158" t="s">
        <v>2454</v>
      </c>
      <c r="J1125" s="159" t="s">
        <v>2455</v>
      </c>
      <c r="K1125" s="17" t="s">
        <v>139</v>
      </c>
      <c r="L1125" s="17" t="s">
        <v>208</v>
      </c>
    </row>
    <row r="1126">
      <c r="A1126" s="17">
        <v>1.0</v>
      </c>
      <c r="B1126" s="158" t="s">
        <v>1488</v>
      </c>
      <c r="D1126" s="160" t="s">
        <v>263</v>
      </c>
      <c r="E1126" s="158" t="s">
        <v>2146</v>
      </c>
      <c r="G1126" s="158" t="s">
        <v>2456</v>
      </c>
      <c r="J1126" s="159" t="s">
        <v>2457</v>
      </c>
      <c r="K1126" s="17" t="s">
        <v>139</v>
      </c>
      <c r="L1126" s="17" t="s">
        <v>208</v>
      </c>
    </row>
    <row r="1127">
      <c r="A1127" s="17">
        <v>1.0</v>
      </c>
      <c r="B1127" s="158" t="s">
        <v>1488</v>
      </c>
      <c r="D1127" s="158" t="s">
        <v>416</v>
      </c>
      <c r="E1127" s="158" t="s">
        <v>2458</v>
      </c>
      <c r="G1127" s="158" t="s">
        <v>2459</v>
      </c>
      <c r="J1127" s="159" t="s">
        <v>2460</v>
      </c>
      <c r="K1127" s="17" t="s">
        <v>139</v>
      </c>
      <c r="L1127" s="17" t="s">
        <v>208</v>
      </c>
    </row>
    <row r="1128">
      <c r="A1128" s="17">
        <v>1.0</v>
      </c>
      <c r="B1128" s="158" t="s">
        <v>1488</v>
      </c>
      <c r="D1128" s="160" t="s">
        <v>263</v>
      </c>
      <c r="E1128" s="158" t="s">
        <v>2146</v>
      </c>
      <c r="G1128" s="158" t="s">
        <v>2461</v>
      </c>
      <c r="J1128" s="159" t="s">
        <v>2462</v>
      </c>
      <c r="K1128" s="17" t="s">
        <v>139</v>
      </c>
      <c r="L1128" s="17" t="s">
        <v>208</v>
      </c>
    </row>
    <row r="1129">
      <c r="A1129" s="17">
        <v>1.0</v>
      </c>
      <c r="B1129" s="158" t="s">
        <v>1491</v>
      </c>
      <c r="D1129" s="160" t="s">
        <v>263</v>
      </c>
      <c r="E1129" s="158" t="s">
        <v>2154</v>
      </c>
      <c r="G1129" s="158" t="s">
        <v>2463</v>
      </c>
      <c r="J1129" s="159" t="s">
        <v>2464</v>
      </c>
      <c r="K1129" s="17" t="s">
        <v>139</v>
      </c>
      <c r="L1129" s="17" t="s">
        <v>208</v>
      </c>
    </row>
    <row r="1130">
      <c r="A1130" s="17">
        <v>1.0</v>
      </c>
      <c r="B1130" s="158" t="s">
        <v>1488</v>
      </c>
      <c r="D1130" s="160" t="s">
        <v>263</v>
      </c>
      <c r="E1130" s="158" t="s">
        <v>2113</v>
      </c>
      <c r="G1130" s="158" t="s">
        <v>2465</v>
      </c>
      <c r="J1130" s="159" t="s">
        <v>2466</v>
      </c>
      <c r="K1130" s="17" t="s">
        <v>139</v>
      </c>
      <c r="L1130" s="17" t="s">
        <v>208</v>
      </c>
    </row>
    <row r="1131">
      <c r="A1131" s="17">
        <v>1.0</v>
      </c>
      <c r="B1131" s="158" t="s">
        <v>1488</v>
      </c>
      <c r="D1131" s="160" t="s">
        <v>285</v>
      </c>
      <c r="E1131" s="158" t="s">
        <v>2191</v>
      </c>
      <c r="G1131" s="158" t="s">
        <v>2467</v>
      </c>
      <c r="J1131" s="159" t="s">
        <v>2468</v>
      </c>
      <c r="K1131" s="17" t="s">
        <v>139</v>
      </c>
      <c r="L1131" s="17" t="s">
        <v>208</v>
      </c>
    </row>
    <row r="1132">
      <c r="A1132" s="17">
        <v>1.0</v>
      </c>
      <c r="B1132" s="158" t="s">
        <v>1488</v>
      </c>
      <c r="D1132" s="160" t="s">
        <v>263</v>
      </c>
      <c r="E1132" s="158" t="s">
        <v>2146</v>
      </c>
      <c r="G1132" s="158" t="s">
        <v>2469</v>
      </c>
      <c r="J1132" s="159" t="s">
        <v>2470</v>
      </c>
      <c r="K1132" s="17" t="s">
        <v>139</v>
      </c>
      <c r="L1132" s="17" t="s">
        <v>208</v>
      </c>
    </row>
    <row r="1133">
      <c r="A1133" s="17">
        <v>1.0</v>
      </c>
      <c r="B1133" s="158" t="s">
        <v>1491</v>
      </c>
      <c r="D1133" s="160" t="s">
        <v>263</v>
      </c>
      <c r="E1133" s="158" t="s">
        <v>2146</v>
      </c>
      <c r="G1133" s="158" t="s">
        <v>2471</v>
      </c>
      <c r="J1133" s="159" t="s">
        <v>2472</v>
      </c>
      <c r="K1133" s="17" t="s">
        <v>139</v>
      </c>
      <c r="L1133" s="17" t="s">
        <v>208</v>
      </c>
    </row>
    <row r="1134">
      <c r="A1134" s="17">
        <v>1.0</v>
      </c>
      <c r="B1134" s="158" t="s">
        <v>1488</v>
      </c>
      <c r="D1134" s="158" t="s">
        <v>416</v>
      </c>
      <c r="E1134" s="158" t="s">
        <v>2154</v>
      </c>
      <c r="G1134" s="158" t="s">
        <v>2473</v>
      </c>
      <c r="J1134" s="159" t="s">
        <v>2474</v>
      </c>
      <c r="K1134" s="17" t="s">
        <v>139</v>
      </c>
      <c r="L1134" s="17" t="s">
        <v>208</v>
      </c>
    </row>
    <row r="1135">
      <c r="A1135" s="17">
        <v>1.0</v>
      </c>
      <c r="B1135" s="158" t="s">
        <v>1491</v>
      </c>
      <c r="D1135" s="160" t="s">
        <v>258</v>
      </c>
      <c r="E1135" s="158" t="s">
        <v>2165</v>
      </c>
      <c r="G1135" s="158" t="s">
        <v>2475</v>
      </c>
      <c r="J1135" s="159" t="s">
        <v>2476</v>
      </c>
      <c r="K1135" s="17" t="s">
        <v>139</v>
      </c>
      <c r="L1135" s="17" t="s">
        <v>208</v>
      </c>
    </row>
    <row r="1136">
      <c r="A1136" s="17">
        <v>1.0</v>
      </c>
      <c r="B1136" s="158" t="s">
        <v>1488</v>
      </c>
      <c r="D1136" s="160" t="s">
        <v>417</v>
      </c>
      <c r="E1136" s="158" t="s">
        <v>2203</v>
      </c>
      <c r="G1136" s="158" t="s">
        <v>2477</v>
      </c>
      <c r="J1136" s="159" t="s">
        <v>2478</v>
      </c>
      <c r="K1136" s="17" t="s">
        <v>139</v>
      </c>
      <c r="L1136" s="17" t="s">
        <v>208</v>
      </c>
    </row>
    <row r="1137">
      <c r="A1137" s="17">
        <v>1.0</v>
      </c>
      <c r="B1137" s="158" t="s">
        <v>1488</v>
      </c>
      <c r="D1137" s="160" t="s">
        <v>263</v>
      </c>
      <c r="E1137" s="158" t="s">
        <v>2165</v>
      </c>
      <c r="G1137" s="158" t="s">
        <v>137</v>
      </c>
      <c r="J1137" s="159" t="s">
        <v>2479</v>
      </c>
      <c r="K1137" s="17" t="s">
        <v>139</v>
      </c>
      <c r="L1137" s="17" t="s">
        <v>208</v>
      </c>
    </row>
    <row r="1138">
      <c r="A1138" s="17">
        <v>1.0</v>
      </c>
      <c r="B1138" s="162" t="s">
        <v>416</v>
      </c>
      <c r="D1138" s="160" t="s">
        <v>263</v>
      </c>
      <c r="E1138" s="158" t="s">
        <v>2165</v>
      </c>
      <c r="G1138" s="163"/>
      <c r="J1138" s="159" t="s">
        <v>2480</v>
      </c>
      <c r="K1138" s="17" t="s">
        <v>139</v>
      </c>
      <c r="L1138" s="17" t="s">
        <v>208</v>
      </c>
    </row>
    <row r="1139">
      <c r="A1139" s="17">
        <v>1.0</v>
      </c>
      <c r="B1139" s="158" t="s">
        <v>1488</v>
      </c>
      <c r="D1139" s="160" t="s">
        <v>263</v>
      </c>
      <c r="E1139" s="158" t="s">
        <v>2146</v>
      </c>
      <c r="G1139" s="158" t="s">
        <v>2481</v>
      </c>
      <c r="J1139" s="164">
        <v>45021.55806712963</v>
      </c>
      <c r="K1139" s="17" t="s">
        <v>139</v>
      </c>
      <c r="L1139" s="17" t="s">
        <v>208</v>
      </c>
    </row>
    <row r="1140">
      <c r="A1140" s="17">
        <v>1.0</v>
      </c>
      <c r="B1140" s="158" t="s">
        <v>1488</v>
      </c>
      <c r="D1140" s="160" t="s">
        <v>263</v>
      </c>
      <c r="E1140" s="158" t="s">
        <v>2146</v>
      </c>
      <c r="G1140" s="158" t="s">
        <v>2482</v>
      </c>
      <c r="J1140" s="164">
        <v>45021.49920138889</v>
      </c>
      <c r="K1140" s="17" t="s">
        <v>139</v>
      </c>
      <c r="L1140" s="17" t="s">
        <v>208</v>
      </c>
    </row>
    <row r="1141">
      <c r="A1141" s="17">
        <v>1.0</v>
      </c>
      <c r="B1141" s="158" t="s">
        <v>1488</v>
      </c>
      <c r="D1141" s="160" t="s">
        <v>263</v>
      </c>
      <c r="E1141" s="158" t="s">
        <v>2165</v>
      </c>
      <c r="G1141" s="158" t="s">
        <v>2483</v>
      </c>
      <c r="J1141" s="164">
        <v>45021.496770833335</v>
      </c>
      <c r="K1141" s="17" t="s">
        <v>139</v>
      </c>
      <c r="L1141" s="17" t="s">
        <v>208</v>
      </c>
    </row>
    <row r="1142">
      <c r="A1142" s="17">
        <v>1.0</v>
      </c>
      <c r="B1142" s="158" t="s">
        <v>1488</v>
      </c>
      <c r="D1142" s="160" t="s">
        <v>263</v>
      </c>
      <c r="E1142" s="158" t="s">
        <v>2146</v>
      </c>
      <c r="G1142" s="158" t="s">
        <v>2484</v>
      </c>
      <c r="J1142" s="164">
        <v>45021.35</v>
      </c>
      <c r="K1142" s="17" t="s">
        <v>139</v>
      </c>
      <c r="L1142" s="17" t="s">
        <v>208</v>
      </c>
    </row>
    <row r="1143">
      <c r="A1143" s="17">
        <v>1.0</v>
      </c>
      <c r="B1143" s="158" t="s">
        <v>1488</v>
      </c>
      <c r="D1143" s="160" t="s">
        <v>263</v>
      </c>
      <c r="E1143" s="158" t="s">
        <v>2154</v>
      </c>
      <c r="G1143" s="158" t="s">
        <v>2485</v>
      </c>
      <c r="J1143" s="164">
        <v>45021.32921296296</v>
      </c>
      <c r="K1143" s="17" t="s">
        <v>139</v>
      </c>
      <c r="L1143" s="17" t="s">
        <v>208</v>
      </c>
    </row>
    <row r="1144">
      <c r="A1144" s="17">
        <v>1.0</v>
      </c>
      <c r="B1144" s="158" t="s">
        <v>1488</v>
      </c>
      <c r="D1144" s="160" t="s">
        <v>263</v>
      </c>
      <c r="E1144" s="158" t="s">
        <v>2165</v>
      </c>
      <c r="G1144" s="158" t="s">
        <v>2486</v>
      </c>
      <c r="J1144" s="164">
        <v>45021.28228009259</v>
      </c>
      <c r="K1144" s="17" t="s">
        <v>139</v>
      </c>
      <c r="L1144" s="17" t="s">
        <v>208</v>
      </c>
    </row>
    <row r="1145">
      <c r="A1145" s="17">
        <v>1.0</v>
      </c>
      <c r="B1145" s="158" t="s">
        <v>1488</v>
      </c>
      <c r="D1145" s="160" t="s">
        <v>263</v>
      </c>
      <c r="E1145" s="158" t="s">
        <v>2165</v>
      </c>
      <c r="G1145" s="158" t="s">
        <v>2487</v>
      </c>
      <c r="J1145" s="164">
        <v>44990.4624537037</v>
      </c>
      <c r="K1145" s="17" t="s">
        <v>139</v>
      </c>
      <c r="L1145" s="17" t="s">
        <v>208</v>
      </c>
    </row>
    <row r="1146">
      <c r="A1146" s="17">
        <v>1.0</v>
      </c>
      <c r="B1146" s="158" t="s">
        <v>1488</v>
      </c>
      <c r="D1146" s="160" t="s">
        <v>244</v>
      </c>
      <c r="E1146" s="158" t="s">
        <v>2165</v>
      </c>
      <c r="G1146" s="158" t="s">
        <v>2488</v>
      </c>
      <c r="J1146" s="164">
        <v>44990.420219907406</v>
      </c>
      <c r="K1146" s="17" t="s">
        <v>139</v>
      </c>
      <c r="L1146" s="17" t="s">
        <v>208</v>
      </c>
    </row>
    <row r="1147">
      <c r="A1147" s="17">
        <v>1.0</v>
      </c>
      <c r="B1147" s="158" t="s">
        <v>1491</v>
      </c>
      <c r="D1147" s="160" t="s">
        <v>263</v>
      </c>
      <c r="E1147" s="158" t="s">
        <v>2154</v>
      </c>
      <c r="G1147" s="158" t="s">
        <v>1493</v>
      </c>
      <c r="J1147" s="164">
        <v>44990.38924768518</v>
      </c>
      <c r="K1147" s="17" t="s">
        <v>139</v>
      </c>
      <c r="L1147" s="17" t="s">
        <v>208</v>
      </c>
    </row>
    <row r="1148">
      <c r="A1148" s="17">
        <v>1.0</v>
      </c>
      <c r="B1148" s="158" t="s">
        <v>1488</v>
      </c>
      <c r="D1148" s="158" t="s">
        <v>416</v>
      </c>
      <c r="E1148" s="158" t="s">
        <v>2280</v>
      </c>
      <c r="G1148" s="158" t="s">
        <v>137</v>
      </c>
      <c r="J1148" s="164">
        <v>44990.294224537036</v>
      </c>
      <c r="K1148" s="17" t="s">
        <v>139</v>
      </c>
      <c r="L1148" s="17" t="s">
        <v>208</v>
      </c>
    </row>
    <row r="1149">
      <c r="A1149" s="17">
        <v>1.0</v>
      </c>
      <c r="B1149" s="158" t="s">
        <v>1488</v>
      </c>
      <c r="D1149" s="158" t="s">
        <v>416</v>
      </c>
      <c r="E1149" s="158" t="s">
        <v>2113</v>
      </c>
      <c r="G1149" s="158" t="s">
        <v>137</v>
      </c>
      <c r="J1149" s="164">
        <v>44990.29258101852</v>
      </c>
      <c r="K1149" s="17" t="s">
        <v>139</v>
      </c>
      <c r="L1149" s="17" t="s">
        <v>208</v>
      </c>
    </row>
    <row r="1150">
      <c r="A1150" s="17">
        <v>1.0</v>
      </c>
      <c r="B1150" s="158" t="s">
        <v>1488</v>
      </c>
      <c r="D1150" s="158" t="s">
        <v>416</v>
      </c>
      <c r="E1150" s="158" t="s">
        <v>2165</v>
      </c>
      <c r="G1150" s="158" t="s">
        <v>137</v>
      </c>
      <c r="J1150" s="164">
        <v>44990.19200231481</v>
      </c>
      <c r="K1150" s="17" t="s">
        <v>139</v>
      </c>
      <c r="L1150" s="17" t="s">
        <v>208</v>
      </c>
    </row>
    <row r="1151">
      <c r="A1151" s="17">
        <v>1.0</v>
      </c>
      <c r="B1151" s="158" t="s">
        <v>1491</v>
      </c>
      <c r="D1151" s="158" t="s">
        <v>353</v>
      </c>
      <c r="E1151" s="158" t="s">
        <v>2146</v>
      </c>
      <c r="G1151" s="158" t="s">
        <v>2489</v>
      </c>
      <c r="J1151" s="164">
        <v>44990.06900462963</v>
      </c>
      <c r="K1151" s="17" t="s">
        <v>139</v>
      </c>
      <c r="L1151" s="17" t="s">
        <v>208</v>
      </c>
    </row>
    <row r="1152">
      <c r="A1152" s="17">
        <v>1.0</v>
      </c>
      <c r="B1152" s="158" t="s">
        <v>1488</v>
      </c>
      <c r="D1152" s="158" t="s">
        <v>353</v>
      </c>
      <c r="E1152" s="158" t="s">
        <v>2113</v>
      </c>
      <c r="G1152" s="158" t="s">
        <v>2490</v>
      </c>
      <c r="J1152" s="164">
        <v>44990.041666666664</v>
      </c>
      <c r="K1152" s="17" t="s">
        <v>139</v>
      </c>
      <c r="L1152" s="17" t="s">
        <v>208</v>
      </c>
    </row>
    <row r="1153">
      <c r="A1153" s="17">
        <v>1.0</v>
      </c>
      <c r="B1153" s="158" t="s">
        <v>1488</v>
      </c>
      <c r="D1153" s="160" t="s">
        <v>263</v>
      </c>
      <c r="E1153" s="158" t="s">
        <v>2165</v>
      </c>
      <c r="G1153" s="158" t="s">
        <v>2491</v>
      </c>
      <c r="J1153" s="164">
        <v>44962.38538194444</v>
      </c>
      <c r="K1153" s="17" t="s">
        <v>139</v>
      </c>
      <c r="L1153" s="17" t="s">
        <v>208</v>
      </c>
    </row>
    <row r="1154">
      <c r="A1154" s="17">
        <v>1.0</v>
      </c>
      <c r="B1154" s="158" t="s">
        <v>1491</v>
      </c>
      <c r="D1154" s="158" t="s">
        <v>143</v>
      </c>
      <c r="E1154" s="158" t="s">
        <v>511</v>
      </c>
      <c r="G1154" s="158" t="s">
        <v>2492</v>
      </c>
      <c r="J1154" s="164">
        <v>44962.28429398148</v>
      </c>
      <c r="K1154" s="17" t="s">
        <v>139</v>
      </c>
      <c r="L1154" s="17" t="s">
        <v>208</v>
      </c>
    </row>
    <row r="1155">
      <c r="A1155" s="17">
        <v>1.0</v>
      </c>
      <c r="B1155" s="158" t="s">
        <v>1488</v>
      </c>
      <c r="D1155" s="158" t="s">
        <v>331</v>
      </c>
      <c r="E1155" s="158" t="s">
        <v>2146</v>
      </c>
      <c r="G1155" s="158" t="s">
        <v>2493</v>
      </c>
      <c r="J1155" s="164">
        <v>44962.239756944444</v>
      </c>
      <c r="K1155" s="17" t="s">
        <v>139</v>
      </c>
      <c r="L1155" s="17" t="s">
        <v>208</v>
      </c>
    </row>
    <row r="1156">
      <c r="A1156" s="17">
        <v>1.0</v>
      </c>
      <c r="B1156" s="158" t="s">
        <v>1488</v>
      </c>
      <c r="D1156" s="158" t="s">
        <v>374</v>
      </c>
      <c r="E1156" s="158" t="s">
        <v>2146</v>
      </c>
      <c r="G1156" s="158" t="s">
        <v>2494</v>
      </c>
      <c r="J1156" s="164">
        <v>44962.23369212963</v>
      </c>
      <c r="K1156" s="17" t="s">
        <v>139</v>
      </c>
      <c r="L1156" s="17" t="s">
        <v>208</v>
      </c>
    </row>
    <row r="1157">
      <c r="A1157" s="17">
        <v>1.0</v>
      </c>
      <c r="B1157" s="158" t="s">
        <v>1488</v>
      </c>
      <c r="D1157" s="158" t="s">
        <v>331</v>
      </c>
      <c r="E1157" s="158" t="s">
        <v>2146</v>
      </c>
      <c r="G1157" s="158" t="s">
        <v>2495</v>
      </c>
      <c r="J1157" s="164">
        <v>44962.232777777775</v>
      </c>
      <c r="K1157" s="17" t="s">
        <v>139</v>
      </c>
      <c r="L1157" s="17" t="s">
        <v>208</v>
      </c>
    </row>
    <row r="1158">
      <c r="A1158" s="17">
        <v>1.0</v>
      </c>
      <c r="B1158" s="158" t="s">
        <v>1488</v>
      </c>
      <c r="D1158" s="158" t="s">
        <v>143</v>
      </c>
      <c r="E1158" s="158" t="s">
        <v>2496</v>
      </c>
      <c r="G1158" s="158" t="s">
        <v>2497</v>
      </c>
      <c r="J1158" s="164">
        <v>44962.13185185185</v>
      </c>
      <c r="K1158" s="17" t="s">
        <v>139</v>
      </c>
      <c r="L1158" s="17" t="s">
        <v>208</v>
      </c>
    </row>
    <row r="1159">
      <c r="A1159" s="17">
        <v>1.0</v>
      </c>
      <c r="B1159" s="158" t="s">
        <v>1488</v>
      </c>
      <c r="D1159" s="158" t="s">
        <v>143</v>
      </c>
      <c r="E1159" s="158" t="s">
        <v>511</v>
      </c>
      <c r="G1159" s="158" t="s">
        <v>137</v>
      </c>
      <c r="J1159" s="164">
        <v>44962.10023148148</v>
      </c>
      <c r="K1159" s="17" t="s">
        <v>139</v>
      </c>
      <c r="L1159" s="17" t="s">
        <v>208</v>
      </c>
    </row>
    <row r="1160">
      <c r="A1160" s="17">
        <v>1.0</v>
      </c>
      <c r="B1160" s="158" t="s">
        <v>1488</v>
      </c>
      <c r="D1160" s="158" t="s">
        <v>143</v>
      </c>
      <c r="E1160" s="158" t="s">
        <v>2203</v>
      </c>
      <c r="G1160" s="158" t="s">
        <v>137</v>
      </c>
      <c r="J1160" s="164">
        <v>44962.01962962963</v>
      </c>
      <c r="K1160" s="17" t="s">
        <v>139</v>
      </c>
      <c r="L1160" s="17" t="s">
        <v>208</v>
      </c>
    </row>
    <row r="1161">
      <c r="A1161" s="17">
        <v>1.0</v>
      </c>
      <c r="B1161" s="158" t="s">
        <v>1491</v>
      </c>
      <c r="D1161" s="160" t="s">
        <v>263</v>
      </c>
      <c r="E1161" s="158" t="s">
        <v>2146</v>
      </c>
      <c r="G1161" s="158" t="s">
        <v>2498</v>
      </c>
      <c r="J1161" s="164">
        <v>44931.62494212963</v>
      </c>
      <c r="K1161" s="17" t="s">
        <v>139</v>
      </c>
      <c r="L1161" s="17" t="s">
        <v>208</v>
      </c>
    </row>
    <row r="1162">
      <c r="A1162" s="17">
        <v>1.0</v>
      </c>
      <c r="B1162" s="158" t="s">
        <v>1488</v>
      </c>
      <c r="D1162" s="160" t="s">
        <v>258</v>
      </c>
      <c r="E1162" s="158" t="s">
        <v>2165</v>
      </c>
      <c r="G1162" s="158" t="s">
        <v>137</v>
      </c>
      <c r="J1162" s="164">
        <v>44931.492743055554</v>
      </c>
      <c r="K1162" s="17" t="s">
        <v>139</v>
      </c>
      <c r="L1162" s="17" t="s">
        <v>208</v>
      </c>
    </row>
    <row r="1163">
      <c r="A1163" s="17">
        <v>1.0</v>
      </c>
      <c r="B1163" s="158" t="s">
        <v>1491</v>
      </c>
      <c r="D1163" s="160" t="s">
        <v>263</v>
      </c>
      <c r="E1163" s="158" t="s">
        <v>2191</v>
      </c>
      <c r="G1163" s="158" t="s">
        <v>2499</v>
      </c>
      <c r="J1163" s="164">
        <v>44931.386087962965</v>
      </c>
      <c r="K1163" s="17" t="s">
        <v>139</v>
      </c>
      <c r="L1163" s="17" t="s">
        <v>208</v>
      </c>
    </row>
    <row r="1164">
      <c r="A1164" s="17">
        <v>1.0</v>
      </c>
      <c r="B1164" s="158" t="s">
        <v>1488</v>
      </c>
      <c r="D1164" s="158" t="s">
        <v>164</v>
      </c>
      <c r="E1164" s="158" t="s">
        <v>2146</v>
      </c>
      <c r="G1164" s="158" t="s">
        <v>2500</v>
      </c>
      <c r="J1164" s="164">
        <v>44931.29466435185</v>
      </c>
      <c r="K1164" s="17" t="s">
        <v>139</v>
      </c>
      <c r="L1164" s="17" t="s">
        <v>208</v>
      </c>
    </row>
    <row r="1165">
      <c r="A1165" s="17">
        <v>1.0</v>
      </c>
      <c r="B1165" s="158" t="s">
        <v>1491</v>
      </c>
      <c r="D1165" s="158" t="s">
        <v>193</v>
      </c>
      <c r="E1165" s="158" t="s">
        <v>2113</v>
      </c>
      <c r="G1165" s="158" t="s">
        <v>2501</v>
      </c>
      <c r="J1165" s="164">
        <v>44931.08881944444</v>
      </c>
      <c r="K1165" s="17" t="s">
        <v>139</v>
      </c>
      <c r="L1165" s="17" t="s">
        <v>208</v>
      </c>
    </row>
    <row r="1166">
      <c r="A1166" s="153">
        <v>42.0</v>
      </c>
      <c r="B1166" s="154" t="s">
        <v>6</v>
      </c>
      <c r="C1166" s="154" t="s">
        <v>2071</v>
      </c>
      <c r="D1166" s="154" t="s">
        <v>331</v>
      </c>
      <c r="E1166" s="154" t="s">
        <v>135</v>
      </c>
      <c r="F1166" s="154" t="s">
        <v>136</v>
      </c>
      <c r="G1166" s="154" t="s">
        <v>320</v>
      </c>
      <c r="H1166" s="155"/>
      <c r="I1166" s="154" t="s">
        <v>136</v>
      </c>
      <c r="J1166" s="157">
        <v>45614.46388888889</v>
      </c>
      <c r="K1166" s="154" t="s">
        <v>2502</v>
      </c>
      <c r="L1166" s="156" t="s">
        <v>63</v>
      </c>
    </row>
    <row r="1167">
      <c r="A1167" s="153">
        <v>20.0</v>
      </c>
      <c r="B1167" s="154" t="s">
        <v>7</v>
      </c>
      <c r="C1167" s="154" t="s">
        <v>913</v>
      </c>
      <c r="D1167" s="154" t="s">
        <v>153</v>
      </c>
      <c r="E1167" s="154" t="s">
        <v>136</v>
      </c>
      <c r="F1167" s="154" t="s">
        <v>135</v>
      </c>
      <c r="G1167" s="154" t="s">
        <v>594</v>
      </c>
      <c r="H1167" s="154" t="s">
        <v>2503</v>
      </c>
      <c r="I1167" s="154" t="s">
        <v>136</v>
      </c>
      <c r="J1167" s="154" t="s">
        <v>2504</v>
      </c>
      <c r="K1167" s="154" t="s">
        <v>2502</v>
      </c>
      <c r="L1167" s="156" t="s">
        <v>63</v>
      </c>
    </row>
    <row r="1168">
      <c r="A1168" s="153">
        <v>41.0</v>
      </c>
      <c r="B1168" s="154" t="s">
        <v>7</v>
      </c>
      <c r="C1168" s="154" t="s">
        <v>808</v>
      </c>
      <c r="D1168" s="154" t="s">
        <v>153</v>
      </c>
      <c r="E1168" s="154" t="s">
        <v>136</v>
      </c>
      <c r="F1168" s="154" t="s">
        <v>136</v>
      </c>
      <c r="G1168" s="154" t="s">
        <v>2505</v>
      </c>
      <c r="H1168" s="154" t="s">
        <v>2506</v>
      </c>
      <c r="I1168" s="154" t="s">
        <v>136</v>
      </c>
      <c r="J1168" s="157">
        <v>45608.458333333336</v>
      </c>
      <c r="K1168" s="154" t="s">
        <v>2507</v>
      </c>
      <c r="L1168" s="156" t="s">
        <v>63</v>
      </c>
    </row>
    <row r="1169">
      <c r="A1169" s="153">
        <v>29.0</v>
      </c>
      <c r="B1169" s="154" t="s">
        <v>6</v>
      </c>
      <c r="C1169" s="154" t="s">
        <v>2508</v>
      </c>
      <c r="D1169" s="154" t="s">
        <v>134</v>
      </c>
      <c r="E1169" s="154" t="s">
        <v>136</v>
      </c>
      <c r="F1169" s="154" t="s">
        <v>136</v>
      </c>
      <c r="G1169" s="154" t="s">
        <v>367</v>
      </c>
      <c r="H1169" s="155"/>
      <c r="I1169" s="154" t="s">
        <v>135</v>
      </c>
      <c r="J1169" s="154" t="s">
        <v>1972</v>
      </c>
      <c r="K1169" s="154" t="s">
        <v>2509</v>
      </c>
      <c r="L1169" s="156" t="s">
        <v>63</v>
      </c>
    </row>
    <row r="1170">
      <c r="A1170" s="153">
        <v>10.0</v>
      </c>
      <c r="B1170" s="154" t="s">
        <v>8</v>
      </c>
      <c r="C1170" s="154" t="s">
        <v>1995</v>
      </c>
      <c r="D1170" s="154" t="s">
        <v>164</v>
      </c>
      <c r="E1170" s="154" t="s">
        <v>135</v>
      </c>
      <c r="F1170" s="154" t="s">
        <v>136</v>
      </c>
      <c r="G1170" s="154" t="s">
        <v>157</v>
      </c>
      <c r="H1170" s="155"/>
      <c r="I1170" s="154" t="s">
        <v>135</v>
      </c>
      <c r="J1170" s="154" t="s">
        <v>2510</v>
      </c>
      <c r="K1170" s="154" t="s">
        <v>2502</v>
      </c>
      <c r="L1170" s="156" t="s">
        <v>63</v>
      </c>
    </row>
    <row r="1171">
      <c r="A1171" s="153">
        <v>56.0</v>
      </c>
      <c r="B1171" s="154" t="s">
        <v>6</v>
      </c>
      <c r="C1171" s="154" t="s">
        <v>235</v>
      </c>
      <c r="D1171" s="154" t="s">
        <v>164</v>
      </c>
      <c r="E1171" s="154" t="s">
        <v>136</v>
      </c>
      <c r="F1171" s="154" t="s">
        <v>136</v>
      </c>
      <c r="G1171" s="165" t="s">
        <v>150</v>
      </c>
      <c r="H1171" s="155"/>
      <c r="I1171" s="154" t="s">
        <v>135</v>
      </c>
      <c r="J1171" s="157">
        <v>45621.74236111111</v>
      </c>
      <c r="K1171" s="154" t="s">
        <v>2509</v>
      </c>
      <c r="L1171" s="156" t="s">
        <v>63</v>
      </c>
    </row>
    <row r="1172">
      <c r="A1172" s="153">
        <v>25.0</v>
      </c>
      <c r="B1172" s="154" t="s">
        <v>7</v>
      </c>
      <c r="C1172" s="154" t="s">
        <v>2511</v>
      </c>
      <c r="D1172" s="154" t="s">
        <v>164</v>
      </c>
      <c r="E1172" s="154" t="s">
        <v>136</v>
      </c>
      <c r="F1172" s="154" t="s">
        <v>136</v>
      </c>
      <c r="G1172" s="154" t="s">
        <v>401</v>
      </c>
      <c r="H1172" s="155"/>
      <c r="I1172" s="154" t="s">
        <v>136</v>
      </c>
      <c r="J1172" s="154" t="s">
        <v>2100</v>
      </c>
      <c r="K1172" s="154" t="s">
        <v>2509</v>
      </c>
      <c r="L1172" s="156" t="s">
        <v>63</v>
      </c>
    </row>
    <row r="1173">
      <c r="A1173" s="153">
        <v>38.0</v>
      </c>
      <c r="B1173" s="154" t="s">
        <v>6</v>
      </c>
      <c r="C1173" s="154" t="s">
        <v>1870</v>
      </c>
      <c r="D1173" s="154" t="s">
        <v>202</v>
      </c>
      <c r="E1173" s="154" t="s">
        <v>136</v>
      </c>
      <c r="F1173" s="154" t="s">
        <v>136</v>
      </c>
      <c r="G1173" s="154" t="s">
        <v>2512</v>
      </c>
      <c r="H1173" s="155"/>
      <c r="I1173" s="154" t="s">
        <v>136</v>
      </c>
      <c r="J1173" s="157">
        <v>45602.540972222225</v>
      </c>
      <c r="K1173" s="154" t="s">
        <v>2513</v>
      </c>
      <c r="L1173" s="156" t="s">
        <v>63</v>
      </c>
    </row>
    <row r="1174">
      <c r="A1174" s="153">
        <v>60.0</v>
      </c>
      <c r="B1174" s="154" t="s">
        <v>7</v>
      </c>
      <c r="C1174" s="154" t="s">
        <v>338</v>
      </c>
      <c r="D1174" s="154" t="s">
        <v>143</v>
      </c>
      <c r="E1174" s="154" t="s">
        <v>136</v>
      </c>
      <c r="F1174" s="154" t="s">
        <v>136</v>
      </c>
      <c r="G1174" s="154" t="s">
        <v>349</v>
      </c>
      <c r="H1174" s="155"/>
      <c r="I1174" s="154" t="s">
        <v>135</v>
      </c>
      <c r="J1174" s="157">
        <v>45622.45625</v>
      </c>
      <c r="K1174" s="154" t="s">
        <v>2509</v>
      </c>
      <c r="L1174" s="156" t="s">
        <v>63</v>
      </c>
    </row>
    <row r="1175">
      <c r="A1175" s="153">
        <v>27.0</v>
      </c>
      <c r="B1175" s="154" t="s">
        <v>7</v>
      </c>
      <c r="C1175" s="154" t="s">
        <v>184</v>
      </c>
      <c r="D1175" s="154" t="s">
        <v>143</v>
      </c>
      <c r="E1175" s="154" t="s">
        <v>136</v>
      </c>
      <c r="F1175" s="154" t="s">
        <v>135</v>
      </c>
      <c r="G1175" s="154" t="s">
        <v>185</v>
      </c>
      <c r="H1175" s="154" t="s">
        <v>2514</v>
      </c>
      <c r="I1175" s="154" t="s">
        <v>135</v>
      </c>
      <c r="J1175" s="154" t="s">
        <v>2515</v>
      </c>
      <c r="K1175" s="154" t="s">
        <v>2502</v>
      </c>
      <c r="L1175" s="156" t="s">
        <v>63</v>
      </c>
    </row>
    <row r="1176">
      <c r="A1176" s="153">
        <v>57.0</v>
      </c>
      <c r="B1176" s="154" t="s">
        <v>6</v>
      </c>
      <c r="C1176" s="154" t="s">
        <v>1134</v>
      </c>
      <c r="D1176" s="154" t="s">
        <v>233</v>
      </c>
      <c r="E1176" s="154" t="s">
        <v>136</v>
      </c>
      <c r="F1176" s="154" t="s">
        <v>136</v>
      </c>
      <c r="G1176" s="154" t="s">
        <v>174</v>
      </c>
      <c r="H1176" s="154" t="s">
        <v>1180</v>
      </c>
      <c r="I1176" s="154" t="s">
        <v>135</v>
      </c>
      <c r="J1176" s="157">
        <v>45622.40833333333</v>
      </c>
      <c r="K1176" s="154" t="s">
        <v>2502</v>
      </c>
      <c r="L1176" s="156" t="s">
        <v>63</v>
      </c>
    </row>
    <row r="1177">
      <c r="A1177" s="153">
        <v>1.0</v>
      </c>
      <c r="B1177" s="154" t="s">
        <v>7</v>
      </c>
      <c r="C1177" s="154" t="s">
        <v>195</v>
      </c>
      <c r="D1177" s="154" t="s">
        <v>164</v>
      </c>
      <c r="E1177" s="154" t="s">
        <v>136</v>
      </c>
      <c r="F1177" s="154" t="s">
        <v>136</v>
      </c>
      <c r="G1177" s="154" t="s">
        <v>297</v>
      </c>
      <c r="H1177" s="154" t="s">
        <v>1141</v>
      </c>
      <c r="I1177" s="154" t="s">
        <v>135</v>
      </c>
      <c r="J1177" s="154" t="s">
        <v>2516</v>
      </c>
      <c r="K1177" s="154" t="s">
        <v>2513</v>
      </c>
      <c r="L1177" s="156" t="s">
        <v>63</v>
      </c>
    </row>
    <row r="1178">
      <c r="A1178" s="153">
        <v>47.0</v>
      </c>
      <c r="B1178" s="154" t="s">
        <v>6</v>
      </c>
      <c r="C1178" s="154" t="s">
        <v>2517</v>
      </c>
      <c r="D1178" s="154" t="s">
        <v>233</v>
      </c>
      <c r="E1178" s="154" t="s">
        <v>136</v>
      </c>
      <c r="F1178" s="154" t="s">
        <v>136</v>
      </c>
      <c r="G1178" s="154" t="s">
        <v>174</v>
      </c>
      <c r="H1178" s="155"/>
      <c r="I1178" s="154" t="s">
        <v>135</v>
      </c>
      <c r="J1178" s="157">
        <v>45620.87708333333</v>
      </c>
      <c r="K1178" s="154" t="s">
        <v>2513</v>
      </c>
      <c r="L1178" s="156" t="s">
        <v>63</v>
      </c>
    </row>
    <row r="1179">
      <c r="A1179" s="153">
        <v>44.0</v>
      </c>
      <c r="B1179" s="154" t="s">
        <v>6</v>
      </c>
      <c r="C1179" s="154" t="s">
        <v>280</v>
      </c>
      <c r="D1179" s="154" t="s">
        <v>202</v>
      </c>
      <c r="E1179" s="154" t="s">
        <v>136</v>
      </c>
      <c r="F1179" s="154" t="s">
        <v>136</v>
      </c>
      <c r="G1179" s="154" t="s">
        <v>1042</v>
      </c>
      <c r="H1179" s="155"/>
      <c r="I1179" s="154" t="s">
        <v>136</v>
      </c>
      <c r="J1179" s="157">
        <v>45615.81041666667</v>
      </c>
      <c r="K1179" s="154" t="s">
        <v>2513</v>
      </c>
      <c r="L1179" s="156" t="s">
        <v>63</v>
      </c>
    </row>
    <row r="1180">
      <c r="A1180" s="153">
        <v>33.0</v>
      </c>
      <c r="B1180" s="154" t="s">
        <v>6</v>
      </c>
      <c r="C1180" s="154" t="s">
        <v>362</v>
      </c>
      <c r="D1180" s="154" t="s">
        <v>202</v>
      </c>
      <c r="E1180" s="154" t="s">
        <v>136</v>
      </c>
      <c r="F1180" s="154" t="s">
        <v>136</v>
      </c>
      <c r="G1180" s="154" t="s">
        <v>363</v>
      </c>
      <c r="H1180" s="154" t="s">
        <v>2518</v>
      </c>
      <c r="I1180" s="154" t="s">
        <v>135</v>
      </c>
      <c r="J1180" s="154" t="s">
        <v>2519</v>
      </c>
      <c r="K1180" s="154" t="s">
        <v>2509</v>
      </c>
      <c r="L1180" s="156" t="s">
        <v>63</v>
      </c>
    </row>
    <row r="1181">
      <c r="A1181" s="153">
        <v>55.0</v>
      </c>
      <c r="B1181" s="154" t="s">
        <v>7</v>
      </c>
      <c r="C1181" s="154" t="s">
        <v>2520</v>
      </c>
      <c r="D1181" s="154" t="s">
        <v>202</v>
      </c>
      <c r="E1181" s="154" t="s">
        <v>135</v>
      </c>
      <c r="F1181" s="154" t="s">
        <v>136</v>
      </c>
      <c r="G1181" s="154" t="s">
        <v>385</v>
      </c>
      <c r="H1181" s="155"/>
      <c r="I1181" s="154" t="s">
        <v>135</v>
      </c>
      <c r="J1181" s="157">
        <v>45621.71944444445</v>
      </c>
      <c r="K1181" s="154" t="s">
        <v>2507</v>
      </c>
      <c r="L1181" s="156" t="s">
        <v>63</v>
      </c>
    </row>
    <row r="1182">
      <c r="A1182" s="153">
        <v>12.0</v>
      </c>
      <c r="B1182" s="154" t="s">
        <v>6</v>
      </c>
      <c r="C1182" s="154" t="s">
        <v>1896</v>
      </c>
      <c r="D1182" s="154" t="s">
        <v>177</v>
      </c>
      <c r="E1182" s="154" t="s">
        <v>135</v>
      </c>
      <c r="F1182" s="154" t="s">
        <v>135</v>
      </c>
      <c r="G1182" s="154" t="s">
        <v>1959</v>
      </c>
      <c r="H1182" s="155"/>
      <c r="I1182" s="154" t="s">
        <v>136</v>
      </c>
      <c r="J1182" s="154" t="s">
        <v>2521</v>
      </c>
      <c r="K1182" s="154" t="s">
        <v>2502</v>
      </c>
      <c r="L1182" s="156" t="s">
        <v>63</v>
      </c>
    </row>
    <row r="1183">
      <c r="A1183" s="153">
        <v>9.0</v>
      </c>
      <c r="B1183" s="154" t="s">
        <v>6</v>
      </c>
      <c r="C1183" s="154" t="s">
        <v>338</v>
      </c>
      <c r="D1183" s="154" t="s">
        <v>143</v>
      </c>
      <c r="E1183" s="154" t="s">
        <v>136</v>
      </c>
      <c r="F1183" s="154" t="s">
        <v>136</v>
      </c>
      <c r="G1183" s="154" t="s">
        <v>460</v>
      </c>
      <c r="H1183" s="155"/>
      <c r="I1183" s="154" t="s">
        <v>135</v>
      </c>
      <c r="J1183" s="154" t="s">
        <v>2522</v>
      </c>
      <c r="K1183" s="154" t="s">
        <v>2509</v>
      </c>
      <c r="L1183" s="156" t="s">
        <v>63</v>
      </c>
    </row>
    <row r="1184">
      <c r="A1184" s="153">
        <v>48.0</v>
      </c>
      <c r="B1184" s="154" t="s">
        <v>6</v>
      </c>
      <c r="C1184" s="154" t="s">
        <v>240</v>
      </c>
      <c r="D1184" s="154" t="s">
        <v>197</v>
      </c>
      <c r="E1184" s="154" t="s">
        <v>136</v>
      </c>
      <c r="F1184" s="154" t="s">
        <v>136</v>
      </c>
      <c r="G1184" s="154" t="s">
        <v>241</v>
      </c>
      <c r="H1184" s="155"/>
      <c r="I1184" s="154" t="s">
        <v>135</v>
      </c>
      <c r="J1184" s="157">
        <v>45621.395833333336</v>
      </c>
      <c r="K1184" s="154" t="s">
        <v>2502</v>
      </c>
      <c r="L1184" s="156" t="s">
        <v>63</v>
      </c>
    </row>
    <row r="1185">
      <c r="A1185" s="153">
        <v>46.0</v>
      </c>
      <c r="B1185" s="154" t="s">
        <v>6</v>
      </c>
      <c r="C1185" s="154" t="s">
        <v>2517</v>
      </c>
      <c r="D1185" s="154" t="s">
        <v>233</v>
      </c>
      <c r="E1185" s="154" t="s">
        <v>136</v>
      </c>
      <c r="F1185" s="154" t="s">
        <v>136</v>
      </c>
      <c r="G1185" s="154" t="s">
        <v>185</v>
      </c>
      <c r="H1185" s="154" t="s">
        <v>411</v>
      </c>
      <c r="I1185" s="154" t="s">
        <v>135</v>
      </c>
      <c r="J1185" s="157">
        <v>45620.85138888889</v>
      </c>
      <c r="K1185" s="154" t="s">
        <v>2513</v>
      </c>
      <c r="L1185" s="156" t="s">
        <v>63</v>
      </c>
    </row>
    <row r="1186">
      <c r="A1186" s="153">
        <v>30.0</v>
      </c>
      <c r="B1186" s="154" t="s">
        <v>7</v>
      </c>
      <c r="C1186" s="154" t="s">
        <v>250</v>
      </c>
      <c r="D1186" s="154" t="s">
        <v>209</v>
      </c>
      <c r="E1186" s="154" t="s">
        <v>136</v>
      </c>
      <c r="F1186" s="154" t="s">
        <v>136</v>
      </c>
      <c r="G1186" s="154" t="s">
        <v>1872</v>
      </c>
      <c r="H1186" s="154" t="s">
        <v>2523</v>
      </c>
      <c r="I1186" s="154" t="s">
        <v>135</v>
      </c>
      <c r="J1186" s="154" t="s">
        <v>2524</v>
      </c>
      <c r="K1186" s="154" t="s">
        <v>2509</v>
      </c>
      <c r="L1186" s="156" t="s">
        <v>63</v>
      </c>
    </row>
    <row r="1187">
      <c r="A1187" s="153">
        <v>21.0</v>
      </c>
      <c r="B1187" s="154" t="s">
        <v>6</v>
      </c>
      <c r="C1187" s="154" t="s">
        <v>342</v>
      </c>
      <c r="D1187" s="154" t="s">
        <v>218</v>
      </c>
      <c r="E1187" s="154" t="s">
        <v>136</v>
      </c>
      <c r="F1187" s="154" t="s">
        <v>136</v>
      </c>
      <c r="G1187" s="154" t="s">
        <v>650</v>
      </c>
      <c r="H1187" s="155"/>
      <c r="I1187" s="154" t="s">
        <v>135</v>
      </c>
      <c r="J1187" s="154" t="s">
        <v>2525</v>
      </c>
      <c r="K1187" s="154" t="s">
        <v>2509</v>
      </c>
      <c r="L1187" s="156" t="s">
        <v>63</v>
      </c>
    </row>
    <row r="1188">
      <c r="A1188" s="153">
        <v>32.0</v>
      </c>
      <c r="B1188" s="154" t="s">
        <v>7</v>
      </c>
      <c r="C1188" s="154" t="s">
        <v>338</v>
      </c>
      <c r="D1188" s="154" t="s">
        <v>143</v>
      </c>
      <c r="E1188" s="154" t="s">
        <v>136</v>
      </c>
      <c r="F1188" s="154" t="s">
        <v>136</v>
      </c>
      <c r="G1188" s="154" t="s">
        <v>185</v>
      </c>
      <c r="H1188" s="154" t="s">
        <v>2526</v>
      </c>
      <c r="I1188" s="154" t="s">
        <v>135</v>
      </c>
      <c r="J1188" s="154" t="s">
        <v>2527</v>
      </c>
      <c r="K1188" s="154" t="s">
        <v>2509</v>
      </c>
      <c r="L1188" s="156" t="s">
        <v>63</v>
      </c>
    </row>
    <row r="1189">
      <c r="A1189" s="153">
        <v>24.0</v>
      </c>
      <c r="B1189" s="154" t="s">
        <v>7</v>
      </c>
      <c r="C1189" s="154" t="s">
        <v>1367</v>
      </c>
      <c r="D1189" s="154" t="s">
        <v>209</v>
      </c>
      <c r="E1189" s="154" t="s">
        <v>136</v>
      </c>
      <c r="F1189" s="154" t="s">
        <v>136</v>
      </c>
      <c r="G1189" s="154" t="s">
        <v>185</v>
      </c>
      <c r="H1189" s="155"/>
      <c r="I1189" s="154" t="s">
        <v>135</v>
      </c>
      <c r="J1189" s="154" t="s">
        <v>2528</v>
      </c>
      <c r="K1189" s="154" t="s">
        <v>2509</v>
      </c>
      <c r="L1189" s="156" t="s">
        <v>63</v>
      </c>
    </row>
    <row r="1190">
      <c r="A1190" s="153">
        <v>49.0</v>
      </c>
      <c r="B1190" s="154" t="s">
        <v>6</v>
      </c>
      <c r="C1190" s="154" t="s">
        <v>315</v>
      </c>
      <c r="D1190" s="154" t="s">
        <v>164</v>
      </c>
      <c r="E1190" s="154" t="s">
        <v>135</v>
      </c>
      <c r="F1190" s="154" t="s">
        <v>136</v>
      </c>
      <c r="G1190" s="154" t="s">
        <v>221</v>
      </c>
      <c r="H1190" s="155"/>
      <c r="I1190" s="154" t="s">
        <v>135</v>
      </c>
      <c r="J1190" s="157">
        <v>45621.57986111111</v>
      </c>
      <c r="K1190" s="154" t="s">
        <v>2509</v>
      </c>
      <c r="L1190" s="156" t="s">
        <v>63</v>
      </c>
    </row>
    <row r="1191">
      <c r="A1191" s="153">
        <v>19.0</v>
      </c>
      <c r="B1191" s="154" t="s">
        <v>6</v>
      </c>
      <c r="C1191" s="154" t="s">
        <v>2529</v>
      </c>
      <c r="D1191" s="154" t="s">
        <v>228</v>
      </c>
      <c r="E1191" s="154" t="s">
        <v>135</v>
      </c>
      <c r="F1191" s="154" t="s">
        <v>136</v>
      </c>
      <c r="G1191" s="154" t="s">
        <v>144</v>
      </c>
      <c r="H1191" s="155"/>
      <c r="I1191" s="154" t="s">
        <v>136</v>
      </c>
      <c r="J1191" s="154" t="s">
        <v>2530</v>
      </c>
      <c r="K1191" s="154" t="s">
        <v>2513</v>
      </c>
      <c r="L1191" s="156" t="s">
        <v>63</v>
      </c>
    </row>
    <row r="1192">
      <c r="A1192" s="153">
        <v>59.0</v>
      </c>
      <c r="B1192" s="154" t="s">
        <v>6</v>
      </c>
      <c r="C1192" s="154" t="s">
        <v>149</v>
      </c>
      <c r="D1192" s="154" t="s">
        <v>134</v>
      </c>
      <c r="E1192" s="154" t="s">
        <v>136</v>
      </c>
      <c r="F1192" s="154" t="s">
        <v>136</v>
      </c>
      <c r="G1192" s="154" t="s">
        <v>969</v>
      </c>
      <c r="H1192" s="155"/>
      <c r="I1192" s="154" t="s">
        <v>135</v>
      </c>
      <c r="J1192" s="157">
        <v>45622.419444444444</v>
      </c>
      <c r="K1192" s="154" t="s">
        <v>2509</v>
      </c>
      <c r="L1192" s="156" t="s">
        <v>63</v>
      </c>
    </row>
    <row r="1193">
      <c r="A1193" s="153">
        <v>51.0</v>
      </c>
      <c r="B1193" s="154" t="s">
        <v>6</v>
      </c>
      <c r="C1193" s="154" t="s">
        <v>2531</v>
      </c>
      <c r="D1193" s="154" t="s">
        <v>134</v>
      </c>
      <c r="E1193" s="154" t="s">
        <v>136</v>
      </c>
      <c r="F1193" s="154" t="s">
        <v>136</v>
      </c>
      <c r="G1193" s="154" t="s">
        <v>385</v>
      </c>
      <c r="H1193" s="155"/>
      <c r="I1193" s="154" t="s">
        <v>135</v>
      </c>
      <c r="J1193" s="157">
        <v>45621.618055555555</v>
      </c>
      <c r="K1193" s="154" t="s">
        <v>2513</v>
      </c>
      <c r="L1193" s="156" t="s">
        <v>63</v>
      </c>
    </row>
    <row r="1194">
      <c r="A1194" s="153">
        <v>34.0</v>
      </c>
      <c r="B1194" s="154" t="s">
        <v>6</v>
      </c>
      <c r="C1194" s="154" t="s">
        <v>2532</v>
      </c>
      <c r="D1194" s="154" t="s">
        <v>164</v>
      </c>
      <c r="E1194" s="154" t="s">
        <v>135</v>
      </c>
      <c r="F1194" s="154" t="s">
        <v>136</v>
      </c>
      <c r="G1194" s="154" t="s">
        <v>310</v>
      </c>
      <c r="H1194" s="155"/>
      <c r="I1194" s="154" t="s">
        <v>136</v>
      </c>
      <c r="J1194" s="157">
        <v>45597.71666666667</v>
      </c>
      <c r="K1194" s="154" t="s">
        <v>2509</v>
      </c>
      <c r="L1194" s="156" t="s">
        <v>63</v>
      </c>
    </row>
    <row r="1195">
      <c r="A1195" s="153">
        <v>2.0</v>
      </c>
      <c r="B1195" s="154" t="s">
        <v>6</v>
      </c>
      <c r="C1195" s="154" t="s">
        <v>1931</v>
      </c>
      <c r="D1195" s="154" t="s">
        <v>352</v>
      </c>
      <c r="E1195" s="154" t="s">
        <v>135</v>
      </c>
      <c r="F1195" s="154" t="s">
        <v>136</v>
      </c>
      <c r="G1195" s="154" t="s">
        <v>460</v>
      </c>
      <c r="H1195" s="155"/>
      <c r="I1195" s="154" t="s">
        <v>135</v>
      </c>
      <c r="J1195" s="154" t="s">
        <v>2533</v>
      </c>
      <c r="K1195" s="154" t="s">
        <v>2502</v>
      </c>
      <c r="L1195" s="156" t="s">
        <v>63</v>
      </c>
    </row>
    <row r="1196">
      <c r="A1196" s="153">
        <v>23.0</v>
      </c>
      <c r="B1196" s="154" t="s">
        <v>7</v>
      </c>
      <c r="C1196" s="154" t="s">
        <v>184</v>
      </c>
      <c r="D1196" s="154" t="s">
        <v>143</v>
      </c>
      <c r="E1196" s="154" t="s">
        <v>136</v>
      </c>
      <c r="F1196" s="154" t="s">
        <v>136</v>
      </c>
      <c r="G1196" s="154" t="s">
        <v>174</v>
      </c>
      <c r="H1196" s="155"/>
      <c r="I1196" s="154" t="s">
        <v>135</v>
      </c>
      <c r="J1196" s="154" t="s">
        <v>2534</v>
      </c>
      <c r="K1196" s="154" t="s">
        <v>2509</v>
      </c>
      <c r="L1196" s="156" t="s">
        <v>63</v>
      </c>
    </row>
    <row r="1197">
      <c r="A1197" s="153">
        <v>45.0</v>
      </c>
      <c r="B1197" s="154" t="s">
        <v>7</v>
      </c>
      <c r="C1197" s="154" t="s">
        <v>1116</v>
      </c>
      <c r="D1197" s="154" t="s">
        <v>197</v>
      </c>
      <c r="E1197" s="154" t="s">
        <v>136</v>
      </c>
      <c r="F1197" s="154" t="s">
        <v>136</v>
      </c>
      <c r="G1197" s="154" t="s">
        <v>401</v>
      </c>
      <c r="H1197" s="155"/>
      <c r="I1197" s="154" t="s">
        <v>135</v>
      </c>
      <c r="J1197" s="157">
        <v>45620.78958333333</v>
      </c>
      <c r="K1197" s="154" t="s">
        <v>185</v>
      </c>
      <c r="L1197" s="156" t="s">
        <v>63</v>
      </c>
    </row>
    <row r="1198">
      <c r="A1198" s="153">
        <v>54.0</v>
      </c>
      <c r="B1198" s="154" t="s">
        <v>7</v>
      </c>
      <c r="C1198" s="154" t="s">
        <v>338</v>
      </c>
      <c r="D1198" s="154" t="s">
        <v>143</v>
      </c>
      <c r="E1198" s="154" t="s">
        <v>136</v>
      </c>
      <c r="F1198" s="154" t="s">
        <v>136</v>
      </c>
      <c r="G1198" s="154" t="s">
        <v>1823</v>
      </c>
      <c r="H1198" s="155"/>
      <c r="I1198" s="154" t="s">
        <v>135</v>
      </c>
      <c r="J1198" s="157">
        <v>45621.64375</v>
      </c>
      <c r="K1198" s="154" t="s">
        <v>2509</v>
      </c>
      <c r="L1198" s="156" t="s">
        <v>63</v>
      </c>
    </row>
    <row r="1199">
      <c r="A1199" s="153">
        <v>15.0</v>
      </c>
      <c r="B1199" s="154" t="s">
        <v>6</v>
      </c>
      <c r="C1199" s="154" t="s">
        <v>142</v>
      </c>
      <c r="D1199" s="154" t="s">
        <v>143</v>
      </c>
      <c r="E1199" s="154" t="s">
        <v>136</v>
      </c>
      <c r="F1199" s="154" t="s">
        <v>136</v>
      </c>
      <c r="G1199" s="154" t="s">
        <v>144</v>
      </c>
      <c r="H1199" s="155"/>
      <c r="I1199" s="154" t="s">
        <v>135</v>
      </c>
      <c r="J1199" s="154" t="s">
        <v>2535</v>
      </c>
      <c r="K1199" s="154" t="s">
        <v>2509</v>
      </c>
      <c r="L1199" s="156" t="s">
        <v>63</v>
      </c>
    </row>
    <row r="1200">
      <c r="A1200" s="153">
        <v>11.0</v>
      </c>
      <c r="B1200" s="154" t="s">
        <v>7</v>
      </c>
      <c r="C1200" s="154" t="s">
        <v>1195</v>
      </c>
      <c r="D1200" s="154" t="s">
        <v>233</v>
      </c>
      <c r="E1200" s="154" t="s">
        <v>136</v>
      </c>
      <c r="F1200" s="154" t="s">
        <v>136</v>
      </c>
      <c r="G1200" s="154" t="s">
        <v>363</v>
      </c>
      <c r="H1200" s="155"/>
      <c r="I1200" s="154" t="s">
        <v>135</v>
      </c>
      <c r="J1200" s="154" t="s">
        <v>2536</v>
      </c>
      <c r="K1200" s="154" t="s">
        <v>2507</v>
      </c>
      <c r="L1200" s="156" t="s">
        <v>63</v>
      </c>
    </row>
    <row r="1201">
      <c r="A1201" s="153">
        <v>37.0</v>
      </c>
      <c r="B1201" s="154" t="s">
        <v>6</v>
      </c>
      <c r="C1201" s="154" t="s">
        <v>2537</v>
      </c>
      <c r="D1201" s="154" t="s">
        <v>134</v>
      </c>
      <c r="E1201" s="154" t="s">
        <v>136</v>
      </c>
      <c r="F1201" s="154" t="s">
        <v>136</v>
      </c>
      <c r="G1201" s="154" t="s">
        <v>185</v>
      </c>
      <c r="H1201" s="154" t="s">
        <v>2538</v>
      </c>
      <c r="I1201" s="154" t="s">
        <v>136</v>
      </c>
      <c r="J1201" s="157">
        <v>45601.805555555555</v>
      </c>
      <c r="K1201" s="154" t="s">
        <v>2509</v>
      </c>
      <c r="L1201" s="156" t="s">
        <v>63</v>
      </c>
    </row>
    <row r="1202">
      <c r="A1202" s="153">
        <v>7.0</v>
      </c>
      <c r="B1202" s="154" t="s">
        <v>7</v>
      </c>
      <c r="C1202" s="154" t="s">
        <v>371</v>
      </c>
      <c r="D1202" s="154" t="s">
        <v>197</v>
      </c>
      <c r="E1202" s="154" t="s">
        <v>136</v>
      </c>
      <c r="F1202" s="154" t="s">
        <v>136</v>
      </c>
      <c r="G1202" s="154" t="s">
        <v>185</v>
      </c>
      <c r="H1202" s="155"/>
      <c r="I1202" s="154" t="s">
        <v>135</v>
      </c>
      <c r="J1202" s="154" t="s">
        <v>2539</v>
      </c>
      <c r="K1202" s="154" t="s">
        <v>185</v>
      </c>
      <c r="L1202" s="156" t="s">
        <v>63</v>
      </c>
    </row>
    <row r="1203">
      <c r="A1203" s="153">
        <v>16.0</v>
      </c>
      <c r="B1203" s="154" t="s">
        <v>7</v>
      </c>
      <c r="C1203" s="154" t="s">
        <v>167</v>
      </c>
      <c r="D1203" s="154" t="s">
        <v>143</v>
      </c>
      <c r="E1203" s="154" t="s">
        <v>136</v>
      </c>
      <c r="F1203" s="154" t="s">
        <v>136</v>
      </c>
      <c r="G1203" s="154" t="s">
        <v>1393</v>
      </c>
      <c r="H1203" s="155"/>
      <c r="I1203" s="154" t="s">
        <v>135</v>
      </c>
      <c r="J1203" s="154" t="s">
        <v>2540</v>
      </c>
      <c r="K1203" s="154" t="s">
        <v>2509</v>
      </c>
      <c r="L1203" s="156" t="s">
        <v>63</v>
      </c>
    </row>
    <row r="1204">
      <c r="A1204" s="153">
        <v>28.0</v>
      </c>
      <c r="B1204" s="154" t="s">
        <v>7</v>
      </c>
      <c r="C1204" s="154" t="s">
        <v>469</v>
      </c>
      <c r="D1204" s="154" t="s">
        <v>202</v>
      </c>
      <c r="E1204" s="154" t="s">
        <v>136</v>
      </c>
      <c r="F1204" s="154" t="s">
        <v>136</v>
      </c>
      <c r="G1204" s="154" t="s">
        <v>395</v>
      </c>
      <c r="H1204" s="155"/>
      <c r="I1204" s="154" t="s">
        <v>135</v>
      </c>
      <c r="J1204" s="154" t="s">
        <v>2541</v>
      </c>
      <c r="K1204" s="154" t="s">
        <v>2509</v>
      </c>
      <c r="L1204" s="156" t="s">
        <v>63</v>
      </c>
    </row>
    <row r="1205">
      <c r="A1205" s="153">
        <v>39.0</v>
      </c>
      <c r="B1205" s="154" t="s">
        <v>6</v>
      </c>
      <c r="C1205" s="154" t="s">
        <v>1087</v>
      </c>
      <c r="D1205" s="154" t="s">
        <v>202</v>
      </c>
      <c r="E1205" s="154" t="s">
        <v>136</v>
      </c>
      <c r="F1205" s="154" t="s">
        <v>136</v>
      </c>
      <c r="G1205" s="165" t="s">
        <v>2542</v>
      </c>
      <c r="H1205" s="155"/>
      <c r="I1205" s="154" t="s">
        <v>136</v>
      </c>
      <c r="J1205" s="157">
        <v>45602.54652777778</v>
      </c>
      <c r="K1205" s="154" t="s">
        <v>185</v>
      </c>
      <c r="L1205" s="156" t="s">
        <v>63</v>
      </c>
    </row>
    <row r="1206">
      <c r="A1206" s="153">
        <v>17.0</v>
      </c>
      <c r="B1206" s="154" t="s">
        <v>7</v>
      </c>
      <c r="C1206" s="154" t="s">
        <v>334</v>
      </c>
      <c r="D1206" s="154" t="s">
        <v>228</v>
      </c>
      <c r="E1206" s="154" t="s">
        <v>136</v>
      </c>
      <c r="F1206" s="154" t="s">
        <v>136</v>
      </c>
      <c r="G1206" s="154" t="s">
        <v>292</v>
      </c>
      <c r="H1206" s="155"/>
      <c r="I1206" s="154" t="s">
        <v>135</v>
      </c>
      <c r="J1206" s="154" t="s">
        <v>2543</v>
      </c>
      <c r="K1206" s="154" t="s">
        <v>2513</v>
      </c>
      <c r="L1206" s="156" t="s">
        <v>63</v>
      </c>
    </row>
    <row r="1207">
      <c r="A1207" s="153">
        <v>40.0</v>
      </c>
      <c r="B1207" s="154" t="s">
        <v>6</v>
      </c>
      <c r="C1207" s="154" t="s">
        <v>2544</v>
      </c>
      <c r="D1207" s="154" t="s">
        <v>347</v>
      </c>
      <c r="E1207" s="154" t="s">
        <v>135</v>
      </c>
      <c r="F1207" s="154" t="s">
        <v>136</v>
      </c>
      <c r="G1207" s="154" t="s">
        <v>150</v>
      </c>
      <c r="H1207" s="155"/>
      <c r="I1207" s="154" t="s">
        <v>136</v>
      </c>
      <c r="J1207" s="157">
        <v>45605.816666666666</v>
      </c>
      <c r="K1207" s="154" t="s">
        <v>2513</v>
      </c>
      <c r="L1207" s="156" t="s">
        <v>63</v>
      </c>
    </row>
    <row r="1208">
      <c r="A1208" s="153">
        <v>3.0</v>
      </c>
      <c r="B1208" s="154" t="s">
        <v>6</v>
      </c>
      <c r="C1208" s="154" t="s">
        <v>1116</v>
      </c>
      <c r="D1208" s="154" t="s">
        <v>197</v>
      </c>
      <c r="E1208" s="154" t="s">
        <v>136</v>
      </c>
      <c r="F1208" s="154" t="s">
        <v>136</v>
      </c>
      <c r="G1208" s="154" t="s">
        <v>2545</v>
      </c>
      <c r="H1208" s="154" t="s">
        <v>2546</v>
      </c>
      <c r="I1208" s="154" t="s">
        <v>135</v>
      </c>
      <c r="J1208" s="154" t="s">
        <v>2547</v>
      </c>
      <c r="K1208" s="154" t="s">
        <v>2513</v>
      </c>
      <c r="L1208" s="156" t="s">
        <v>63</v>
      </c>
    </row>
    <row r="1209">
      <c r="A1209" s="153">
        <v>36.0</v>
      </c>
      <c r="B1209" s="154" t="s">
        <v>7</v>
      </c>
      <c r="C1209" s="154" t="s">
        <v>2548</v>
      </c>
      <c r="D1209" s="154" t="s">
        <v>177</v>
      </c>
      <c r="E1209" s="154" t="s">
        <v>135</v>
      </c>
      <c r="F1209" s="154" t="s">
        <v>136</v>
      </c>
      <c r="G1209" s="154" t="s">
        <v>596</v>
      </c>
      <c r="H1209" s="155"/>
      <c r="I1209" s="154" t="s">
        <v>136</v>
      </c>
      <c r="J1209" s="157">
        <v>45600.625</v>
      </c>
      <c r="K1209" s="154" t="s">
        <v>2507</v>
      </c>
      <c r="L1209" s="156" t="s">
        <v>63</v>
      </c>
    </row>
    <row r="1210">
      <c r="A1210" s="153">
        <v>4.0</v>
      </c>
      <c r="B1210" s="154" t="s">
        <v>7</v>
      </c>
      <c r="C1210" s="154" t="s">
        <v>1243</v>
      </c>
      <c r="D1210" s="154" t="s">
        <v>187</v>
      </c>
      <c r="E1210" s="154" t="s">
        <v>136</v>
      </c>
      <c r="F1210" s="154" t="s">
        <v>136</v>
      </c>
      <c r="G1210" s="154" t="s">
        <v>231</v>
      </c>
      <c r="H1210" s="155"/>
      <c r="I1210" s="154" t="s">
        <v>135</v>
      </c>
      <c r="J1210" s="154" t="s">
        <v>2547</v>
      </c>
      <c r="K1210" s="154" t="s">
        <v>2509</v>
      </c>
      <c r="L1210" s="156" t="s">
        <v>63</v>
      </c>
    </row>
    <row r="1211">
      <c r="A1211" s="153">
        <v>13.0</v>
      </c>
      <c r="B1211" s="154" t="s">
        <v>7</v>
      </c>
      <c r="C1211" s="154" t="s">
        <v>1253</v>
      </c>
      <c r="D1211" s="154" t="s">
        <v>233</v>
      </c>
      <c r="E1211" s="154" t="s">
        <v>136</v>
      </c>
      <c r="F1211" s="154" t="s">
        <v>136</v>
      </c>
      <c r="G1211" s="154" t="s">
        <v>185</v>
      </c>
      <c r="H1211" s="154" t="s">
        <v>2549</v>
      </c>
      <c r="I1211" s="154" t="s">
        <v>135</v>
      </c>
      <c r="J1211" s="154" t="s">
        <v>2550</v>
      </c>
      <c r="K1211" s="154" t="s">
        <v>2513</v>
      </c>
      <c r="L1211" s="156" t="s">
        <v>63</v>
      </c>
    </row>
    <row r="1212">
      <c r="A1212" s="153">
        <v>31.0</v>
      </c>
      <c r="B1212" s="154" t="s">
        <v>7</v>
      </c>
      <c r="C1212" s="154" t="s">
        <v>1367</v>
      </c>
      <c r="D1212" s="154" t="s">
        <v>209</v>
      </c>
      <c r="E1212" s="154" t="s">
        <v>136</v>
      </c>
      <c r="F1212" s="154" t="s">
        <v>136</v>
      </c>
      <c r="G1212" s="154" t="s">
        <v>137</v>
      </c>
      <c r="H1212" s="155"/>
      <c r="I1212" s="154" t="s">
        <v>135</v>
      </c>
      <c r="J1212" s="154" t="s">
        <v>2551</v>
      </c>
      <c r="K1212" s="154" t="s">
        <v>2513</v>
      </c>
      <c r="L1212" s="156" t="s">
        <v>63</v>
      </c>
    </row>
    <row r="1213">
      <c r="A1213" s="153">
        <v>22.0</v>
      </c>
      <c r="B1213" s="154" t="s">
        <v>6</v>
      </c>
      <c r="C1213" s="154" t="s">
        <v>1975</v>
      </c>
      <c r="D1213" s="154" t="s">
        <v>243</v>
      </c>
      <c r="E1213" s="154" t="s">
        <v>136</v>
      </c>
      <c r="F1213" s="154" t="s">
        <v>135</v>
      </c>
      <c r="G1213" s="154" t="s">
        <v>1976</v>
      </c>
      <c r="H1213" s="155"/>
      <c r="I1213" s="154" t="s">
        <v>135</v>
      </c>
      <c r="J1213" s="154" t="s">
        <v>2552</v>
      </c>
      <c r="K1213" s="154" t="s">
        <v>2509</v>
      </c>
      <c r="L1213" s="156" t="s">
        <v>63</v>
      </c>
    </row>
    <row r="1214">
      <c r="A1214" s="153">
        <v>53.0</v>
      </c>
      <c r="B1214" s="154" t="s">
        <v>7</v>
      </c>
      <c r="C1214" s="154" t="s">
        <v>167</v>
      </c>
      <c r="D1214" s="154" t="s">
        <v>143</v>
      </c>
      <c r="E1214" s="154" t="s">
        <v>136</v>
      </c>
      <c r="F1214" s="154" t="s">
        <v>136</v>
      </c>
      <c r="G1214" s="154" t="s">
        <v>1872</v>
      </c>
      <c r="H1214" s="155"/>
      <c r="I1214" s="154" t="s">
        <v>135</v>
      </c>
      <c r="J1214" s="157">
        <v>45621.63888888889</v>
      </c>
      <c r="K1214" s="154" t="s">
        <v>2509</v>
      </c>
      <c r="L1214" s="156" t="s">
        <v>63</v>
      </c>
    </row>
    <row r="1215">
      <c r="A1215" s="153">
        <v>43.0</v>
      </c>
      <c r="B1215" s="154" t="s">
        <v>6</v>
      </c>
      <c r="C1215" s="154" t="s">
        <v>1978</v>
      </c>
      <c r="D1215" s="154" t="s">
        <v>143</v>
      </c>
      <c r="E1215" s="154" t="s">
        <v>136</v>
      </c>
      <c r="F1215" s="154" t="s">
        <v>136</v>
      </c>
      <c r="G1215" s="154" t="s">
        <v>1789</v>
      </c>
      <c r="H1215" s="155"/>
      <c r="I1215" s="154" t="s">
        <v>135</v>
      </c>
      <c r="J1215" s="157">
        <v>45615.50069444445</v>
      </c>
      <c r="K1215" s="154" t="s">
        <v>2502</v>
      </c>
      <c r="L1215" s="156" t="s">
        <v>63</v>
      </c>
    </row>
    <row r="1216">
      <c r="A1216" s="153">
        <v>26.0</v>
      </c>
      <c r="B1216" s="154" t="s">
        <v>6</v>
      </c>
      <c r="C1216" s="154" t="s">
        <v>2553</v>
      </c>
      <c r="D1216" s="154" t="s">
        <v>187</v>
      </c>
      <c r="E1216" s="154" t="s">
        <v>136</v>
      </c>
      <c r="F1216" s="154" t="s">
        <v>136</v>
      </c>
      <c r="G1216" s="154" t="s">
        <v>297</v>
      </c>
      <c r="H1216" s="155"/>
      <c r="I1216" s="154" t="s">
        <v>135</v>
      </c>
      <c r="J1216" s="154" t="s">
        <v>2554</v>
      </c>
      <c r="K1216" s="154" t="s">
        <v>2507</v>
      </c>
      <c r="L1216" s="156" t="s">
        <v>63</v>
      </c>
    </row>
    <row r="1217">
      <c r="A1217" s="153">
        <v>14.0</v>
      </c>
      <c r="B1217" s="154" t="s">
        <v>7</v>
      </c>
      <c r="C1217" s="154" t="s">
        <v>2555</v>
      </c>
      <c r="D1217" s="154" t="s">
        <v>233</v>
      </c>
      <c r="E1217" s="154" t="s">
        <v>136</v>
      </c>
      <c r="F1217" s="154" t="s">
        <v>136</v>
      </c>
      <c r="G1217" s="154" t="s">
        <v>185</v>
      </c>
      <c r="H1217" s="154" t="s">
        <v>2556</v>
      </c>
      <c r="I1217" s="154" t="s">
        <v>135</v>
      </c>
      <c r="J1217" s="154" t="s">
        <v>2557</v>
      </c>
      <c r="K1217" s="154" t="s">
        <v>2513</v>
      </c>
      <c r="L1217" s="156" t="s">
        <v>63</v>
      </c>
    </row>
    <row r="1218">
      <c r="A1218" s="153">
        <v>5.0</v>
      </c>
      <c r="B1218" s="154" t="s">
        <v>7</v>
      </c>
      <c r="C1218" s="154" t="s">
        <v>1831</v>
      </c>
      <c r="D1218" s="154" t="s">
        <v>214</v>
      </c>
      <c r="E1218" s="154" t="s">
        <v>135</v>
      </c>
      <c r="F1218" s="154" t="s">
        <v>136</v>
      </c>
      <c r="G1218" s="154" t="s">
        <v>1225</v>
      </c>
      <c r="H1218" s="155"/>
      <c r="I1218" s="154" t="s">
        <v>136</v>
      </c>
      <c r="J1218" s="154" t="s">
        <v>1962</v>
      </c>
      <c r="K1218" s="154" t="s">
        <v>2502</v>
      </c>
      <c r="L1218" s="156" t="s">
        <v>63</v>
      </c>
    </row>
    <row r="1219">
      <c r="A1219" s="153">
        <v>52.0</v>
      </c>
      <c r="B1219" s="154" t="s">
        <v>7</v>
      </c>
      <c r="C1219" s="154" t="s">
        <v>338</v>
      </c>
      <c r="D1219" s="154" t="s">
        <v>143</v>
      </c>
      <c r="E1219" s="154" t="s">
        <v>136</v>
      </c>
      <c r="F1219" s="154" t="s">
        <v>136</v>
      </c>
      <c r="G1219" s="154" t="s">
        <v>174</v>
      </c>
      <c r="H1219" s="155"/>
      <c r="I1219" s="154" t="s">
        <v>136</v>
      </c>
      <c r="J1219" s="157">
        <v>45621.62986111111</v>
      </c>
      <c r="K1219" s="154" t="s">
        <v>2513</v>
      </c>
      <c r="L1219" s="156" t="s">
        <v>63</v>
      </c>
    </row>
    <row r="1220">
      <c r="A1220" s="153">
        <v>18.0</v>
      </c>
      <c r="B1220" s="154" t="s">
        <v>7</v>
      </c>
      <c r="C1220" s="154" t="s">
        <v>2558</v>
      </c>
      <c r="D1220" s="154" t="s">
        <v>233</v>
      </c>
      <c r="E1220" s="154" t="s">
        <v>136</v>
      </c>
      <c r="F1220" s="154" t="s">
        <v>136</v>
      </c>
      <c r="G1220" s="154" t="s">
        <v>144</v>
      </c>
      <c r="H1220" s="155"/>
      <c r="I1220" s="154" t="s">
        <v>136</v>
      </c>
      <c r="J1220" s="154" t="s">
        <v>2559</v>
      </c>
      <c r="K1220" s="154" t="s">
        <v>2513</v>
      </c>
      <c r="L1220" s="156" t="s">
        <v>63</v>
      </c>
    </row>
    <row r="1221">
      <c r="A1221" s="153">
        <v>58.0</v>
      </c>
      <c r="B1221" s="154" t="s">
        <v>7</v>
      </c>
      <c r="C1221" s="154" t="s">
        <v>2560</v>
      </c>
      <c r="D1221" s="154" t="s">
        <v>213</v>
      </c>
      <c r="E1221" s="154" t="s">
        <v>135</v>
      </c>
      <c r="F1221" s="154" t="s">
        <v>136</v>
      </c>
      <c r="G1221" s="154" t="s">
        <v>606</v>
      </c>
      <c r="H1221" s="155"/>
      <c r="I1221" s="154" t="s">
        <v>136</v>
      </c>
      <c r="J1221" s="157">
        <v>45622.41458333333</v>
      </c>
      <c r="K1221" s="154" t="s">
        <v>2513</v>
      </c>
      <c r="L1221" s="156" t="s">
        <v>63</v>
      </c>
    </row>
    <row r="1222">
      <c r="A1222" s="153">
        <v>50.0</v>
      </c>
      <c r="B1222" s="154" t="s">
        <v>6</v>
      </c>
      <c r="C1222" s="154" t="s">
        <v>162</v>
      </c>
      <c r="D1222" s="154" t="s">
        <v>134</v>
      </c>
      <c r="E1222" s="154" t="s">
        <v>135</v>
      </c>
      <c r="F1222" s="154" t="s">
        <v>136</v>
      </c>
      <c r="G1222" s="154" t="s">
        <v>185</v>
      </c>
      <c r="H1222" s="155"/>
      <c r="I1222" s="154" t="s">
        <v>136</v>
      </c>
      <c r="J1222" s="157">
        <v>45621.59444444445</v>
      </c>
      <c r="K1222" s="154" t="s">
        <v>2513</v>
      </c>
      <c r="L1222" s="156" t="s">
        <v>63</v>
      </c>
    </row>
    <row r="1223">
      <c r="A1223" s="153">
        <v>8.0</v>
      </c>
      <c r="B1223" s="154" t="s">
        <v>6</v>
      </c>
      <c r="C1223" s="154" t="s">
        <v>1282</v>
      </c>
      <c r="D1223" s="154" t="s">
        <v>134</v>
      </c>
      <c r="E1223" s="154" t="s">
        <v>136</v>
      </c>
      <c r="F1223" s="154" t="s">
        <v>136</v>
      </c>
      <c r="G1223" s="154" t="s">
        <v>1421</v>
      </c>
      <c r="H1223" s="155"/>
      <c r="I1223" s="154" t="s">
        <v>135</v>
      </c>
      <c r="J1223" s="154" t="s">
        <v>2561</v>
      </c>
      <c r="K1223" s="154" t="s">
        <v>2509</v>
      </c>
      <c r="L1223" s="156" t="s">
        <v>63</v>
      </c>
    </row>
    <row r="1224">
      <c r="A1224" s="153">
        <v>35.0</v>
      </c>
      <c r="B1224" s="154" t="s">
        <v>6</v>
      </c>
      <c r="C1224" s="154" t="s">
        <v>459</v>
      </c>
      <c r="D1224" s="154" t="s">
        <v>197</v>
      </c>
      <c r="E1224" s="154" t="s">
        <v>136</v>
      </c>
      <c r="F1224" s="154" t="s">
        <v>136</v>
      </c>
      <c r="G1224" s="154" t="s">
        <v>174</v>
      </c>
      <c r="H1224" s="155"/>
      <c r="I1224" s="154" t="s">
        <v>135</v>
      </c>
      <c r="J1224" s="157">
        <v>45600.38958333333</v>
      </c>
      <c r="K1224" s="154" t="s">
        <v>2509</v>
      </c>
      <c r="L1224" s="156" t="s">
        <v>63</v>
      </c>
    </row>
    <row r="1225">
      <c r="A1225" s="153">
        <v>6.0</v>
      </c>
      <c r="B1225" s="154" t="s">
        <v>7</v>
      </c>
      <c r="C1225" s="154" t="s">
        <v>379</v>
      </c>
      <c r="D1225" s="154" t="s">
        <v>202</v>
      </c>
      <c r="E1225" s="154" t="s">
        <v>136</v>
      </c>
      <c r="F1225" s="154" t="s">
        <v>136</v>
      </c>
      <c r="G1225" s="154" t="s">
        <v>150</v>
      </c>
      <c r="H1225" s="155"/>
      <c r="I1225" s="154" t="s">
        <v>135</v>
      </c>
      <c r="J1225" s="154" t="s">
        <v>2562</v>
      </c>
      <c r="K1225" s="154" t="s">
        <v>2509</v>
      </c>
      <c r="L1225" s="156" t="s">
        <v>63</v>
      </c>
    </row>
    <row r="1226">
      <c r="A1226" s="153">
        <v>17.0</v>
      </c>
      <c r="B1226" s="154" t="s">
        <v>7</v>
      </c>
      <c r="C1226" s="154" t="s">
        <v>2563</v>
      </c>
      <c r="D1226" s="154" t="s">
        <v>228</v>
      </c>
      <c r="E1226" s="154" t="s">
        <v>135</v>
      </c>
      <c r="F1226" s="154" t="s">
        <v>136</v>
      </c>
      <c r="G1226" s="154" t="s">
        <v>185</v>
      </c>
      <c r="H1226" s="165" t="s">
        <v>2564</v>
      </c>
      <c r="I1226" s="154" t="s">
        <v>136</v>
      </c>
      <c r="J1226" s="157">
        <v>45687.739583333336</v>
      </c>
      <c r="K1226" s="154" t="s">
        <v>2502</v>
      </c>
      <c r="L1226" s="156" t="s">
        <v>64</v>
      </c>
    </row>
    <row r="1227">
      <c r="A1227" s="153">
        <v>6.0</v>
      </c>
      <c r="B1227" s="154" t="s">
        <v>7</v>
      </c>
      <c r="C1227" s="154" t="s">
        <v>1995</v>
      </c>
      <c r="D1227" s="154" t="s">
        <v>164</v>
      </c>
      <c r="E1227" s="154" t="s">
        <v>135</v>
      </c>
      <c r="F1227" s="154" t="s">
        <v>136</v>
      </c>
      <c r="G1227" s="165" t="s">
        <v>157</v>
      </c>
      <c r="H1227" s="155"/>
      <c r="I1227" s="154" t="s">
        <v>135</v>
      </c>
      <c r="J1227" s="154" t="s">
        <v>2565</v>
      </c>
      <c r="K1227" s="154" t="s">
        <v>185</v>
      </c>
      <c r="L1227" s="156" t="s">
        <v>64</v>
      </c>
    </row>
    <row r="1228">
      <c r="A1228" s="153">
        <v>2.0</v>
      </c>
      <c r="B1228" s="154" t="s">
        <v>7</v>
      </c>
      <c r="C1228" s="154" t="s">
        <v>235</v>
      </c>
      <c r="D1228" s="154" t="s">
        <v>164</v>
      </c>
      <c r="E1228" s="154" t="s">
        <v>136</v>
      </c>
      <c r="F1228" s="154" t="s">
        <v>136</v>
      </c>
      <c r="G1228" s="154" t="s">
        <v>401</v>
      </c>
      <c r="H1228" s="155"/>
      <c r="I1228" s="154" t="s">
        <v>135</v>
      </c>
      <c r="J1228" s="157">
        <v>45622.467361111114</v>
      </c>
      <c r="K1228" s="154" t="s">
        <v>2502</v>
      </c>
      <c r="L1228" s="156" t="s">
        <v>64</v>
      </c>
    </row>
    <row r="1229">
      <c r="A1229" s="153">
        <v>10.0</v>
      </c>
      <c r="B1229" s="154" t="s">
        <v>6</v>
      </c>
      <c r="C1229" s="154" t="s">
        <v>1116</v>
      </c>
      <c r="D1229" s="154" t="s">
        <v>197</v>
      </c>
      <c r="E1229" s="154" t="s">
        <v>135</v>
      </c>
      <c r="F1229" s="154" t="s">
        <v>136</v>
      </c>
      <c r="G1229" s="165" t="s">
        <v>241</v>
      </c>
      <c r="H1229" s="155"/>
      <c r="I1229" s="154" t="s">
        <v>136</v>
      </c>
      <c r="J1229" s="157">
        <v>45674.90902777778</v>
      </c>
      <c r="K1229" s="154" t="s">
        <v>2502</v>
      </c>
      <c r="L1229" s="156" t="s">
        <v>64</v>
      </c>
    </row>
    <row r="1230">
      <c r="A1230" s="153">
        <v>29.0</v>
      </c>
      <c r="B1230" s="154" t="s">
        <v>7</v>
      </c>
      <c r="C1230" s="154" t="s">
        <v>2566</v>
      </c>
      <c r="D1230" s="154" t="s">
        <v>134</v>
      </c>
      <c r="E1230" s="154" t="s">
        <v>135</v>
      </c>
      <c r="F1230" s="154" t="s">
        <v>136</v>
      </c>
      <c r="G1230" s="165" t="s">
        <v>150</v>
      </c>
      <c r="H1230" s="155"/>
      <c r="I1230" s="154" t="s">
        <v>135</v>
      </c>
      <c r="J1230" s="157">
        <v>45691.57916666667</v>
      </c>
      <c r="K1230" s="154" t="s">
        <v>2509</v>
      </c>
      <c r="L1230" s="156" t="s">
        <v>64</v>
      </c>
    </row>
    <row r="1231">
      <c r="A1231" s="153">
        <v>42.0</v>
      </c>
      <c r="B1231" s="154" t="s">
        <v>7</v>
      </c>
      <c r="C1231" s="154" t="s">
        <v>2567</v>
      </c>
      <c r="D1231" s="154" t="s">
        <v>233</v>
      </c>
      <c r="E1231" s="154" t="s">
        <v>136</v>
      </c>
      <c r="F1231" s="154" t="s">
        <v>136</v>
      </c>
      <c r="G1231" s="154" t="s">
        <v>185</v>
      </c>
      <c r="H1231" s="165" t="s">
        <v>1209</v>
      </c>
      <c r="I1231" s="154" t="s">
        <v>135</v>
      </c>
      <c r="J1231" s="157">
        <v>45702.525</v>
      </c>
      <c r="K1231" s="154" t="s">
        <v>2513</v>
      </c>
      <c r="L1231" s="156" t="s">
        <v>64</v>
      </c>
    </row>
    <row r="1232">
      <c r="A1232" s="153">
        <v>53.0</v>
      </c>
      <c r="B1232" s="154" t="s">
        <v>6</v>
      </c>
      <c r="C1232" s="154" t="s">
        <v>1134</v>
      </c>
      <c r="D1232" s="154" t="s">
        <v>233</v>
      </c>
      <c r="E1232" s="154" t="s">
        <v>136</v>
      </c>
      <c r="F1232" s="154" t="s">
        <v>136</v>
      </c>
      <c r="G1232" s="154" t="s">
        <v>174</v>
      </c>
      <c r="H1232" s="155"/>
      <c r="I1232" s="154" t="s">
        <v>135</v>
      </c>
      <c r="J1232" s="157">
        <v>45713.415972222225</v>
      </c>
      <c r="K1232" s="154" t="s">
        <v>2502</v>
      </c>
      <c r="L1232" s="156" t="s">
        <v>64</v>
      </c>
    </row>
    <row r="1233">
      <c r="A1233" s="153">
        <v>39.0</v>
      </c>
      <c r="B1233" s="154" t="s">
        <v>6</v>
      </c>
      <c r="C1233" s="154" t="s">
        <v>560</v>
      </c>
      <c r="D1233" s="154" t="s">
        <v>213</v>
      </c>
      <c r="E1233" s="154" t="s">
        <v>135</v>
      </c>
      <c r="F1233" s="154" t="s">
        <v>136</v>
      </c>
      <c r="G1233" s="154" t="s">
        <v>2568</v>
      </c>
      <c r="H1233" s="155"/>
      <c r="I1233" s="154" t="s">
        <v>135</v>
      </c>
      <c r="J1233" s="157">
        <v>45695.4625</v>
      </c>
      <c r="K1233" s="154" t="s">
        <v>2509</v>
      </c>
      <c r="L1233" s="156" t="s">
        <v>64</v>
      </c>
    </row>
    <row r="1234">
      <c r="A1234" s="153">
        <v>4.0</v>
      </c>
      <c r="B1234" s="154" t="s">
        <v>7</v>
      </c>
      <c r="C1234" s="154" t="s">
        <v>195</v>
      </c>
      <c r="D1234" s="154" t="s">
        <v>164</v>
      </c>
      <c r="E1234" s="154" t="s">
        <v>136</v>
      </c>
      <c r="F1234" s="154" t="s">
        <v>136</v>
      </c>
      <c r="G1234" s="154" t="s">
        <v>174</v>
      </c>
      <c r="H1234" s="155"/>
      <c r="I1234" s="154" t="s">
        <v>135</v>
      </c>
      <c r="J1234" s="157">
        <v>45624.51944444444</v>
      </c>
      <c r="K1234" s="154" t="s">
        <v>2513</v>
      </c>
      <c r="L1234" s="156" t="s">
        <v>64</v>
      </c>
    </row>
    <row r="1235">
      <c r="A1235" s="153">
        <v>35.0</v>
      </c>
      <c r="B1235" s="154" t="s">
        <v>6</v>
      </c>
      <c r="C1235" s="154" t="s">
        <v>2569</v>
      </c>
      <c r="D1235" s="154" t="s">
        <v>302</v>
      </c>
      <c r="E1235" s="154" t="s">
        <v>136</v>
      </c>
      <c r="F1235" s="154" t="s">
        <v>136</v>
      </c>
      <c r="G1235" s="154" t="s">
        <v>157</v>
      </c>
      <c r="H1235" s="155"/>
      <c r="I1235" s="154" t="s">
        <v>135</v>
      </c>
      <c r="J1235" s="157">
        <v>45693.36875</v>
      </c>
      <c r="K1235" s="154" t="s">
        <v>2513</v>
      </c>
      <c r="L1235" s="156" t="s">
        <v>64</v>
      </c>
    </row>
    <row r="1236">
      <c r="A1236" s="153">
        <v>49.0</v>
      </c>
      <c r="B1236" s="154" t="s">
        <v>7</v>
      </c>
      <c r="C1236" s="154" t="s">
        <v>2570</v>
      </c>
      <c r="D1236" s="154" t="s">
        <v>164</v>
      </c>
      <c r="E1236" s="154" t="s">
        <v>136</v>
      </c>
      <c r="F1236" s="154" t="s">
        <v>136</v>
      </c>
      <c r="G1236" s="165" t="s">
        <v>144</v>
      </c>
      <c r="H1236" s="155"/>
      <c r="I1236" s="154" t="s">
        <v>135</v>
      </c>
      <c r="J1236" s="157">
        <v>45712.73333333333</v>
      </c>
      <c r="K1236" s="154" t="s">
        <v>2509</v>
      </c>
      <c r="L1236" s="156" t="s">
        <v>64</v>
      </c>
    </row>
    <row r="1237">
      <c r="A1237" s="153">
        <v>50.0</v>
      </c>
      <c r="B1237" s="154" t="s">
        <v>6</v>
      </c>
      <c r="C1237" s="154" t="s">
        <v>240</v>
      </c>
      <c r="D1237" s="154" t="s">
        <v>197</v>
      </c>
      <c r="E1237" s="154" t="s">
        <v>136</v>
      </c>
      <c r="F1237" s="154" t="s">
        <v>136</v>
      </c>
      <c r="G1237" s="154" t="s">
        <v>241</v>
      </c>
      <c r="H1237" s="155"/>
      <c r="I1237" s="154" t="s">
        <v>135</v>
      </c>
      <c r="J1237" s="157">
        <v>45713.37847222222</v>
      </c>
      <c r="K1237" s="154" t="s">
        <v>2509</v>
      </c>
      <c r="L1237" s="156" t="s">
        <v>64</v>
      </c>
    </row>
    <row r="1238">
      <c r="A1238" s="153">
        <v>27.0</v>
      </c>
      <c r="B1238" s="154" t="s">
        <v>6</v>
      </c>
      <c r="C1238" s="154" t="s">
        <v>245</v>
      </c>
      <c r="D1238" s="154" t="s">
        <v>202</v>
      </c>
      <c r="E1238" s="154" t="s">
        <v>136</v>
      </c>
      <c r="F1238" s="154" t="s">
        <v>136</v>
      </c>
      <c r="G1238" s="154" t="s">
        <v>2571</v>
      </c>
      <c r="H1238" s="155"/>
      <c r="I1238" s="154" t="s">
        <v>135</v>
      </c>
      <c r="J1238" s="157">
        <v>45689.436111111114</v>
      </c>
      <c r="K1238" s="154" t="s">
        <v>2509</v>
      </c>
      <c r="L1238" s="156" t="s">
        <v>64</v>
      </c>
    </row>
    <row r="1239">
      <c r="A1239" s="153">
        <v>30.0</v>
      </c>
      <c r="B1239" s="154" t="s">
        <v>7</v>
      </c>
      <c r="C1239" s="154" t="s">
        <v>250</v>
      </c>
      <c r="D1239" s="154" t="s">
        <v>209</v>
      </c>
      <c r="E1239" s="154" t="s">
        <v>135</v>
      </c>
      <c r="F1239" s="154" t="s">
        <v>136</v>
      </c>
      <c r="G1239" s="154" t="s">
        <v>1872</v>
      </c>
      <c r="H1239" s="154" t="s">
        <v>2572</v>
      </c>
      <c r="I1239" s="154" t="s">
        <v>135</v>
      </c>
      <c r="J1239" s="157">
        <v>45691.660416666666</v>
      </c>
      <c r="K1239" s="154" t="s">
        <v>2509</v>
      </c>
      <c r="L1239" s="156" t="s">
        <v>64</v>
      </c>
    </row>
    <row r="1240">
      <c r="A1240" s="153">
        <v>48.0</v>
      </c>
      <c r="B1240" s="154" t="s">
        <v>6</v>
      </c>
      <c r="C1240" s="154" t="s">
        <v>1134</v>
      </c>
      <c r="D1240" s="154" t="s">
        <v>233</v>
      </c>
      <c r="E1240" s="154" t="s">
        <v>135</v>
      </c>
      <c r="F1240" s="154" t="s">
        <v>136</v>
      </c>
      <c r="G1240" s="154" t="s">
        <v>1353</v>
      </c>
      <c r="H1240" s="155"/>
      <c r="I1240" s="154" t="s">
        <v>135</v>
      </c>
      <c r="J1240" s="157">
        <v>45712.55347222222</v>
      </c>
      <c r="K1240" s="154" t="s">
        <v>2513</v>
      </c>
      <c r="L1240" s="156" t="s">
        <v>64</v>
      </c>
    </row>
    <row r="1241">
      <c r="A1241" s="153">
        <v>43.0</v>
      </c>
      <c r="B1241" s="154" t="s">
        <v>6</v>
      </c>
      <c r="C1241" s="154" t="s">
        <v>2573</v>
      </c>
      <c r="D1241" s="154" t="s">
        <v>302</v>
      </c>
      <c r="E1241" s="154" t="s">
        <v>136</v>
      </c>
      <c r="F1241" s="154" t="s">
        <v>136</v>
      </c>
      <c r="G1241" s="154" t="s">
        <v>2574</v>
      </c>
      <c r="H1241" s="155"/>
      <c r="I1241" s="154" t="s">
        <v>136</v>
      </c>
      <c r="J1241" s="157">
        <v>45703.85833333333</v>
      </c>
      <c r="K1241" s="154" t="s">
        <v>2513</v>
      </c>
      <c r="L1241" s="156" t="s">
        <v>64</v>
      </c>
    </row>
    <row r="1242">
      <c r="A1242" s="153">
        <v>45.0</v>
      </c>
      <c r="B1242" s="154" t="s">
        <v>6</v>
      </c>
      <c r="C1242" s="154" t="s">
        <v>2575</v>
      </c>
      <c r="D1242" s="154" t="s">
        <v>202</v>
      </c>
      <c r="E1242" s="154" t="s">
        <v>135</v>
      </c>
      <c r="F1242" s="154" t="s">
        <v>136</v>
      </c>
      <c r="G1242" s="154" t="s">
        <v>335</v>
      </c>
      <c r="H1242" s="154" t="s">
        <v>1922</v>
      </c>
      <c r="I1242" s="154" t="s">
        <v>135</v>
      </c>
      <c r="J1242" s="157">
        <v>45706.45416666667</v>
      </c>
      <c r="K1242" s="154" t="s">
        <v>2513</v>
      </c>
      <c r="L1242" s="156" t="s">
        <v>64</v>
      </c>
    </row>
    <row r="1243">
      <c r="A1243" s="153">
        <v>32.0</v>
      </c>
      <c r="B1243" s="154" t="s">
        <v>6</v>
      </c>
      <c r="C1243" s="154" t="s">
        <v>149</v>
      </c>
      <c r="D1243" s="154" t="s">
        <v>134</v>
      </c>
      <c r="E1243" s="154" t="s">
        <v>136</v>
      </c>
      <c r="F1243" s="154" t="s">
        <v>136</v>
      </c>
      <c r="G1243" s="154" t="s">
        <v>157</v>
      </c>
      <c r="H1243" s="155"/>
      <c r="I1243" s="154" t="s">
        <v>135</v>
      </c>
      <c r="J1243" s="157">
        <v>45692.6875</v>
      </c>
      <c r="K1243" s="154" t="s">
        <v>2509</v>
      </c>
      <c r="L1243" s="156" t="s">
        <v>64</v>
      </c>
    </row>
    <row r="1244">
      <c r="A1244" s="153">
        <v>20.0</v>
      </c>
      <c r="B1244" s="154" t="s">
        <v>7</v>
      </c>
      <c r="C1244" s="154" t="s">
        <v>250</v>
      </c>
      <c r="D1244" s="154" t="s">
        <v>209</v>
      </c>
      <c r="E1244" s="154" t="s">
        <v>136</v>
      </c>
      <c r="F1244" s="154" t="s">
        <v>136</v>
      </c>
      <c r="G1244" s="154" t="s">
        <v>385</v>
      </c>
      <c r="H1244" s="155"/>
      <c r="I1244" s="154" t="s">
        <v>135</v>
      </c>
      <c r="J1244" s="157">
        <v>45688.430555555555</v>
      </c>
      <c r="K1244" s="154" t="s">
        <v>2509</v>
      </c>
      <c r="L1244" s="156" t="s">
        <v>64</v>
      </c>
    </row>
    <row r="1245">
      <c r="A1245" s="153">
        <v>9.0</v>
      </c>
      <c r="B1245" s="154" t="s">
        <v>7</v>
      </c>
      <c r="C1245" s="154" t="s">
        <v>560</v>
      </c>
      <c r="D1245" s="154" t="s">
        <v>213</v>
      </c>
      <c r="E1245" s="154" t="s">
        <v>135</v>
      </c>
      <c r="F1245" s="154" t="s">
        <v>136</v>
      </c>
      <c r="G1245" s="154" t="s">
        <v>231</v>
      </c>
      <c r="H1245" s="155"/>
      <c r="I1245" s="154" t="s">
        <v>136</v>
      </c>
      <c r="J1245" s="157">
        <v>45666.004166666666</v>
      </c>
      <c r="K1245" s="154" t="s">
        <v>2502</v>
      </c>
      <c r="L1245" s="156" t="s">
        <v>64</v>
      </c>
    </row>
    <row r="1246">
      <c r="A1246" s="153">
        <v>33.0</v>
      </c>
      <c r="B1246" s="154" t="s">
        <v>7</v>
      </c>
      <c r="C1246" s="154" t="s">
        <v>2576</v>
      </c>
      <c r="D1246" s="154" t="s">
        <v>228</v>
      </c>
      <c r="E1246" s="154" t="s">
        <v>136</v>
      </c>
      <c r="F1246" s="154" t="s">
        <v>136</v>
      </c>
      <c r="G1246" s="154" t="s">
        <v>174</v>
      </c>
      <c r="H1246" s="155"/>
      <c r="I1246" s="154" t="s">
        <v>135</v>
      </c>
      <c r="J1246" s="157">
        <v>45692.802777777775</v>
      </c>
      <c r="K1246" s="154" t="s">
        <v>2509</v>
      </c>
      <c r="L1246" s="156" t="s">
        <v>64</v>
      </c>
    </row>
    <row r="1247">
      <c r="A1247" s="153">
        <v>15.0</v>
      </c>
      <c r="B1247" s="154" t="s">
        <v>6</v>
      </c>
      <c r="C1247" s="154" t="s">
        <v>1931</v>
      </c>
      <c r="D1247" s="154" t="s">
        <v>352</v>
      </c>
      <c r="E1247" s="154" t="s">
        <v>135</v>
      </c>
      <c r="F1247" s="154" t="s">
        <v>136</v>
      </c>
      <c r="G1247" s="154" t="s">
        <v>2577</v>
      </c>
      <c r="H1247" s="154" t="s">
        <v>2578</v>
      </c>
      <c r="I1247" s="154" t="s">
        <v>136</v>
      </c>
      <c r="J1247" s="157">
        <v>45687.52847222222</v>
      </c>
      <c r="K1247" s="154" t="s">
        <v>2502</v>
      </c>
      <c r="L1247" s="156" t="s">
        <v>64</v>
      </c>
    </row>
    <row r="1248">
      <c r="A1248" s="153">
        <v>51.0</v>
      </c>
      <c r="B1248" s="154" t="s">
        <v>7</v>
      </c>
      <c r="C1248" s="154" t="s">
        <v>184</v>
      </c>
      <c r="D1248" s="154" t="s">
        <v>143</v>
      </c>
      <c r="E1248" s="154" t="s">
        <v>136</v>
      </c>
      <c r="F1248" s="154" t="s">
        <v>136</v>
      </c>
      <c r="G1248" s="154" t="s">
        <v>174</v>
      </c>
      <c r="H1248" s="155"/>
      <c r="I1248" s="154" t="s">
        <v>135</v>
      </c>
      <c r="J1248" s="157">
        <v>45713.39722222222</v>
      </c>
      <c r="K1248" s="154" t="s">
        <v>2502</v>
      </c>
      <c r="L1248" s="156" t="s">
        <v>64</v>
      </c>
    </row>
    <row r="1249">
      <c r="A1249" s="153">
        <v>12.0</v>
      </c>
      <c r="B1249" s="154" t="s">
        <v>7</v>
      </c>
      <c r="C1249" s="154" t="s">
        <v>1116</v>
      </c>
      <c r="D1249" s="154" t="s">
        <v>197</v>
      </c>
      <c r="E1249" s="154" t="s">
        <v>136</v>
      </c>
      <c r="F1249" s="154" t="s">
        <v>136</v>
      </c>
      <c r="G1249" s="154" t="s">
        <v>401</v>
      </c>
      <c r="H1249" s="155"/>
      <c r="I1249" s="154" t="s">
        <v>135</v>
      </c>
      <c r="J1249" s="157">
        <v>45681.54861111111</v>
      </c>
      <c r="K1249" s="154" t="s">
        <v>2502</v>
      </c>
      <c r="L1249" s="156" t="s">
        <v>64</v>
      </c>
    </row>
    <row r="1250">
      <c r="A1250" s="153">
        <v>26.0</v>
      </c>
      <c r="B1250" s="154" t="s">
        <v>6</v>
      </c>
      <c r="C1250" s="154" t="s">
        <v>142</v>
      </c>
      <c r="D1250" s="154" t="s">
        <v>143</v>
      </c>
      <c r="E1250" s="154" t="s">
        <v>136</v>
      </c>
      <c r="F1250" s="154" t="s">
        <v>136</v>
      </c>
      <c r="G1250" s="154" t="s">
        <v>144</v>
      </c>
      <c r="H1250" s="155"/>
      <c r="I1250" s="154" t="s">
        <v>135</v>
      </c>
      <c r="J1250" s="157">
        <v>45688.70208333333</v>
      </c>
      <c r="K1250" s="154" t="s">
        <v>2509</v>
      </c>
      <c r="L1250" s="156" t="s">
        <v>64</v>
      </c>
    </row>
    <row r="1251">
      <c r="A1251" s="153">
        <v>18.0</v>
      </c>
      <c r="B1251" s="154" t="s">
        <v>6</v>
      </c>
      <c r="C1251" s="154" t="s">
        <v>2579</v>
      </c>
      <c r="D1251" s="154" t="s">
        <v>164</v>
      </c>
      <c r="E1251" s="154" t="s">
        <v>136</v>
      </c>
      <c r="F1251" s="154" t="s">
        <v>136</v>
      </c>
      <c r="G1251" s="154" t="s">
        <v>185</v>
      </c>
      <c r="H1251" s="165" t="s">
        <v>2580</v>
      </c>
      <c r="I1251" s="154" t="s">
        <v>135</v>
      </c>
      <c r="J1251" s="157">
        <v>45688.424305555556</v>
      </c>
      <c r="K1251" s="154" t="s">
        <v>2513</v>
      </c>
      <c r="L1251" s="156" t="s">
        <v>64</v>
      </c>
    </row>
    <row r="1252">
      <c r="A1252" s="153">
        <v>54.0</v>
      </c>
      <c r="B1252" s="154" t="s">
        <v>6</v>
      </c>
      <c r="C1252" s="154" t="s">
        <v>366</v>
      </c>
      <c r="D1252" s="154" t="s">
        <v>218</v>
      </c>
      <c r="E1252" s="154" t="s">
        <v>136</v>
      </c>
      <c r="F1252" s="154" t="s">
        <v>136</v>
      </c>
      <c r="G1252" s="154" t="s">
        <v>320</v>
      </c>
      <c r="H1252" s="155"/>
      <c r="I1252" s="154" t="s">
        <v>135</v>
      </c>
      <c r="J1252" s="157">
        <v>45713.41875</v>
      </c>
      <c r="K1252" s="154" t="s">
        <v>2509</v>
      </c>
      <c r="L1252" s="156" t="s">
        <v>64</v>
      </c>
    </row>
    <row r="1253">
      <c r="A1253" s="153">
        <v>3.0</v>
      </c>
      <c r="B1253" s="154" t="s">
        <v>7</v>
      </c>
      <c r="C1253" s="154" t="s">
        <v>1116</v>
      </c>
      <c r="D1253" s="154" t="s">
        <v>197</v>
      </c>
      <c r="E1253" s="154" t="s">
        <v>136</v>
      </c>
      <c r="F1253" s="154" t="s">
        <v>136</v>
      </c>
      <c r="G1253" s="154" t="s">
        <v>599</v>
      </c>
      <c r="H1253" s="155"/>
      <c r="I1253" s="154" t="s">
        <v>135</v>
      </c>
      <c r="J1253" s="157">
        <v>45622.47152777778</v>
      </c>
      <c r="K1253" s="154" t="s">
        <v>185</v>
      </c>
      <c r="L1253" s="156" t="s">
        <v>64</v>
      </c>
    </row>
    <row r="1254">
      <c r="A1254" s="153">
        <v>24.0</v>
      </c>
      <c r="B1254" s="154" t="s">
        <v>7</v>
      </c>
      <c r="C1254" s="154" t="s">
        <v>167</v>
      </c>
      <c r="D1254" s="154" t="s">
        <v>143</v>
      </c>
      <c r="E1254" s="154" t="s">
        <v>136</v>
      </c>
      <c r="F1254" s="154" t="s">
        <v>136</v>
      </c>
      <c r="G1254" s="154" t="s">
        <v>1393</v>
      </c>
      <c r="H1254" s="155"/>
      <c r="I1254" s="154" t="s">
        <v>135</v>
      </c>
      <c r="J1254" s="157">
        <v>45688.62222222222</v>
      </c>
      <c r="K1254" s="154" t="s">
        <v>2509</v>
      </c>
      <c r="L1254" s="156" t="s">
        <v>64</v>
      </c>
    </row>
    <row r="1255">
      <c r="A1255" s="153">
        <v>25.0</v>
      </c>
      <c r="B1255" s="154" t="s">
        <v>7</v>
      </c>
      <c r="C1255" s="154" t="s">
        <v>2581</v>
      </c>
      <c r="D1255" s="154" t="s">
        <v>143</v>
      </c>
      <c r="E1255" s="154" t="s">
        <v>136</v>
      </c>
      <c r="F1255" s="154" t="s">
        <v>136</v>
      </c>
      <c r="G1255" s="154" t="s">
        <v>2582</v>
      </c>
      <c r="H1255" s="165" t="s">
        <v>2583</v>
      </c>
      <c r="I1255" s="154" t="s">
        <v>136</v>
      </c>
      <c r="J1255" s="157">
        <v>45688.625</v>
      </c>
      <c r="K1255" s="154" t="s">
        <v>2502</v>
      </c>
      <c r="L1255" s="156" t="s">
        <v>64</v>
      </c>
    </row>
    <row r="1256">
      <c r="A1256" s="153">
        <v>22.0</v>
      </c>
      <c r="B1256" s="154" t="s">
        <v>7</v>
      </c>
      <c r="C1256" s="154" t="s">
        <v>2584</v>
      </c>
      <c r="D1256" s="154" t="s">
        <v>143</v>
      </c>
      <c r="E1256" s="154" t="s">
        <v>136</v>
      </c>
      <c r="F1256" s="154" t="s">
        <v>136</v>
      </c>
      <c r="G1256" s="154" t="s">
        <v>385</v>
      </c>
      <c r="H1256" s="155"/>
      <c r="I1256" s="154" t="s">
        <v>136</v>
      </c>
      <c r="J1256" s="157">
        <v>45688.475</v>
      </c>
      <c r="K1256" s="154" t="s">
        <v>2509</v>
      </c>
      <c r="L1256" s="156" t="s">
        <v>64</v>
      </c>
    </row>
    <row r="1257">
      <c r="A1257" s="153">
        <v>28.0</v>
      </c>
      <c r="B1257" s="154" t="s">
        <v>6</v>
      </c>
      <c r="C1257" s="154" t="s">
        <v>1949</v>
      </c>
      <c r="D1257" s="154" t="s">
        <v>218</v>
      </c>
      <c r="E1257" s="154" t="s">
        <v>136</v>
      </c>
      <c r="F1257" s="154" t="s">
        <v>136</v>
      </c>
      <c r="G1257" s="154" t="s">
        <v>185</v>
      </c>
      <c r="H1257" s="165" t="s">
        <v>1161</v>
      </c>
      <c r="I1257" s="154" t="s">
        <v>135</v>
      </c>
      <c r="J1257" s="157">
        <v>45691.38888888889</v>
      </c>
      <c r="K1257" s="154" t="s">
        <v>2509</v>
      </c>
      <c r="L1257" s="156" t="s">
        <v>64</v>
      </c>
    </row>
    <row r="1258">
      <c r="A1258" s="153">
        <v>37.0</v>
      </c>
      <c r="B1258" s="154" t="s">
        <v>6</v>
      </c>
      <c r="C1258" s="154" t="s">
        <v>2585</v>
      </c>
      <c r="D1258" s="154" t="s">
        <v>302</v>
      </c>
      <c r="E1258" s="154" t="s">
        <v>135</v>
      </c>
      <c r="F1258" s="154" t="s">
        <v>136</v>
      </c>
      <c r="G1258" s="154" t="s">
        <v>271</v>
      </c>
      <c r="H1258" s="154" t="s">
        <v>2586</v>
      </c>
      <c r="I1258" s="154" t="s">
        <v>136</v>
      </c>
      <c r="J1258" s="157">
        <v>45693.39166666667</v>
      </c>
      <c r="K1258" s="154" t="s">
        <v>2502</v>
      </c>
      <c r="L1258" s="156" t="s">
        <v>64</v>
      </c>
    </row>
    <row r="1259">
      <c r="A1259" s="153">
        <v>41.0</v>
      </c>
      <c r="B1259" s="154" t="s">
        <v>7</v>
      </c>
      <c r="C1259" s="154" t="s">
        <v>334</v>
      </c>
      <c r="D1259" s="154" t="s">
        <v>228</v>
      </c>
      <c r="E1259" s="154" t="s">
        <v>136</v>
      </c>
      <c r="F1259" s="154" t="s">
        <v>136</v>
      </c>
      <c r="G1259" s="165" t="s">
        <v>292</v>
      </c>
      <c r="H1259" s="155"/>
      <c r="I1259" s="154" t="s">
        <v>135</v>
      </c>
      <c r="J1259" s="157">
        <v>45699.45416666667</v>
      </c>
      <c r="K1259" s="154" t="s">
        <v>2513</v>
      </c>
      <c r="L1259" s="156" t="s">
        <v>64</v>
      </c>
    </row>
    <row r="1260">
      <c r="A1260" s="153">
        <v>46.0</v>
      </c>
      <c r="B1260" s="154" t="s">
        <v>6</v>
      </c>
      <c r="C1260" s="154" t="s">
        <v>1279</v>
      </c>
      <c r="D1260" s="154" t="s">
        <v>233</v>
      </c>
      <c r="E1260" s="154" t="s">
        <v>135</v>
      </c>
      <c r="F1260" s="154" t="s">
        <v>136</v>
      </c>
      <c r="G1260" s="154" t="s">
        <v>144</v>
      </c>
      <c r="H1260" s="155"/>
      <c r="I1260" s="154" t="s">
        <v>135</v>
      </c>
      <c r="J1260" s="157">
        <v>45706.535416666666</v>
      </c>
      <c r="K1260" s="154" t="s">
        <v>185</v>
      </c>
      <c r="L1260" s="156" t="s">
        <v>64</v>
      </c>
    </row>
    <row r="1261">
      <c r="A1261" s="153">
        <v>16.0</v>
      </c>
      <c r="B1261" s="154" t="s">
        <v>6</v>
      </c>
      <c r="C1261" s="154" t="s">
        <v>1116</v>
      </c>
      <c r="D1261" s="154" t="s">
        <v>197</v>
      </c>
      <c r="E1261" s="154" t="s">
        <v>136</v>
      </c>
      <c r="F1261" s="154" t="s">
        <v>136</v>
      </c>
      <c r="G1261" s="154" t="s">
        <v>2587</v>
      </c>
      <c r="H1261" s="154" t="s">
        <v>1180</v>
      </c>
      <c r="I1261" s="154" t="s">
        <v>135</v>
      </c>
      <c r="J1261" s="157">
        <v>45687.59375</v>
      </c>
      <c r="K1261" s="154" t="s">
        <v>2513</v>
      </c>
      <c r="L1261" s="156" t="s">
        <v>64</v>
      </c>
    </row>
    <row r="1262">
      <c r="A1262" s="153">
        <v>7.0</v>
      </c>
      <c r="B1262" s="154" t="s">
        <v>6</v>
      </c>
      <c r="C1262" s="154" t="s">
        <v>539</v>
      </c>
      <c r="D1262" s="154" t="s">
        <v>290</v>
      </c>
      <c r="E1262" s="154" t="s">
        <v>135</v>
      </c>
      <c r="F1262" s="154" t="s">
        <v>135</v>
      </c>
      <c r="G1262" s="154" t="s">
        <v>150</v>
      </c>
      <c r="H1262" s="154" t="s">
        <v>2588</v>
      </c>
      <c r="I1262" s="154" t="s">
        <v>136</v>
      </c>
      <c r="J1262" s="154" t="s">
        <v>2589</v>
      </c>
      <c r="K1262" s="154" t="s">
        <v>2502</v>
      </c>
      <c r="L1262" s="156" t="s">
        <v>64</v>
      </c>
    </row>
    <row r="1263">
      <c r="A1263" s="153">
        <v>14.0</v>
      </c>
      <c r="B1263" s="154" t="s">
        <v>6</v>
      </c>
      <c r="C1263" s="154" t="s">
        <v>2590</v>
      </c>
      <c r="D1263" s="154" t="s">
        <v>268</v>
      </c>
      <c r="E1263" s="154" t="s">
        <v>135</v>
      </c>
      <c r="F1263" s="154" t="s">
        <v>136</v>
      </c>
      <c r="G1263" s="154" t="s">
        <v>297</v>
      </c>
      <c r="H1263" s="155"/>
      <c r="I1263" s="154" t="s">
        <v>136</v>
      </c>
      <c r="J1263" s="157">
        <v>45685.64722222222</v>
      </c>
      <c r="K1263" s="154" t="s">
        <v>2502</v>
      </c>
      <c r="L1263" s="156" t="s">
        <v>64</v>
      </c>
    </row>
    <row r="1264">
      <c r="A1264" s="153">
        <v>11.0</v>
      </c>
      <c r="B1264" s="154" t="s">
        <v>6</v>
      </c>
      <c r="C1264" s="154" t="s">
        <v>366</v>
      </c>
      <c r="D1264" s="154" t="s">
        <v>218</v>
      </c>
      <c r="E1264" s="154" t="s">
        <v>136</v>
      </c>
      <c r="F1264" s="154" t="s">
        <v>136</v>
      </c>
      <c r="G1264" s="154" t="s">
        <v>2591</v>
      </c>
      <c r="H1264" s="155"/>
      <c r="I1264" s="154" t="s">
        <v>135</v>
      </c>
      <c r="J1264" s="157">
        <v>45678.450694444444</v>
      </c>
      <c r="K1264" s="154" t="s">
        <v>2502</v>
      </c>
      <c r="L1264" s="156" t="s">
        <v>64</v>
      </c>
    </row>
    <row r="1265">
      <c r="A1265" s="153">
        <v>13.0</v>
      </c>
      <c r="B1265" s="154" t="s">
        <v>6</v>
      </c>
      <c r="C1265" s="154" t="s">
        <v>338</v>
      </c>
      <c r="D1265" s="154" t="s">
        <v>143</v>
      </c>
      <c r="E1265" s="154" t="s">
        <v>136</v>
      </c>
      <c r="F1265" s="154" t="s">
        <v>136</v>
      </c>
      <c r="G1265" s="154" t="s">
        <v>157</v>
      </c>
      <c r="H1265" s="155"/>
      <c r="I1265" s="154" t="s">
        <v>136</v>
      </c>
      <c r="J1265" s="157">
        <v>45681.59583333333</v>
      </c>
      <c r="K1265" s="154" t="s">
        <v>2509</v>
      </c>
      <c r="L1265" s="156" t="s">
        <v>64</v>
      </c>
    </row>
    <row r="1266">
      <c r="A1266" s="153">
        <v>31.0</v>
      </c>
      <c r="B1266" s="154" t="s">
        <v>7</v>
      </c>
      <c r="C1266" s="154" t="s">
        <v>2592</v>
      </c>
      <c r="D1266" s="154" t="s">
        <v>202</v>
      </c>
      <c r="E1266" s="154" t="s">
        <v>135</v>
      </c>
      <c r="F1266" s="154" t="s">
        <v>136</v>
      </c>
      <c r="G1266" s="154" t="s">
        <v>271</v>
      </c>
      <c r="H1266" s="155"/>
      <c r="I1266" s="154" t="s">
        <v>136</v>
      </c>
      <c r="J1266" s="157">
        <v>45692.45277777778</v>
      </c>
      <c r="K1266" s="154" t="s">
        <v>2513</v>
      </c>
      <c r="L1266" s="156" t="s">
        <v>64</v>
      </c>
    </row>
    <row r="1267">
      <c r="A1267" s="153">
        <v>23.0</v>
      </c>
      <c r="B1267" s="154" t="s">
        <v>7</v>
      </c>
      <c r="C1267" s="154" t="s">
        <v>853</v>
      </c>
      <c r="D1267" s="154" t="s">
        <v>213</v>
      </c>
      <c r="E1267" s="154" t="s">
        <v>136</v>
      </c>
      <c r="F1267" s="154" t="s">
        <v>136</v>
      </c>
      <c r="G1267" s="154" t="s">
        <v>157</v>
      </c>
      <c r="H1267" s="155"/>
      <c r="I1267" s="154" t="s">
        <v>135</v>
      </c>
      <c r="J1267" s="157">
        <v>45688.56180555555</v>
      </c>
      <c r="K1267" s="154" t="s">
        <v>2502</v>
      </c>
      <c r="L1267" s="156" t="s">
        <v>64</v>
      </c>
    </row>
    <row r="1268">
      <c r="A1268" s="153">
        <v>1.0</v>
      </c>
      <c r="B1268" s="154" t="s">
        <v>7</v>
      </c>
      <c r="C1268" s="154" t="s">
        <v>1243</v>
      </c>
      <c r="D1268" s="154" t="s">
        <v>187</v>
      </c>
      <c r="E1268" s="154" t="s">
        <v>136</v>
      </c>
      <c r="F1268" s="154" t="s">
        <v>136</v>
      </c>
      <c r="G1268" s="154" t="s">
        <v>231</v>
      </c>
      <c r="H1268" s="155"/>
      <c r="I1268" s="154" t="s">
        <v>135</v>
      </c>
      <c r="J1268" s="157">
        <v>45622.46666666667</v>
      </c>
      <c r="K1268" s="154" t="s">
        <v>2502</v>
      </c>
      <c r="L1268" s="156" t="s">
        <v>64</v>
      </c>
    </row>
    <row r="1269">
      <c r="A1269" s="153">
        <v>21.0</v>
      </c>
      <c r="B1269" s="154" t="s">
        <v>7</v>
      </c>
      <c r="C1269" s="154" t="s">
        <v>1238</v>
      </c>
      <c r="D1269" s="154" t="s">
        <v>233</v>
      </c>
      <c r="E1269" s="154" t="s">
        <v>136</v>
      </c>
      <c r="F1269" s="154" t="s">
        <v>136</v>
      </c>
      <c r="G1269" s="154" t="s">
        <v>185</v>
      </c>
      <c r="H1269" s="155"/>
      <c r="I1269" s="154" t="s">
        <v>135</v>
      </c>
      <c r="J1269" s="157">
        <v>45688.44513888889</v>
      </c>
      <c r="K1269" s="154" t="s">
        <v>2509</v>
      </c>
      <c r="L1269" s="156" t="s">
        <v>64</v>
      </c>
    </row>
    <row r="1270">
      <c r="A1270" s="153">
        <v>34.0</v>
      </c>
      <c r="B1270" s="154" t="s">
        <v>6</v>
      </c>
      <c r="C1270" s="154" t="s">
        <v>2576</v>
      </c>
      <c r="D1270" s="154" t="s">
        <v>228</v>
      </c>
      <c r="E1270" s="154" t="s">
        <v>136</v>
      </c>
      <c r="F1270" s="154" t="s">
        <v>136</v>
      </c>
      <c r="G1270" s="154" t="s">
        <v>1257</v>
      </c>
      <c r="H1270" s="165" t="s">
        <v>2593</v>
      </c>
      <c r="I1270" s="154" t="s">
        <v>135</v>
      </c>
      <c r="J1270" s="157">
        <v>45692.88125</v>
      </c>
      <c r="K1270" s="154" t="s">
        <v>2513</v>
      </c>
      <c r="L1270" s="156" t="s">
        <v>64</v>
      </c>
    </row>
    <row r="1271">
      <c r="A1271" s="153">
        <v>52.0</v>
      </c>
      <c r="B1271" s="154" t="s">
        <v>6</v>
      </c>
      <c r="C1271" s="154" t="s">
        <v>1094</v>
      </c>
      <c r="D1271" s="154" t="s">
        <v>143</v>
      </c>
      <c r="E1271" s="154" t="s">
        <v>135</v>
      </c>
      <c r="F1271" s="154" t="s">
        <v>136</v>
      </c>
      <c r="G1271" s="154" t="s">
        <v>349</v>
      </c>
      <c r="H1271" s="154" t="s">
        <v>349</v>
      </c>
      <c r="I1271" s="154" t="s">
        <v>135</v>
      </c>
      <c r="J1271" s="157">
        <v>45713.413194444445</v>
      </c>
      <c r="K1271" s="154" t="s">
        <v>2502</v>
      </c>
      <c r="L1271" s="156" t="s">
        <v>64</v>
      </c>
    </row>
    <row r="1272">
      <c r="A1272" s="153">
        <v>8.0</v>
      </c>
      <c r="B1272" s="154" t="s">
        <v>7</v>
      </c>
      <c r="C1272" s="154" t="s">
        <v>338</v>
      </c>
      <c r="D1272" s="154" t="s">
        <v>143</v>
      </c>
      <c r="E1272" s="154" t="s">
        <v>136</v>
      </c>
      <c r="F1272" s="154" t="s">
        <v>136</v>
      </c>
      <c r="G1272" s="154" t="s">
        <v>174</v>
      </c>
      <c r="H1272" s="155"/>
      <c r="I1272" s="154" t="s">
        <v>135</v>
      </c>
      <c r="J1272" s="154" t="s">
        <v>2594</v>
      </c>
      <c r="K1272" s="154" t="s">
        <v>2502</v>
      </c>
      <c r="L1272" s="156" t="s">
        <v>64</v>
      </c>
    </row>
    <row r="1273">
      <c r="A1273" s="153">
        <v>40.0</v>
      </c>
      <c r="B1273" s="154" t="s">
        <v>7</v>
      </c>
      <c r="C1273" s="154" t="s">
        <v>2558</v>
      </c>
      <c r="D1273" s="154" t="s">
        <v>233</v>
      </c>
      <c r="E1273" s="154" t="s">
        <v>136</v>
      </c>
      <c r="F1273" s="154" t="s">
        <v>136</v>
      </c>
      <c r="G1273" s="154" t="s">
        <v>144</v>
      </c>
      <c r="H1273" s="154" t="s">
        <v>2595</v>
      </c>
      <c r="I1273" s="154" t="s">
        <v>135</v>
      </c>
      <c r="J1273" s="157">
        <v>45698.904861111114</v>
      </c>
      <c r="K1273" s="154" t="s">
        <v>2513</v>
      </c>
      <c r="L1273" s="156" t="s">
        <v>64</v>
      </c>
    </row>
    <row r="1274">
      <c r="A1274" s="153">
        <v>47.0</v>
      </c>
      <c r="B1274" s="154" t="s">
        <v>7</v>
      </c>
      <c r="C1274" s="154" t="s">
        <v>2596</v>
      </c>
      <c r="D1274" s="154" t="s">
        <v>164</v>
      </c>
      <c r="E1274" s="154" t="s">
        <v>135</v>
      </c>
      <c r="F1274" s="154" t="s">
        <v>136</v>
      </c>
      <c r="G1274" s="154" t="s">
        <v>271</v>
      </c>
      <c r="H1274" s="155"/>
      <c r="I1274" s="154" t="s">
        <v>135</v>
      </c>
      <c r="J1274" s="157">
        <v>45709.00902777778</v>
      </c>
      <c r="K1274" s="154" t="s">
        <v>185</v>
      </c>
      <c r="L1274" s="156" t="s">
        <v>64</v>
      </c>
    </row>
    <row r="1275">
      <c r="A1275" s="153">
        <v>19.0</v>
      </c>
      <c r="B1275" s="154" t="s">
        <v>6</v>
      </c>
      <c r="C1275" s="154" t="s">
        <v>1282</v>
      </c>
      <c r="D1275" s="154" t="s">
        <v>134</v>
      </c>
      <c r="E1275" s="154" t="s">
        <v>136</v>
      </c>
      <c r="F1275" s="154" t="s">
        <v>136</v>
      </c>
      <c r="G1275" s="154" t="s">
        <v>1421</v>
      </c>
      <c r="H1275" s="155"/>
      <c r="I1275" s="154" t="s">
        <v>135</v>
      </c>
      <c r="J1275" s="157">
        <v>45688.427777777775</v>
      </c>
      <c r="K1275" s="154" t="s">
        <v>2509</v>
      </c>
      <c r="L1275" s="156" t="s">
        <v>64</v>
      </c>
    </row>
    <row r="1276">
      <c r="A1276" s="153">
        <v>36.0</v>
      </c>
      <c r="B1276" s="154" t="s">
        <v>7</v>
      </c>
      <c r="C1276" s="154" t="s">
        <v>2597</v>
      </c>
      <c r="D1276" s="154" t="s">
        <v>302</v>
      </c>
      <c r="E1276" s="154" t="s">
        <v>135</v>
      </c>
      <c r="F1276" s="154" t="s">
        <v>136</v>
      </c>
      <c r="G1276" s="154" t="s">
        <v>157</v>
      </c>
      <c r="H1276" s="155"/>
      <c r="I1276" s="154" t="s">
        <v>136</v>
      </c>
      <c r="J1276" s="157">
        <v>45693.3875</v>
      </c>
      <c r="K1276" s="154" t="s">
        <v>2513</v>
      </c>
      <c r="L1276" s="156" t="s">
        <v>64</v>
      </c>
    </row>
    <row r="1277">
      <c r="A1277" s="153">
        <v>5.0</v>
      </c>
      <c r="B1277" s="154" t="s">
        <v>7</v>
      </c>
      <c r="C1277" s="154" t="s">
        <v>315</v>
      </c>
      <c r="D1277" s="154" t="s">
        <v>164</v>
      </c>
      <c r="E1277" s="154" t="s">
        <v>136</v>
      </c>
      <c r="F1277" s="154" t="s">
        <v>136</v>
      </c>
      <c r="G1277" s="154" t="s">
        <v>185</v>
      </c>
      <c r="H1277" s="154" t="s">
        <v>2598</v>
      </c>
      <c r="I1277" s="154" t="s">
        <v>135</v>
      </c>
      <c r="J1277" s="154" t="s">
        <v>2599</v>
      </c>
      <c r="K1277" s="154" t="s">
        <v>2502</v>
      </c>
      <c r="L1277" s="156" t="s">
        <v>64</v>
      </c>
    </row>
    <row r="1278">
      <c r="A1278" s="153">
        <v>38.0</v>
      </c>
      <c r="B1278" s="154" t="s">
        <v>6</v>
      </c>
      <c r="C1278" s="154" t="s">
        <v>2576</v>
      </c>
      <c r="D1278" s="154" t="s">
        <v>228</v>
      </c>
      <c r="E1278" s="154" t="s">
        <v>136</v>
      </c>
      <c r="F1278" s="154" t="s">
        <v>135</v>
      </c>
      <c r="G1278" s="154" t="s">
        <v>231</v>
      </c>
      <c r="H1278" s="155"/>
      <c r="I1278" s="154" t="s">
        <v>136</v>
      </c>
      <c r="J1278" s="157">
        <v>45693.49791666667</v>
      </c>
      <c r="K1278" s="154" t="s">
        <v>2509</v>
      </c>
      <c r="L1278" s="156" t="s">
        <v>64</v>
      </c>
    </row>
    <row r="1279">
      <c r="A1279" s="153">
        <v>44.0</v>
      </c>
      <c r="B1279" s="154" t="s">
        <v>7</v>
      </c>
      <c r="C1279" s="154" t="s">
        <v>379</v>
      </c>
      <c r="D1279" s="154" t="s">
        <v>202</v>
      </c>
      <c r="E1279" s="154" t="s">
        <v>136</v>
      </c>
      <c r="F1279" s="154" t="s">
        <v>136</v>
      </c>
      <c r="G1279" s="154" t="s">
        <v>606</v>
      </c>
      <c r="H1279" s="155"/>
      <c r="I1279" s="154" t="s">
        <v>135</v>
      </c>
      <c r="J1279" s="157">
        <v>45704.634722222225</v>
      </c>
      <c r="K1279" s="154" t="s">
        <v>2509</v>
      </c>
      <c r="L1279" s="156" t="s">
        <v>64</v>
      </c>
    </row>
    <row r="1280">
      <c r="A1280" s="17">
        <v>5.0</v>
      </c>
      <c r="B1280" s="17" t="s">
        <v>6</v>
      </c>
      <c r="C1280" s="17" t="s">
        <v>486</v>
      </c>
      <c r="D1280" s="17" t="s">
        <v>219</v>
      </c>
      <c r="E1280" s="17" t="s">
        <v>135</v>
      </c>
      <c r="F1280" s="17" t="s">
        <v>136</v>
      </c>
      <c r="G1280" s="17" t="s">
        <v>401</v>
      </c>
      <c r="I1280" s="17" t="s">
        <v>135</v>
      </c>
      <c r="J1280" s="166">
        <v>45690.00486111111</v>
      </c>
      <c r="K1280" s="17" t="s">
        <v>2509</v>
      </c>
      <c r="L1280" s="17" t="s">
        <v>72</v>
      </c>
    </row>
    <row r="1281">
      <c r="A1281" s="17">
        <v>58.0</v>
      </c>
      <c r="B1281" s="17" t="s">
        <v>6</v>
      </c>
      <c r="C1281" s="17" t="s">
        <v>486</v>
      </c>
      <c r="D1281" s="17" t="s">
        <v>214</v>
      </c>
      <c r="E1281" s="17" t="s">
        <v>135</v>
      </c>
      <c r="F1281" s="17" t="s">
        <v>136</v>
      </c>
      <c r="G1281" s="167" t="s">
        <v>251</v>
      </c>
      <c r="I1281" s="17" t="s">
        <v>135</v>
      </c>
      <c r="J1281" s="17" t="s">
        <v>2600</v>
      </c>
      <c r="K1281" s="17" t="s">
        <v>2509</v>
      </c>
      <c r="L1281" s="17" t="s">
        <v>72</v>
      </c>
    </row>
    <row r="1282">
      <c r="A1282" s="17">
        <v>93.0</v>
      </c>
      <c r="B1282" s="17" t="s">
        <v>7</v>
      </c>
      <c r="C1282" s="17" t="s">
        <v>808</v>
      </c>
      <c r="D1282" s="17" t="s">
        <v>153</v>
      </c>
      <c r="E1282" s="17" t="s">
        <v>136</v>
      </c>
      <c r="F1282" s="17" t="s">
        <v>136</v>
      </c>
      <c r="G1282" s="167" t="s">
        <v>137</v>
      </c>
      <c r="H1282" s="17" t="s">
        <v>2601</v>
      </c>
      <c r="I1282" s="17" t="s">
        <v>136</v>
      </c>
      <c r="J1282" s="17" t="s">
        <v>2602</v>
      </c>
      <c r="K1282" s="17" t="s">
        <v>2603</v>
      </c>
      <c r="L1282" s="17" t="s">
        <v>72</v>
      </c>
    </row>
    <row r="1283">
      <c r="A1283" s="17">
        <v>76.0</v>
      </c>
      <c r="B1283" s="17" t="s">
        <v>7</v>
      </c>
      <c r="C1283" s="17" t="s">
        <v>1055</v>
      </c>
      <c r="D1283" s="17" t="s">
        <v>369</v>
      </c>
      <c r="E1283" s="17" t="s">
        <v>135</v>
      </c>
      <c r="F1283" s="17" t="s">
        <v>135</v>
      </c>
      <c r="G1283" s="167" t="s">
        <v>2604</v>
      </c>
      <c r="I1283" s="17" t="s">
        <v>136</v>
      </c>
      <c r="J1283" s="17" t="s">
        <v>2605</v>
      </c>
      <c r="K1283" s="17" t="s">
        <v>2513</v>
      </c>
      <c r="L1283" s="17" t="s">
        <v>72</v>
      </c>
    </row>
    <row r="1284">
      <c r="A1284" s="17">
        <v>72.0</v>
      </c>
      <c r="B1284" s="17" t="s">
        <v>6</v>
      </c>
      <c r="C1284" s="17" t="s">
        <v>167</v>
      </c>
      <c r="D1284" s="17" t="s">
        <v>143</v>
      </c>
      <c r="E1284" s="17" t="s">
        <v>136</v>
      </c>
      <c r="F1284" s="17" t="s">
        <v>136</v>
      </c>
      <c r="G1284" s="17" t="s">
        <v>1789</v>
      </c>
      <c r="I1284" s="17" t="s">
        <v>136</v>
      </c>
      <c r="J1284" s="17" t="s">
        <v>2606</v>
      </c>
      <c r="K1284" s="17" t="s">
        <v>2513</v>
      </c>
      <c r="L1284" s="17" t="s">
        <v>72</v>
      </c>
    </row>
    <row r="1285">
      <c r="A1285" s="17">
        <v>34.0</v>
      </c>
      <c r="B1285" s="17" t="s">
        <v>7</v>
      </c>
      <c r="C1285" s="17" t="s">
        <v>2607</v>
      </c>
      <c r="D1285" s="17" t="s">
        <v>213</v>
      </c>
      <c r="E1285" s="17" t="s">
        <v>135</v>
      </c>
      <c r="F1285" s="17" t="s">
        <v>136</v>
      </c>
      <c r="G1285" s="17" t="s">
        <v>180</v>
      </c>
      <c r="I1285" s="17" t="s">
        <v>136</v>
      </c>
      <c r="J1285" s="17" t="s">
        <v>2608</v>
      </c>
      <c r="K1285" s="17" t="s">
        <v>2513</v>
      </c>
      <c r="L1285" s="17" t="s">
        <v>72</v>
      </c>
    </row>
    <row r="1286">
      <c r="A1286" s="17">
        <v>67.0</v>
      </c>
      <c r="B1286" s="17" t="s">
        <v>6</v>
      </c>
      <c r="C1286" s="17" t="s">
        <v>235</v>
      </c>
      <c r="D1286" s="17" t="s">
        <v>164</v>
      </c>
      <c r="E1286" s="17" t="s">
        <v>136</v>
      </c>
      <c r="F1286" s="17" t="s">
        <v>136</v>
      </c>
      <c r="G1286" s="17" t="s">
        <v>349</v>
      </c>
      <c r="I1286" s="17" t="s">
        <v>135</v>
      </c>
      <c r="J1286" s="17" t="s">
        <v>2609</v>
      </c>
      <c r="K1286" s="17" t="s">
        <v>2509</v>
      </c>
      <c r="L1286" s="17" t="s">
        <v>72</v>
      </c>
    </row>
    <row r="1287">
      <c r="A1287" s="17">
        <v>55.0</v>
      </c>
      <c r="B1287" s="17" t="s">
        <v>7</v>
      </c>
      <c r="C1287" s="17" t="s">
        <v>2610</v>
      </c>
      <c r="D1287" s="17" t="s">
        <v>223</v>
      </c>
      <c r="E1287" s="17" t="s">
        <v>135</v>
      </c>
      <c r="F1287" s="17" t="s">
        <v>136</v>
      </c>
      <c r="G1287" s="17" t="s">
        <v>144</v>
      </c>
      <c r="I1287" s="17" t="s">
        <v>136</v>
      </c>
      <c r="J1287" s="17" t="s">
        <v>2611</v>
      </c>
      <c r="K1287" s="17" t="s">
        <v>2513</v>
      </c>
      <c r="L1287" s="17" t="s">
        <v>72</v>
      </c>
    </row>
    <row r="1288">
      <c r="A1288" s="17">
        <v>61.0</v>
      </c>
      <c r="B1288" s="17" t="s">
        <v>7</v>
      </c>
      <c r="C1288" s="17" t="s">
        <v>315</v>
      </c>
      <c r="D1288" s="17" t="s">
        <v>164</v>
      </c>
      <c r="E1288" s="17" t="s">
        <v>135</v>
      </c>
      <c r="F1288" s="17" t="s">
        <v>135</v>
      </c>
      <c r="G1288" s="17" t="s">
        <v>2612</v>
      </c>
      <c r="I1288" s="17" t="s">
        <v>135</v>
      </c>
      <c r="J1288" s="17" t="s">
        <v>2613</v>
      </c>
      <c r="K1288" s="17" t="s">
        <v>2509</v>
      </c>
      <c r="L1288" s="17" t="s">
        <v>72</v>
      </c>
    </row>
    <row r="1289">
      <c r="A1289" s="17">
        <v>38.0</v>
      </c>
      <c r="B1289" s="17" t="s">
        <v>6</v>
      </c>
      <c r="C1289" s="17" t="s">
        <v>2614</v>
      </c>
      <c r="D1289" s="17" t="s">
        <v>347</v>
      </c>
      <c r="E1289" s="17" t="s">
        <v>136</v>
      </c>
      <c r="F1289" s="17" t="s">
        <v>135</v>
      </c>
      <c r="G1289" s="17" t="s">
        <v>144</v>
      </c>
      <c r="I1289" s="17" t="s">
        <v>136</v>
      </c>
      <c r="J1289" s="17" t="s">
        <v>2615</v>
      </c>
      <c r="K1289" s="17" t="s">
        <v>2509</v>
      </c>
      <c r="L1289" s="17" t="s">
        <v>72</v>
      </c>
    </row>
    <row r="1290">
      <c r="A1290" s="17">
        <v>37.0</v>
      </c>
      <c r="B1290" s="17" t="s">
        <v>6</v>
      </c>
      <c r="C1290" s="17" t="s">
        <v>2616</v>
      </c>
      <c r="D1290" s="17" t="s">
        <v>347</v>
      </c>
      <c r="E1290" s="17" t="s">
        <v>136</v>
      </c>
      <c r="F1290" s="17" t="s">
        <v>135</v>
      </c>
      <c r="G1290" s="17" t="s">
        <v>144</v>
      </c>
      <c r="I1290" s="17" t="s">
        <v>136</v>
      </c>
      <c r="J1290" s="17" t="s">
        <v>2617</v>
      </c>
      <c r="K1290" s="17" t="s">
        <v>185</v>
      </c>
      <c r="L1290" s="17" t="s">
        <v>72</v>
      </c>
    </row>
    <row r="1291">
      <c r="A1291" s="17">
        <v>25.0</v>
      </c>
      <c r="B1291" s="17" t="s">
        <v>7</v>
      </c>
      <c r="C1291" s="17" t="s">
        <v>562</v>
      </c>
      <c r="D1291" s="17" t="s">
        <v>153</v>
      </c>
      <c r="E1291" s="17" t="s">
        <v>136</v>
      </c>
      <c r="F1291" s="17" t="s">
        <v>136</v>
      </c>
      <c r="G1291" s="17" t="s">
        <v>137</v>
      </c>
      <c r="I1291" s="17" t="s">
        <v>135</v>
      </c>
      <c r="J1291" s="17" t="s">
        <v>2618</v>
      </c>
      <c r="K1291" s="17" t="s">
        <v>2509</v>
      </c>
      <c r="L1291" s="17" t="s">
        <v>72</v>
      </c>
    </row>
    <row r="1292">
      <c r="A1292" s="17">
        <v>73.0</v>
      </c>
      <c r="B1292" s="17" t="s">
        <v>7</v>
      </c>
      <c r="C1292" s="17" t="s">
        <v>1087</v>
      </c>
      <c r="D1292" s="17" t="s">
        <v>202</v>
      </c>
      <c r="E1292" s="17" t="s">
        <v>136</v>
      </c>
      <c r="F1292" s="17" t="s">
        <v>136</v>
      </c>
      <c r="G1292" s="167" t="s">
        <v>157</v>
      </c>
      <c r="I1292" s="17" t="s">
        <v>136</v>
      </c>
      <c r="J1292" s="17" t="s">
        <v>2619</v>
      </c>
      <c r="K1292" s="17" t="s">
        <v>2513</v>
      </c>
      <c r="L1292" s="17" t="s">
        <v>72</v>
      </c>
    </row>
    <row r="1293">
      <c r="A1293" s="17">
        <v>19.0</v>
      </c>
      <c r="B1293" s="17" t="s">
        <v>6</v>
      </c>
      <c r="C1293" s="17" t="s">
        <v>200</v>
      </c>
      <c r="D1293" s="17" t="s">
        <v>143</v>
      </c>
      <c r="E1293" s="17" t="s">
        <v>136</v>
      </c>
      <c r="F1293" s="17" t="s">
        <v>136</v>
      </c>
      <c r="G1293" s="17" t="s">
        <v>2620</v>
      </c>
      <c r="I1293" s="17" t="s">
        <v>136</v>
      </c>
      <c r="J1293" s="17" t="s">
        <v>2621</v>
      </c>
      <c r="K1293" s="17" t="s">
        <v>2513</v>
      </c>
      <c r="L1293" s="17" t="s">
        <v>72</v>
      </c>
    </row>
    <row r="1294">
      <c r="A1294" s="17">
        <v>14.0</v>
      </c>
      <c r="B1294" s="17" t="s">
        <v>6</v>
      </c>
      <c r="C1294" s="17" t="s">
        <v>2622</v>
      </c>
      <c r="D1294" s="17" t="s">
        <v>202</v>
      </c>
      <c r="E1294" s="17" t="s">
        <v>136</v>
      </c>
      <c r="F1294" s="17" t="s">
        <v>136</v>
      </c>
      <c r="G1294" s="17" t="s">
        <v>180</v>
      </c>
      <c r="I1294" s="17" t="s">
        <v>135</v>
      </c>
      <c r="J1294" s="17" t="s">
        <v>2623</v>
      </c>
      <c r="K1294" s="17" t="s">
        <v>2603</v>
      </c>
      <c r="L1294" s="17" t="s">
        <v>72</v>
      </c>
    </row>
    <row r="1295">
      <c r="A1295" s="17">
        <v>65.0</v>
      </c>
      <c r="B1295" s="17" t="s">
        <v>6</v>
      </c>
      <c r="C1295" s="17" t="s">
        <v>998</v>
      </c>
      <c r="D1295" s="17" t="s">
        <v>202</v>
      </c>
      <c r="E1295" s="17" t="s">
        <v>136</v>
      </c>
      <c r="F1295" s="17" t="s">
        <v>135</v>
      </c>
      <c r="G1295" s="17" t="s">
        <v>157</v>
      </c>
      <c r="I1295" s="17" t="s">
        <v>136</v>
      </c>
      <c r="J1295" s="17" t="s">
        <v>2624</v>
      </c>
      <c r="K1295" s="17" t="s">
        <v>185</v>
      </c>
      <c r="L1295" s="17" t="s">
        <v>72</v>
      </c>
    </row>
    <row r="1296">
      <c r="A1296" s="17">
        <v>3.0</v>
      </c>
      <c r="B1296" s="17" t="s">
        <v>7</v>
      </c>
      <c r="C1296" s="17" t="s">
        <v>2625</v>
      </c>
      <c r="D1296" s="17" t="s">
        <v>143</v>
      </c>
      <c r="E1296" s="17" t="s">
        <v>135</v>
      </c>
      <c r="F1296" s="17" t="s">
        <v>136</v>
      </c>
      <c r="G1296" s="17" t="s">
        <v>606</v>
      </c>
      <c r="I1296" s="17" t="s">
        <v>135</v>
      </c>
      <c r="J1296" s="166">
        <v>45684.646527777775</v>
      </c>
      <c r="K1296" s="17" t="s">
        <v>2502</v>
      </c>
      <c r="L1296" s="17" t="s">
        <v>72</v>
      </c>
    </row>
    <row r="1297">
      <c r="A1297" s="17">
        <v>91.0</v>
      </c>
      <c r="B1297" s="17" t="s">
        <v>6</v>
      </c>
      <c r="C1297" s="17" t="s">
        <v>1055</v>
      </c>
      <c r="D1297" s="17" t="s">
        <v>369</v>
      </c>
      <c r="E1297" s="17" t="s">
        <v>136</v>
      </c>
      <c r="F1297" s="17" t="s">
        <v>136</v>
      </c>
      <c r="G1297" s="17" t="s">
        <v>349</v>
      </c>
      <c r="H1297" s="167" t="s">
        <v>2626</v>
      </c>
      <c r="I1297" s="17" t="s">
        <v>136</v>
      </c>
      <c r="J1297" s="17" t="s">
        <v>2627</v>
      </c>
      <c r="K1297" s="17" t="s">
        <v>2513</v>
      </c>
      <c r="L1297" s="17" t="s">
        <v>72</v>
      </c>
    </row>
    <row r="1298">
      <c r="A1298" s="17">
        <v>52.0</v>
      </c>
      <c r="B1298" s="17" t="s">
        <v>6</v>
      </c>
      <c r="C1298" s="17" t="s">
        <v>2628</v>
      </c>
      <c r="D1298" s="17" t="s">
        <v>210</v>
      </c>
      <c r="E1298" s="17" t="s">
        <v>136</v>
      </c>
      <c r="F1298" s="17" t="s">
        <v>136</v>
      </c>
      <c r="G1298" s="17" t="s">
        <v>2629</v>
      </c>
      <c r="I1298" s="17" t="s">
        <v>136</v>
      </c>
      <c r="J1298" s="17" t="s">
        <v>2630</v>
      </c>
      <c r="K1298" s="17" t="s">
        <v>185</v>
      </c>
      <c r="L1298" s="17" t="s">
        <v>72</v>
      </c>
    </row>
    <row r="1299">
      <c r="A1299" s="17">
        <v>2.0</v>
      </c>
      <c r="B1299" s="17" t="s">
        <v>7</v>
      </c>
      <c r="C1299" s="17" t="s">
        <v>195</v>
      </c>
      <c r="D1299" s="17" t="s">
        <v>164</v>
      </c>
      <c r="E1299" s="17" t="s">
        <v>135</v>
      </c>
      <c r="F1299" s="17" t="s">
        <v>136</v>
      </c>
      <c r="G1299" s="167" t="s">
        <v>174</v>
      </c>
      <c r="I1299" s="17" t="s">
        <v>136</v>
      </c>
      <c r="J1299" s="166">
        <v>45680.47152777778</v>
      </c>
      <c r="K1299" s="17" t="s">
        <v>2502</v>
      </c>
      <c r="L1299" s="17" t="s">
        <v>72</v>
      </c>
    </row>
    <row r="1300">
      <c r="A1300" s="17">
        <v>9.0</v>
      </c>
      <c r="B1300" s="17" t="s">
        <v>6</v>
      </c>
      <c r="C1300" s="17" t="s">
        <v>167</v>
      </c>
      <c r="D1300" s="17" t="s">
        <v>143</v>
      </c>
      <c r="E1300" s="17" t="s">
        <v>135</v>
      </c>
      <c r="F1300" s="17" t="s">
        <v>136</v>
      </c>
      <c r="G1300" s="17" t="s">
        <v>1295</v>
      </c>
      <c r="I1300" s="17" t="s">
        <v>135</v>
      </c>
      <c r="J1300" s="166">
        <v>45716.649305555555</v>
      </c>
      <c r="K1300" s="17" t="s">
        <v>2513</v>
      </c>
      <c r="L1300" s="17" t="s">
        <v>72</v>
      </c>
    </row>
    <row r="1301">
      <c r="A1301" s="17">
        <v>28.0</v>
      </c>
      <c r="B1301" s="17" t="s">
        <v>7</v>
      </c>
      <c r="C1301" s="17" t="s">
        <v>1398</v>
      </c>
      <c r="D1301" s="17" t="s">
        <v>213</v>
      </c>
      <c r="E1301" s="17" t="s">
        <v>136</v>
      </c>
      <c r="F1301" s="17" t="s">
        <v>136</v>
      </c>
      <c r="G1301" s="17" t="s">
        <v>1175</v>
      </c>
      <c r="I1301" s="17" t="s">
        <v>135</v>
      </c>
      <c r="J1301" s="17" t="s">
        <v>2631</v>
      </c>
      <c r="K1301" s="17" t="s">
        <v>2513</v>
      </c>
      <c r="L1301" s="17" t="s">
        <v>72</v>
      </c>
    </row>
    <row r="1302">
      <c r="A1302" s="17">
        <v>40.0</v>
      </c>
      <c r="B1302" s="17" t="s">
        <v>7</v>
      </c>
      <c r="C1302" s="17" t="s">
        <v>2632</v>
      </c>
      <c r="D1302" s="17" t="s">
        <v>134</v>
      </c>
      <c r="E1302" s="17" t="s">
        <v>136</v>
      </c>
      <c r="F1302" s="17" t="s">
        <v>136</v>
      </c>
      <c r="G1302" s="17" t="s">
        <v>144</v>
      </c>
      <c r="I1302" s="17" t="s">
        <v>136</v>
      </c>
      <c r="J1302" s="17" t="s">
        <v>2633</v>
      </c>
      <c r="K1302" s="17" t="s">
        <v>185</v>
      </c>
      <c r="L1302" s="17" t="s">
        <v>72</v>
      </c>
    </row>
    <row r="1303">
      <c r="A1303" s="17">
        <v>30.0</v>
      </c>
      <c r="B1303" s="17" t="s">
        <v>6</v>
      </c>
      <c r="C1303" s="17" t="s">
        <v>2634</v>
      </c>
      <c r="D1303" s="17" t="s">
        <v>134</v>
      </c>
      <c r="E1303" s="17" t="s">
        <v>136</v>
      </c>
      <c r="F1303" s="17" t="s">
        <v>136</v>
      </c>
      <c r="G1303" s="17" t="s">
        <v>180</v>
      </c>
      <c r="I1303" s="17" t="s">
        <v>136</v>
      </c>
      <c r="J1303" s="17" t="s">
        <v>2635</v>
      </c>
      <c r="K1303" s="17" t="s">
        <v>2603</v>
      </c>
      <c r="L1303" s="17" t="s">
        <v>72</v>
      </c>
    </row>
    <row r="1304">
      <c r="A1304" s="17">
        <v>26.0</v>
      </c>
      <c r="B1304" s="17" t="s">
        <v>6</v>
      </c>
      <c r="C1304" s="17" t="s">
        <v>1565</v>
      </c>
      <c r="D1304" s="17" t="s">
        <v>296</v>
      </c>
      <c r="E1304" s="17" t="s">
        <v>136</v>
      </c>
      <c r="F1304" s="17" t="s">
        <v>136</v>
      </c>
      <c r="G1304" s="17" t="s">
        <v>180</v>
      </c>
      <c r="H1304" s="17" t="s">
        <v>2636</v>
      </c>
      <c r="I1304" s="17" t="s">
        <v>135</v>
      </c>
      <c r="J1304" s="17" t="s">
        <v>2637</v>
      </c>
      <c r="K1304" s="17" t="s">
        <v>2509</v>
      </c>
      <c r="L1304" s="17" t="s">
        <v>72</v>
      </c>
    </row>
    <row r="1305">
      <c r="A1305" s="17">
        <v>83.0</v>
      </c>
      <c r="B1305" s="17" t="s">
        <v>7</v>
      </c>
      <c r="C1305" s="17" t="s">
        <v>2638</v>
      </c>
      <c r="D1305" s="17" t="s">
        <v>153</v>
      </c>
      <c r="E1305" s="17" t="s">
        <v>135</v>
      </c>
      <c r="F1305" s="17" t="s">
        <v>136</v>
      </c>
      <c r="G1305" s="17" t="s">
        <v>2639</v>
      </c>
      <c r="I1305" s="17" t="s">
        <v>135</v>
      </c>
      <c r="J1305" s="17" t="s">
        <v>2640</v>
      </c>
      <c r="K1305" s="17" t="s">
        <v>2509</v>
      </c>
      <c r="L1305" s="17" t="s">
        <v>72</v>
      </c>
    </row>
    <row r="1306">
      <c r="A1306" s="17">
        <v>80.0</v>
      </c>
      <c r="B1306" s="17" t="s">
        <v>6</v>
      </c>
      <c r="C1306" s="17" t="s">
        <v>1055</v>
      </c>
      <c r="D1306" s="17" t="s">
        <v>369</v>
      </c>
      <c r="E1306" s="17" t="s">
        <v>135</v>
      </c>
      <c r="F1306" s="17" t="s">
        <v>136</v>
      </c>
      <c r="G1306" s="17" t="s">
        <v>2641</v>
      </c>
      <c r="I1306" s="17" t="s">
        <v>136</v>
      </c>
      <c r="J1306" s="17" t="s">
        <v>2642</v>
      </c>
      <c r="K1306" s="17" t="s">
        <v>2513</v>
      </c>
      <c r="L1306" s="17" t="s">
        <v>72</v>
      </c>
    </row>
    <row r="1307">
      <c r="A1307" s="17">
        <v>85.0</v>
      </c>
      <c r="B1307" s="17" t="s">
        <v>7</v>
      </c>
      <c r="C1307" s="17" t="s">
        <v>2643</v>
      </c>
      <c r="D1307" s="17" t="s">
        <v>164</v>
      </c>
      <c r="E1307" s="17" t="s">
        <v>136</v>
      </c>
      <c r="F1307" s="17" t="s">
        <v>136</v>
      </c>
      <c r="G1307" s="17" t="s">
        <v>1888</v>
      </c>
      <c r="I1307" s="17" t="s">
        <v>135</v>
      </c>
      <c r="J1307" s="17" t="s">
        <v>2644</v>
      </c>
      <c r="K1307" s="17" t="s">
        <v>2509</v>
      </c>
      <c r="L1307" s="17" t="s">
        <v>72</v>
      </c>
    </row>
    <row r="1308">
      <c r="A1308" s="17">
        <v>59.0</v>
      </c>
      <c r="B1308" s="17" t="s">
        <v>6</v>
      </c>
      <c r="C1308" s="17" t="s">
        <v>2645</v>
      </c>
      <c r="D1308" s="17" t="s">
        <v>219</v>
      </c>
      <c r="E1308" s="17" t="s">
        <v>135</v>
      </c>
      <c r="F1308" s="17" t="s">
        <v>136</v>
      </c>
      <c r="G1308" s="17" t="s">
        <v>2083</v>
      </c>
      <c r="I1308" s="17" t="s">
        <v>135</v>
      </c>
      <c r="J1308" s="17" t="s">
        <v>2646</v>
      </c>
      <c r="K1308" s="17" t="s">
        <v>2509</v>
      </c>
      <c r="L1308" s="17" t="s">
        <v>72</v>
      </c>
    </row>
    <row r="1309">
      <c r="A1309" s="17">
        <v>20.0</v>
      </c>
      <c r="B1309" s="17" t="s">
        <v>7</v>
      </c>
      <c r="C1309" s="17" t="s">
        <v>1398</v>
      </c>
      <c r="D1309" s="17" t="s">
        <v>213</v>
      </c>
      <c r="E1309" s="17" t="s">
        <v>135</v>
      </c>
      <c r="F1309" s="17" t="s">
        <v>136</v>
      </c>
      <c r="G1309" s="17" t="s">
        <v>221</v>
      </c>
      <c r="H1309" s="17" t="s">
        <v>2647</v>
      </c>
      <c r="I1309" s="17" t="s">
        <v>135</v>
      </c>
      <c r="J1309" s="17" t="s">
        <v>2648</v>
      </c>
      <c r="K1309" s="17" t="s">
        <v>2509</v>
      </c>
      <c r="L1309" s="17" t="s">
        <v>72</v>
      </c>
    </row>
    <row r="1310">
      <c r="A1310" s="17">
        <v>62.0</v>
      </c>
      <c r="B1310" s="17" t="s">
        <v>7</v>
      </c>
      <c r="C1310" s="17" t="s">
        <v>1087</v>
      </c>
      <c r="D1310" s="17" t="s">
        <v>202</v>
      </c>
      <c r="E1310" s="17" t="s">
        <v>136</v>
      </c>
      <c r="F1310" s="17" t="s">
        <v>136</v>
      </c>
      <c r="G1310" s="17" t="s">
        <v>180</v>
      </c>
      <c r="I1310" s="17" t="s">
        <v>135</v>
      </c>
      <c r="J1310" s="17" t="s">
        <v>2649</v>
      </c>
      <c r="K1310" s="17" t="s">
        <v>2509</v>
      </c>
      <c r="L1310" s="17" t="s">
        <v>72</v>
      </c>
    </row>
    <row r="1311">
      <c r="A1311" s="17">
        <v>60.0</v>
      </c>
      <c r="B1311" s="17" t="s">
        <v>6</v>
      </c>
      <c r="C1311" s="17" t="s">
        <v>342</v>
      </c>
      <c r="D1311" s="17" t="s">
        <v>218</v>
      </c>
      <c r="E1311" s="17" t="s">
        <v>136</v>
      </c>
      <c r="F1311" s="17" t="s">
        <v>136</v>
      </c>
      <c r="G1311" s="17" t="s">
        <v>650</v>
      </c>
      <c r="I1311" s="17" t="s">
        <v>135</v>
      </c>
      <c r="J1311" s="17" t="s">
        <v>2650</v>
      </c>
      <c r="K1311" s="17" t="s">
        <v>2509</v>
      </c>
      <c r="L1311" s="17" t="s">
        <v>72</v>
      </c>
    </row>
    <row r="1312">
      <c r="A1312" s="17">
        <v>75.0</v>
      </c>
      <c r="B1312" s="17" t="s">
        <v>7</v>
      </c>
      <c r="C1312" s="17" t="s">
        <v>1055</v>
      </c>
      <c r="D1312" s="17" t="s">
        <v>369</v>
      </c>
      <c r="E1312" s="17" t="s">
        <v>135</v>
      </c>
      <c r="F1312" s="17" t="s">
        <v>136</v>
      </c>
      <c r="G1312" s="17" t="s">
        <v>2641</v>
      </c>
      <c r="I1312" s="17" t="s">
        <v>136</v>
      </c>
      <c r="J1312" s="17" t="s">
        <v>2651</v>
      </c>
      <c r="K1312" s="17" t="s">
        <v>2513</v>
      </c>
      <c r="L1312" s="17" t="s">
        <v>72</v>
      </c>
    </row>
    <row r="1313">
      <c r="A1313" s="17">
        <v>16.0</v>
      </c>
      <c r="B1313" s="17" t="s">
        <v>6</v>
      </c>
      <c r="C1313" s="17" t="s">
        <v>2622</v>
      </c>
      <c r="D1313" s="17" t="s">
        <v>202</v>
      </c>
      <c r="E1313" s="17" t="s">
        <v>136</v>
      </c>
      <c r="F1313" s="17" t="s">
        <v>136</v>
      </c>
      <c r="G1313" s="17" t="s">
        <v>180</v>
      </c>
      <c r="I1313" s="17" t="s">
        <v>136</v>
      </c>
      <c r="J1313" s="17" t="s">
        <v>2652</v>
      </c>
      <c r="K1313" s="17" t="s">
        <v>2513</v>
      </c>
      <c r="L1313" s="17" t="s">
        <v>72</v>
      </c>
    </row>
    <row r="1314">
      <c r="A1314" s="17">
        <v>86.0</v>
      </c>
      <c r="B1314" s="17" t="s">
        <v>7</v>
      </c>
      <c r="C1314" s="17" t="s">
        <v>2653</v>
      </c>
      <c r="D1314" s="17" t="s">
        <v>193</v>
      </c>
      <c r="E1314" s="17" t="s">
        <v>136</v>
      </c>
      <c r="F1314" s="17" t="s">
        <v>136</v>
      </c>
      <c r="G1314" s="17" t="s">
        <v>144</v>
      </c>
      <c r="I1314" s="17" t="s">
        <v>136</v>
      </c>
      <c r="J1314" s="17" t="s">
        <v>2654</v>
      </c>
      <c r="K1314" s="17" t="s">
        <v>2513</v>
      </c>
      <c r="L1314" s="17" t="s">
        <v>72</v>
      </c>
    </row>
    <row r="1315">
      <c r="A1315" s="17">
        <v>87.0</v>
      </c>
      <c r="B1315" s="17" t="s">
        <v>7</v>
      </c>
      <c r="C1315" s="17" t="s">
        <v>2653</v>
      </c>
      <c r="D1315" s="17" t="s">
        <v>193</v>
      </c>
      <c r="E1315" s="17" t="s">
        <v>136</v>
      </c>
      <c r="F1315" s="17" t="s">
        <v>136</v>
      </c>
      <c r="G1315" s="17" t="s">
        <v>144</v>
      </c>
      <c r="I1315" s="17" t="s">
        <v>136</v>
      </c>
      <c r="J1315" s="17" t="s">
        <v>2655</v>
      </c>
      <c r="K1315" s="17" t="s">
        <v>2513</v>
      </c>
      <c r="L1315" s="17" t="s">
        <v>72</v>
      </c>
    </row>
    <row r="1316">
      <c r="A1316" s="17">
        <v>89.0</v>
      </c>
      <c r="B1316" s="17" t="s">
        <v>7</v>
      </c>
      <c r="C1316" s="17" t="s">
        <v>2097</v>
      </c>
      <c r="D1316" s="17" t="s">
        <v>143</v>
      </c>
      <c r="E1316" s="17" t="s">
        <v>135</v>
      </c>
      <c r="F1316" s="17" t="s">
        <v>136</v>
      </c>
      <c r="G1316" s="17" t="s">
        <v>363</v>
      </c>
      <c r="H1316" s="167" t="s">
        <v>2656</v>
      </c>
      <c r="I1316" s="17" t="s">
        <v>136</v>
      </c>
      <c r="J1316" s="17" t="s">
        <v>2657</v>
      </c>
      <c r="K1316" s="17" t="s">
        <v>185</v>
      </c>
      <c r="L1316" s="17" t="s">
        <v>72</v>
      </c>
    </row>
    <row r="1317">
      <c r="A1317" s="17">
        <v>74.0</v>
      </c>
      <c r="B1317" s="17" t="s">
        <v>6</v>
      </c>
      <c r="C1317" s="17" t="s">
        <v>2658</v>
      </c>
      <c r="D1317" s="17" t="s">
        <v>164</v>
      </c>
      <c r="E1317" s="17" t="s">
        <v>135</v>
      </c>
      <c r="F1317" s="17" t="s">
        <v>136</v>
      </c>
      <c r="G1317" s="17" t="s">
        <v>150</v>
      </c>
      <c r="H1317" s="17" t="s">
        <v>2659</v>
      </c>
      <c r="I1317" s="17" t="s">
        <v>136</v>
      </c>
      <c r="J1317" s="17" t="s">
        <v>2660</v>
      </c>
      <c r="K1317" s="17" t="s">
        <v>185</v>
      </c>
      <c r="L1317" s="17" t="s">
        <v>72</v>
      </c>
    </row>
    <row r="1318">
      <c r="A1318" s="17">
        <v>27.0</v>
      </c>
      <c r="B1318" s="17" t="s">
        <v>7</v>
      </c>
      <c r="C1318" s="17" t="s">
        <v>2634</v>
      </c>
      <c r="D1318" s="17" t="s">
        <v>134</v>
      </c>
      <c r="E1318" s="17" t="s">
        <v>136</v>
      </c>
      <c r="F1318" s="17" t="s">
        <v>136</v>
      </c>
      <c r="G1318" s="17" t="s">
        <v>349</v>
      </c>
      <c r="I1318" s="17" t="s">
        <v>135</v>
      </c>
      <c r="J1318" s="17" t="s">
        <v>2637</v>
      </c>
      <c r="K1318" s="17" t="s">
        <v>2509</v>
      </c>
      <c r="L1318" s="17" t="s">
        <v>72</v>
      </c>
    </row>
    <row r="1319">
      <c r="A1319" s="17">
        <v>32.0</v>
      </c>
      <c r="B1319" s="17" t="s">
        <v>7</v>
      </c>
      <c r="C1319" s="17" t="s">
        <v>2653</v>
      </c>
      <c r="D1319" s="17" t="s">
        <v>193</v>
      </c>
      <c r="E1319" s="17" t="s">
        <v>136</v>
      </c>
      <c r="F1319" s="17" t="s">
        <v>136</v>
      </c>
      <c r="G1319" s="17" t="s">
        <v>144</v>
      </c>
      <c r="I1319" s="17" t="s">
        <v>136</v>
      </c>
      <c r="J1319" s="17" t="s">
        <v>2661</v>
      </c>
      <c r="K1319" s="17" t="s">
        <v>2513</v>
      </c>
      <c r="L1319" s="17" t="s">
        <v>72</v>
      </c>
    </row>
    <row r="1320">
      <c r="A1320" s="17">
        <v>88.0</v>
      </c>
      <c r="B1320" s="17" t="s">
        <v>6</v>
      </c>
      <c r="C1320" s="17" t="s">
        <v>2653</v>
      </c>
      <c r="D1320" s="17" t="s">
        <v>193</v>
      </c>
      <c r="E1320" s="17" t="s">
        <v>136</v>
      </c>
      <c r="F1320" s="17" t="s">
        <v>136</v>
      </c>
      <c r="G1320" s="17" t="s">
        <v>174</v>
      </c>
      <c r="I1320" s="17" t="s">
        <v>136</v>
      </c>
      <c r="J1320" s="17" t="s">
        <v>2662</v>
      </c>
      <c r="K1320" s="17" t="s">
        <v>2513</v>
      </c>
      <c r="L1320" s="17" t="s">
        <v>72</v>
      </c>
    </row>
    <row r="1321">
      <c r="A1321" s="17">
        <v>21.0</v>
      </c>
      <c r="B1321" s="17" t="s">
        <v>6</v>
      </c>
      <c r="C1321" s="17" t="s">
        <v>2663</v>
      </c>
      <c r="D1321" s="17" t="s">
        <v>258</v>
      </c>
      <c r="E1321" s="17" t="s">
        <v>136</v>
      </c>
      <c r="F1321" s="17" t="s">
        <v>135</v>
      </c>
      <c r="G1321" s="17" t="s">
        <v>292</v>
      </c>
      <c r="I1321" s="17" t="s">
        <v>136</v>
      </c>
      <c r="J1321" s="17" t="s">
        <v>2664</v>
      </c>
      <c r="K1321" s="17" t="s">
        <v>185</v>
      </c>
      <c r="L1321" s="17" t="s">
        <v>72</v>
      </c>
    </row>
    <row r="1322">
      <c r="A1322" s="17">
        <v>47.0</v>
      </c>
      <c r="B1322" s="17" t="s">
        <v>6</v>
      </c>
      <c r="C1322" s="17" t="s">
        <v>211</v>
      </c>
      <c r="D1322" s="17" t="s">
        <v>176</v>
      </c>
      <c r="E1322" s="17" t="s">
        <v>136</v>
      </c>
      <c r="F1322" s="17" t="s">
        <v>136</v>
      </c>
      <c r="G1322" s="17" t="s">
        <v>606</v>
      </c>
      <c r="I1322" s="17" t="s">
        <v>135</v>
      </c>
      <c r="J1322" s="17" t="s">
        <v>2665</v>
      </c>
      <c r="K1322" s="17" t="s">
        <v>2502</v>
      </c>
      <c r="L1322" s="17" t="s">
        <v>72</v>
      </c>
    </row>
    <row r="1323">
      <c r="A1323" s="17">
        <v>63.0</v>
      </c>
      <c r="B1323" s="17" t="s">
        <v>6</v>
      </c>
      <c r="C1323" s="17" t="s">
        <v>1282</v>
      </c>
      <c r="D1323" s="17" t="s">
        <v>134</v>
      </c>
      <c r="E1323" s="17" t="s">
        <v>135</v>
      </c>
      <c r="F1323" s="17" t="s">
        <v>136</v>
      </c>
      <c r="G1323" s="17" t="s">
        <v>137</v>
      </c>
      <c r="I1323" s="17" t="s">
        <v>135</v>
      </c>
      <c r="J1323" s="17" t="s">
        <v>2666</v>
      </c>
      <c r="K1323" s="17" t="s">
        <v>2513</v>
      </c>
      <c r="L1323" s="17" t="s">
        <v>72</v>
      </c>
    </row>
    <row r="1324">
      <c r="A1324" s="17">
        <v>90.0</v>
      </c>
      <c r="B1324" s="17" t="s">
        <v>6</v>
      </c>
      <c r="C1324" s="17" t="s">
        <v>1282</v>
      </c>
      <c r="D1324" s="17" t="s">
        <v>134</v>
      </c>
      <c r="E1324" s="17" t="s">
        <v>135</v>
      </c>
      <c r="F1324" s="17" t="s">
        <v>136</v>
      </c>
      <c r="G1324" s="17" t="s">
        <v>137</v>
      </c>
      <c r="I1324" s="17" t="s">
        <v>135</v>
      </c>
      <c r="J1324" s="17" t="s">
        <v>2667</v>
      </c>
      <c r="K1324" s="17" t="s">
        <v>2513</v>
      </c>
      <c r="L1324" s="17" t="s">
        <v>72</v>
      </c>
    </row>
    <row r="1325">
      <c r="A1325" s="17">
        <v>54.0</v>
      </c>
      <c r="B1325" s="17" t="s">
        <v>6</v>
      </c>
      <c r="C1325" s="17" t="s">
        <v>2668</v>
      </c>
      <c r="D1325" s="17" t="s">
        <v>290</v>
      </c>
      <c r="E1325" s="17" t="s">
        <v>136</v>
      </c>
      <c r="F1325" s="17" t="s">
        <v>136</v>
      </c>
      <c r="G1325" s="17" t="s">
        <v>1042</v>
      </c>
      <c r="I1325" s="17" t="s">
        <v>136</v>
      </c>
      <c r="J1325" s="17" t="s">
        <v>2669</v>
      </c>
      <c r="K1325" s="17" t="s">
        <v>185</v>
      </c>
      <c r="L1325" s="17" t="s">
        <v>72</v>
      </c>
    </row>
    <row r="1326">
      <c r="A1326" s="17">
        <v>81.0</v>
      </c>
      <c r="B1326" s="17" t="s">
        <v>6</v>
      </c>
      <c r="C1326" s="17" t="s">
        <v>1055</v>
      </c>
      <c r="D1326" s="17" t="s">
        <v>369</v>
      </c>
      <c r="E1326" s="17" t="s">
        <v>135</v>
      </c>
      <c r="F1326" s="17" t="s">
        <v>136</v>
      </c>
      <c r="G1326" s="17" t="s">
        <v>2670</v>
      </c>
      <c r="I1326" s="17" t="s">
        <v>136</v>
      </c>
      <c r="J1326" s="17" t="s">
        <v>2671</v>
      </c>
      <c r="K1326" s="17" t="s">
        <v>2502</v>
      </c>
      <c r="L1326" s="17" t="s">
        <v>72</v>
      </c>
    </row>
    <row r="1327">
      <c r="A1327" s="17">
        <v>94.0</v>
      </c>
      <c r="B1327" s="17" t="s">
        <v>7</v>
      </c>
      <c r="C1327" s="17" t="s">
        <v>2653</v>
      </c>
      <c r="D1327" s="17" t="s">
        <v>193</v>
      </c>
      <c r="E1327" s="17" t="s">
        <v>135</v>
      </c>
      <c r="F1327" s="17" t="s">
        <v>136</v>
      </c>
      <c r="G1327" s="17" t="s">
        <v>144</v>
      </c>
      <c r="I1327" s="17" t="s">
        <v>135</v>
      </c>
      <c r="J1327" s="17" t="s">
        <v>2602</v>
      </c>
      <c r="K1327" s="17" t="s">
        <v>2513</v>
      </c>
      <c r="L1327" s="17" t="s">
        <v>72</v>
      </c>
    </row>
    <row r="1328">
      <c r="A1328" s="17">
        <v>4.0</v>
      </c>
      <c r="B1328" s="17" t="s">
        <v>6</v>
      </c>
      <c r="C1328" s="17" t="s">
        <v>1931</v>
      </c>
      <c r="D1328" s="17" t="s">
        <v>352</v>
      </c>
      <c r="E1328" s="17" t="s">
        <v>135</v>
      </c>
      <c r="F1328" s="17" t="s">
        <v>136</v>
      </c>
      <c r="G1328" s="17" t="s">
        <v>2672</v>
      </c>
      <c r="H1328" s="17" t="s">
        <v>2673</v>
      </c>
      <c r="I1328" s="17" t="s">
        <v>135</v>
      </c>
      <c r="J1328" s="166">
        <v>45687.52916666667</v>
      </c>
      <c r="K1328" s="17" t="s">
        <v>2502</v>
      </c>
      <c r="L1328" s="17" t="s">
        <v>72</v>
      </c>
    </row>
    <row r="1329">
      <c r="A1329" s="17">
        <v>43.0</v>
      </c>
      <c r="B1329" s="17" t="s">
        <v>6</v>
      </c>
      <c r="C1329" s="17" t="s">
        <v>2674</v>
      </c>
      <c r="D1329" s="17" t="s">
        <v>203</v>
      </c>
      <c r="E1329" s="17" t="s">
        <v>135</v>
      </c>
      <c r="F1329" s="17" t="s">
        <v>136</v>
      </c>
      <c r="G1329" s="17" t="s">
        <v>1001</v>
      </c>
      <c r="I1329" s="17" t="s">
        <v>136</v>
      </c>
      <c r="J1329" s="17" t="s">
        <v>2675</v>
      </c>
      <c r="K1329" s="17" t="s">
        <v>2509</v>
      </c>
      <c r="L1329" s="17" t="s">
        <v>72</v>
      </c>
    </row>
    <row r="1330">
      <c r="A1330" s="17">
        <v>42.0</v>
      </c>
      <c r="B1330" s="17" t="s">
        <v>7</v>
      </c>
      <c r="C1330" s="17" t="s">
        <v>2676</v>
      </c>
      <c r="D1330" s="17" t="s">
        <v>238</v>
      </c>
      <c r="E1330" s="17" t="s">
        <v>136</v>
      </c>
      <c r="F1330" s="17" t="s">
        <v>136</v>
      </c>
      <c r="G1330" s="17" t="s">
        <v>1345</v>
      </c>
      <c r="I1330" s="17" t="s">
        <v>136</v>
      </c>
      <c r="J1330" s="17" t="s">
        <v>2677</v>
      </c>
      <c r="K1330" s="17" t="s">
        <v>2509</v>
      </c>
      <c r="L1330" s="17" t="s">
        <v>72</v>
      </c>
    </row>
    <row r="1331">
      <c r="A1331" s="17">
        <v>68.0</v>
      </c>
      <c r="B1331" s="17" t="s">
        <v>6</v>
      </c>
      <c r="C1331" s="17" t="s">
        <v>1698</v>
      </c>
      <c r="D1331" s="17" t="s">
        <v>202</v>
      </c>
      <c r="E1331" s="17" t="s">
        <v>136</v>
      </c>
      <c r="F1331" s="17" t="s">
        <v>136</v>
      </c>
      <c r="G1331" s="17" t="s">
        <v>157</v>
      </c>
      <c r="H1331" s="17" t="s">
        <v>2678</v>
      </c>
      <c r="I1331" s="17" t="s">
        <v>136</v>
      </c>
      <c r="J1331" s="17" t="s">
        <v>2679</v>
      </c>
      <c r="K1331" s="17" t="s">
        <v>2513</v>
      </c>
      <c r="L1331" s="17" t="s">
        <v>72</v>
      </c>
    </row>
    <row r="1332">
      <c r="A1332" s="17">
        <v>7.0</v>
      </c>
      <c r="B1332" s="17" t="s">
        <v>6</v>
      </c>
      <c r="C1332" s="17" t="s">
        <v>142</v>
      </c>
      <c r="D1332" s="17" t="s">
        <v>143</v>
      </c>
      <c r="E1332" s="17" t="s">
        <v>136</v>
      </c>
      <c r="F1332" s="17" t="s">
        <v>136</v>
      </c>
      <c r="G1332" s="17" t="s">
        <v>144</v>
      </c>
      <c r="I1332" s="17" t="s">
        <v>135</v>
      </c>
      <c r="J1332" s="166">
        <v>45692.51180555556</v>
      </c>
      <c r="K1332" s="17" t="s">
        <v>2603</v>
      </c>
      <c r="L1332" s="17" t="s">
        <v>72</v>
      </c>
    </row>
    <row r="1333">
      <c r="A1333" s="17">
        <v>51.0</v>
      </c>
      <c r="B1333" s="17" t="s">
        <v>6</v>
      </c>
      <c r="C1333" s="17" t="s">
        <v>2680</v>
      </c>
      <c r="D1333" s="17" t="s">
        <v>234</v>
      </c>
      <c r="E1333" s="17" t="s">
        <v>135</v>
      </c>
      <c r="F1333" s="17" t="s">
        <v>135</v>
      </c>
      <c r="G1333" s="17" t="s">
        <v>363</v>
      </c>
      <c r="H1333" s="17" t="s">
        <v>2681</v>
      </c>
      <c r="I1333" s="17" t="s">
        <v>136</v>
      </c>
      <c r="J1333" s="17" t="s">
        <v>2682</v>
      </c>
      <c r="K1333" s="17" t="s">
        <v>2603</v>
      </c>
      <c r="L1333" s="17" t="s">
        <v>72</v>
      </c>
    </row>
    <row r="1334">
      <c r="A1334" s="17">
        <v>39.0</v>
      </c>
      <c r="B1334" s="17" t="s">
        <v>6</v>
      </c>
      <c r="C1334" s="17" t="s">
        <v>2653</v>
      </c>
      <c r="D1334" s="17" t="s">
        <v>193</v>
      </c>
      <c r="E1334" s="17" t="s">
        <v>136</v>
      </c>
      <c r="F1334" s="17" t="s">
        <v>136</v>
      </c>
      <c r="G1334" s="17" t="s">
        <v>144</v>
      </c>
      <c r="I1334" s="17" t="s">
        <v>136</v>
      </c>
      <c r="J1334" s="17" t="s">
        <v>2633</v>
      </c>
      <c r="K1334" s="17" t="s">
        <v>2513</v>
      </c>
      <c r="L1334" s="17" t="s">
        <v>72</v>
      </c>
    </row>
    <row r="1335">
      <c r="A1335" s="17">
        <v>95.0</v>
      </c>
      <c r="B1335" s="17" t="s">
        <v>6</v>
      </c>
      <c r="C1335" s="17" t="s">
        <v>366</v>
      </c>
      <c r="D1335" s="17" t="s">
        <v>218</v>
      </c>
      <c r="E1335" s="17" t="s">
        <v>136</v>
      </c>
      <c r="F1335" s="17" t="s">
        <v>136</v>
      </c>
      <c r="G1335" s="17" t="s">
        <v>320</v>
      </c>
      <c r="I1335" s="17" t="s">
        <v>135</v>
      </c>
      <c r="J1335" s="17" t="s">
        <v>2683</v>
      </c>
      <c r="K1335" s="17" t="s">
        <v>2509</v>
      </c>
      <c r="L1335" s="17" t="s">
        <v>72</v>
      </c>
    </row>
    <row r="1336">
      <c r="A1336" s="17">
        <v>23.0</v>
      </c>
      <c r="B1336" s="17" t="s">
        <v>7</v>
      </c>
      <c r="C1336" s="17" t="s">
        <v>2684</v>
      </c>
      <c r="D1336" s="17" t="s">
        <v>143</v>
      </c>
      <c r="E1336" s="17" t="s">
        <v>136</v>
      </c>
      <c r="F1336" s="17" t="s">
        <v>136</v>
      </c>
      <c r="G1336" s="17" t="s">
        <v>2685</v>
      </c>
      <c r="I1336" s="17" t="s">
        <v>136</v>
      </c>
      <c r="J1336" s="17" t="s">
        <v>2686</v>
      </c>
      <c r="K1336" s="17" t="s">
        <v>2513</v>
      </c>
      <c r="L1336" s="17" t="s">
        <v>72</v>
      </c>
    </row>
    <row r="1337">
      <c r="A1337" s="17">
        <v>11.0</v>
      </c>
      <c r="B1337" s="17" t="s">
        <v>6</v>
      </c>
      <c r="C1337" s="17" t="s">
        <v>2687</v>
      </c>
      <c r="D1337" s="17" t="s">
        <v>263</v>
      </c>
      <c r="E1337" s="17" t="s">
        <v>136</v>
      </c>
      <c r="F1337" s="17" t="s">
        <v>136</v>
      </c>
      <c r="G1337" s="17" t="s">
        <v>2688</v>
      </c>
      <c r="I1337" s="17" t="s">
        <v>136</v>
      </c>
      <c r="J1337" s="17" t="s">
        <v>2689</v>
      </c>
      <c r="K1337" s="17" t="s">
        <v>185</v>
      </c>
      <c r="L1337" s="17" t="s">
        <v>72</v>
      </c>
    </row>
    <row r="1338">
      <c r="A1338" s="17">
        <v>13.0</v>
      </c>
      <c r="B1338" s="17" t="s">
        <v>6</v>
      </c>
      <c r="C1338" s="17" t="s">
        <v>2690</v>
      </c>
      <c r="D1338" s="17" t="s">
        <v>290</v>
      </c>
      <c r="E1338" s="17" t="s">
        <v>136</v>
      </c>
      <c r="F1338" s="17" t="s">
        <v>136</v>
      </c>
      <c r="G1338" s="17" t="s">
        <v>2691</v>
      </c>
      <c r="I1338" s="17" t="s">
        <v>136</v>
      </c>
      <c r="J1338" s="17" t="s">
        <v>2692</v>
      </c>
      <c r="K1338" s="17" t="s">
        <v>2509</v>
      </c>
      <c r="L1338" s="17" t="s">
        <v>72</v>
      </c>
    </row>
    <row r="1339">
      <c r="A1339" s="17">
        <v>46.0</v>
      </c>
      <c r="B1339" s="17" t="s">
        <v>6</v>
      </c>
      <c r="C1339" s="17" t="s">
        <v>2693</v>
      </c>
      <c r="D1339" s="17" t="s">
        <v>263</v>
      </c>
      <c r="E1339" s="17" t="s">
        <v>136</v>
      </c>
      <c r="F1339" s="17" t="s">
        <v>136</v>
      </c>
      <c r="G1339" s="17" t="s">
        <v>2694</v>
      </c>
      <c r="H1339" s="17" t="s">
        <v>2695</v>
      </c>
      <c r="I1339" s="17" t="s">
        <v>136</v>
      </c>
      <c r="J1339" s="17" t="s">
        <v>2696</v>
      </c>
      <c r="K1339" s="17" t="s">
        <v>2513</v>
      </c>
      <c r="L1339" s="17" t="s">
        <v>72</v>
      </c>
    </row>
    <row r="1340">
      <c r="A1340" s="17">
        <v>33.0</v>
      </c>
      <c r="B1340" s="17" t="s">
        <v>6</v>
      </c>
      <c r="C1340" s="17" t="s">
        <v>2697</v>
      </c>
      <c r="D1340" s="17" t="s">
        <v>134</v>
      </c>
      <c r="E1340" s="17" t="s">
        <v>136</v>
      </c>
      <c r="F1340" s="17" t="s">
        <v>136</v>
      </c>
      <c r="G1340" s="17" t="s">
        <v>606</v>
      </c>
      <c r="I1340" s="17" t="s">
        <v>136</v>
      </c>
      <c r="J1340" s="17" t="s">
        <v>2698</v>
      </c>
      <c r="K1340" s="17" t="s">
        <v>2513</v>
      </c>
      <c r="L1340" s="17" t="s">
        <v>72</v>
      </c>
    </row>
    <row r="1341">
      <c r="A1341" s="17">
        <v>6.0</v>
      </c>
      <c r="B1341" s="17" t="s">
        <v>6</v>
      </c>
      <c r="C1341" s="17" t="s">
        <v>1949</v>
      </c>
      <c r="D1341" s="17" t="s">
        <v>218</v>
      </c>
      <c r="E1341" s="17" t="s">
        <v>136</v>
      </c>
      <c r="F1341" s="17" t="s">
        <v>136</v>
      </c>
      <c r="G1341" s="17" t="s">
        <v>185</v>
      </c>
      <c r="H1341" s="167" t="s">
        <v>1161</v>
      </c>
      <c r="I1341" s="17" t="s">
        <v>135</v>
      </c>
      <c r="J1341" s="166">
        <v>45691.39513888889</v>
      </c>
      <c r="K1341" s="17" t="s">
        <v>2509</v>
      </c>
      <c r="L1341" s="17" t="s">
        <v>72</v>
      </c>
    </row>
    <row r="1342">
      <c r="A1342" s="17">
        <v>36.0</v>
      </c>
      <c r="B1342" s="17" t="s">
        <v>6</v>
      </c>
      <c r="C1342" s="17" t="s">
        <v>2699</v>
      </c>
      <c r="D1342" s="17" t="s">
        <v>233</v>
      </c>
      <c r="E1342" s="17" t="s">
        <v>136</v>
      </c>
      <c r="F1342" s="17" t="s">
        <v>136</v>
      </c>
      <c r="G1342" s="17" t="s">
        <v>460</v>
      </c>
      <c r="I1342" s="17" t="s">
        <v>136</v>
      </c>
      <c r="J1342" s="17" t="s">
        <v>2700</v>
      </c>
      <c r="K1342" s="17" t="s">
        <v>2513</v>
      </c>
      <c r="L1342" s="17" t="s">
        <v>72</v>
      </c>
    </row>
    <row r="1343">
      <c r="A1343" s="17">
        <v>82.0</v>
      </c>
      <c r="B1343" s="17" t="s">
        <v>7</v>
      </c>
      <c r="C1343" s="17" t="s">
        <v>810</v>
      </c>
      <c r="D1343" s="17" t="s">
        <v>153</v>
      </c>
      <c r="E1343" s="17" t="s">
        <v>135</v>
      </c>
      <c r="F1343" s="17" t="s">
        <v>136</v>
      </c>
      <c r="G1343" s="17" t="s">
        <v>349</v>
      </c>
      <c r="I1343" s="17" t="s">
        <v>136</v>
      </c>
      <c r="J1343" s="17" t="s">
        <v>2701</v>
      </c>
      <c r="K1343" s="17" t="s">
        <v>2513</v>
      </c>
      <c r="L1343" s="17" t="s">
        <v>72</v>
      </c>
    </row>
    <row r="1344">
      <c r="A1344" s="17">
        <v>48.0</v>
      </c>
      <c r="B1344" s="17" t="s">
        <v>7</v>
      </c>
      <c r="C1344" s="17" t="s">
        <v>211</v>
      </c>
      <c r="D1344" s="17" t="s">
        <v>140</v>
      </c>
      <c r="E1344" s="17" t="s">
        <v>136</v>
      </c>
      <c r="F1344" s="17" t="s">
        <v>136</v>
      </c>
      <c r="G1344" s="17" t="s">
        <v>606</v>
      </c>
      <c r="H1344" s="17" t="s">
        <v>1062</v>
      </c>
      <c r="I1344" s="17" t="s">
        <v>135</v>
      </c>
      <c r="J1344" s="17" t="s">
        <v>2702</v>
      </c>
      <c r="K1344" s="17" t="s">
        <v>185</v>
      </c>
      <c r="L1344" s="17" t="s">
        <v>72</v>
      </c>
    </row>
    <row r="1345">
      <c r="A1345" s="17">
        <v>49.0</v>
      </c>
      <c r="B1345" s="17" t="s">
        <v>7</v>
      </c>
      <c r="C1345" s="17" t="s">
        <v>211</v>
      </c>
      <c r="D1345" s="17" t="s">
        <v>176</v>
      </c>
      <c r="E1345" s="17" t="s">
        <v>136</v>
      </c>
      <c r="F1345" s="17" t="s">
        <v>136</v>
      </c>
      <c r="G1345" s="17" t="s">
        <v>606</v>
      </c>
      <c r="H1345" s="17" t="s">
        <v>1062</v>
      </c>
      <c r="I1345" s="17" t="s">
        <v>135</v>
      </c>
      <c r="J1345" s="17" t="s">
        <v>2703</v>
      </c>
      <c r="K1345" s="17" t="s">
        <v>185</v>
      </c>
      <c r="L1345" s="17" t="s">
        <v>72</v>
      </c>
    </row>
    <row r="1346">
      <c r="A1346" s="17">
        <v>15.0</v>
      </c>
      <c r="B1346" s="17" t="s">
        <v>7</v>
      </c>
      <c r="C1346" s="17" t="s">
        <v>2704</v>
      </c>
      <c r="D1346" s="17" t="s">
        <v>238</v>
      </c>
      <c r="E1346" s="17" t="s">
        <v>136</v>
      </c>
      <c r="F1346" s="17" t="s">
        <v>136</v>
      </c>
      <c r="G1346" s="17" t="s">
        <v>185</v>
      </c>
      <c r="H1346" s="17" t="s">
        <v>411</v>
      </c>
      <c r="I1346" s="17" t="s">
        <v>135</v>
      </c>
      <c r="J1346" s="17" t="s">
        <v>2705</v>
      </c>
      <c r="K1346" s="17" t="s">
        <v>2509</v>
      </c>
      <c r="L1346" s="17" t="s">
        <v>72</v>
      </c>
    </row>
    <row r="1347">
      <c r="A1347" s="17">
        <v>50.0</v>
      </c>
      <c r="B1347" s="17" t="s">
        <v>6</v>
      </c>
      <c r="C1347" s="17" t="s">
        <v>2706</v>
      </c>
      <c r="D1347" s="17" t="s">
        <v>263</v>
      </c>
      <c r="E1347" s="17" t="s">
        <v>136</v>
      </c>
      <c r="F1347" s="17" t="s">
        <v>136</v>
      </c>
      <c r="G1347" s="17" t="s">
        <v>174</v>
      </c>
      <c r="I1347" s="17" t="s">
        <v>135</v>
      </c>
      <c r="J1347" s="17" t="s">
        <v>2707</v>
      </c>
      <c r="K1347" s="17" t="s">
        <v>185</v>
      </c>
      <c r="L1347" s="17" t="s">
        <v>72</v>
      </c>
    </row>
    <row r="1348">
      <c r="A1348" s="17">
        <v>31.0</v>
      </c>
      <c r="B1348" s="17" t="s">
        <v>6</v>
      </c>
      <c r="C1348" s="17" t="s">
        <v>167</v>
      </c>
      <c r="D1348" s="17" t="s">
        <v>143</v>
      </c>
      <c r="E1348" s="17" t="s">
        <v>136</v>
      </c>
      <c r="F1348" s="17" t="s">
        <v>136</v>
      </c>
      <c r="G1348" s="17" t="s">
        <v>1789</v>
      </c>
      <c r="I1348" s="17" t="s">
        <v>136</v>
      </c>
      <c r="J1348" s="17" t="s">
        <v>2708</v>
      </c>
      <c r="K1348" s="17" t="s">
        <v>2513</v>
      </c>
      <c r="L1348" s="17" t="s">
        <v>72</v>
      </c>
    </row>
    <row r="1349">
      <c r="A1349" s="17">
        <v>45.0</v>
      </c>
      <c r="B1349" s="17" t="s">
        <v>7</v>
      </c>
      <c r="C1349" s="17" t="s">
        <v>2668</v>
      </c>
      <c r="D1349" s="17" t="s">
        <v>290</v>
      </c>
      <c r="E1349" s="17" t="s">
        <v>135</v>
      </c>
      <c r="F1349" s="17" t="s">
        <v>135</v>
      </c>
      <c r="G1349" s="17" t="s">
        <v>2604</v>
      </c>
      <c r="H1349" s="17" t="s">
        <v>2709</v>
      </c>
      <c r="I1349" s="17" t="s">
        <v>135</v>
      </c>
      <c r="J1349" s="17" t="s">
        <v>2710</v>
      </c>
      <c r="K1349" s="17" t="s">
        <v>2513</v>
      </c>
      <c r="L1349" s="17" t="s">
        <v>72</v>
      </c>
    </row>
    <row r="1350">
      <c r="A1350" s="17">
        <v>12.0</v>
      </c>
      <c r="B1350" s="17" t="s">
        <v>6</v>
      </c>
      <c r="C1350" s="17" t="s">
        <v>2711</v>
      </c>
      <c r="D1350" s="17" t="s">
        <v>434</v>
      </c>
      <c r="E1350" s="17" t="s">
        <v>136</v>
      </c>
      <c r="F1350" s="17" t="s">
        <v>135</v>
      </c>
      <c r="G1350" s="17" t="s">
        <v>2712</v>
      </c>
      <c r="H1350" s="17" t="s">
        <v>2713</v>
      </c>
      <c r="I1350" s="17" t="s">
        <v>136</v>
      </c>
      <c r="J1350" s="17" t="s">
        <v>2714</v>
      </c>
      <c r="K1350" s="17" t="s">
        <v>2509</v>
      </c>
      <c r="L1350" s="17" t="s">
        <v>72</v>
      </c>
    </row>
    <row r="1351">
      <c r="A1351" s="17">
        <v>77.0</v>
      </c>
      <c r="B1351" s="17" t="s">
        <v>7</v>
      </c>
      <c r="C1351" s="17" t="s">
        <v>1055</v>
      </c>
      <c r="D1351" s="17" t="s">
        <v>369</v>
      </c>
      <c r="E1351" s="17" t="s">
        <v>136</v>
      </c>
      <c r="F1351" s="17" t="s">
        <v>136</v>
      </c>
      <c r="G1351" s="17" t="s">
        <v>157</v>
      </c>
      <c r="I1351" s="17" t="s">
        <v>136</v>
      </c>
      <c r="J1351" s="17" t="s">
        <v>2715</v>
      </c>
      <c r="K1351" s="17" t="s">
        <v>185</v>
      </c>
      <c r="L1351" s="17" t="s">
        <v>72</v>
      </c>
    </row>
    <row r="1352">
      <c r="A1352" s="17">
        <v>22.0</v>
      </c>
      <c r="B1352" s="17" t="s">
        <v>6</v>
      </c>
      <c r="C1352" s="17" t="s">
        <v>2716</v>
      </c>
      <c r="D1352" s="17" t="s">
        <v>331</v>
      </c>
      <c r="E1352" s="17" t="s">
        <v>136</v>
      </c>
      <c r="F1352" s="17" t="s">
        <v>135</v>
      </c>
      <c r="G1352" s="17" t="s">
        <v>144</v>
      </c>
      <c r="I1352" s="17" t="s">
        <v>136</v>
      </c>
      <c r="J1352" s="17" t="s">
        <v>2717</v>
      </c>
      <c r="K1352" s="17" t="s">
        <v>2513</v>
      </c>
      <c r="L1352" s="17" t="s">
        <v>72</v>
      </c>
    </row>
    <row r="1353">
      <c r="A1353" s="17">
        <v>64.0</v>
      </c>
      <c r="B1353" s="17" t="s">
        <v>6</v>
      </c>
      <c r="C1353" s="17" t="s">
        <v>1282</v>
      </c>
      <c r="D1353" s="17" t="s">
        <v>134</v>
      </c>
      <c r="E1353" s="17" t="s">
        <v>136</v>
      </c>
      <c r="F1353" s="17" t="s">
        <v>135</v>
      </c>
      <c r="G1353" s="17" t="s">
        <v>2718</v>
      </c>
      <c r="I1353" s="17" t="s">
        <v>135</v>
      </c>
      <c r="J1353" s="17" t="s">
        <v>2719</v>
      </c>
      <c r="K1353" s="17" t="s">
        <v>2513</v>
      </c>
      <c r="L1353" s="17" t="s">
        <v>72</v>
      </c>
    </row>
    <row r="1354">
      <c r="A1354" s="17">
        <v>29.0</v>
      </c>
      <c r="B1354" s="17" t="s">
        <v>6</v>
      </c>
      <c r="C1354" s="17" t="s">
        <v>2634</v>
      </c>
      <c r="D1354" s="17" t="s">
        <v>134</v>
      </c>
      <c r="E1354" s="17" t="s">
        <v>136</v>
      </c>
      <c r="F1354" s="17" t="s">
        <v>136</v>
      </c>
      <c r="G1354" s="17" t="s">
        <v>1789</v>
      </c>
      <c r="I1354" s="17" t="s">
        <v>136</v>
      </c>
      <c r="J1354" s="17" t="s">
        <v>2720</v>
      </c>
      <c r="K1354" s="17" t="s">
        <v>2513</v>
      </c>
      <c r="L1354" s="17" t="s">
        <v>72</v>
      </c>
    </row>
    <row r="1355">
      <c r="A1355" s="17">
        <v>78.0</v>
      </c>
      <c r="B1355" s="17" t="s">
        <v>6</v>
      </c>
      <c r="C1355" s="17" t="s">
        <v>2721</v>
      </c>
      <c r="D1355" s="17" t="s">
        <v>369</v>
      </c>
      <c r="E1355" s="17" t="s">
        <v>135</v>
      </c>
      <c r="F1355" s="17" t="s">
        <v>135</v>
      </c>
      <c r="G1355" s="17" t="s">
        <v>2722</v>
      </c>
      <c r="H1355" s="17" t="s">
        <v>2723</v>
      </c>
      <c r="I1355" s="17" t="s">
        <v>136</v>
      </c>
      <c r="J1355" s="17" t="s">
        <v>2724</v>
      </c>
      <c r="K1355" s="17" t="s">
        <v>2513</v>
      </c>
      <c r="L1355" s="17" t="s">
        <v>72</v>
      </c>
    </row>
    <row r="1356">
      <c r="A1356" s="17">
        <v>57.0</v>
      </c>
      <c r="B1356" s="17" t="s">
        <v>6</v>
      </c>
      <c r="C1356" s="17" t="s">
        <v>2725</v>
      </c>
      <c r="D1356" s="17" t="s">
        <v>420</v>
      </c>
      <c r="E1356" s="17" t="s">
        <v>136</v>
      </c>
      <c r="F1356" s="17" t="s">
        <v>136</v>
      </c>
      <c r="G1356" s="17" t="s">
        <v>2726</v>
      </c>
      <c r="I1356" s="17" t="s">
        <v>136</v>
      </c>
      <c r="J1356" s="17" t="s">
        <v>2727</v>
      </c>
      <c r="K1356" s="17" t="s">
        <v>185</v>
      </c>
      <c r="L1356" s="17" t="s">
        <v>72</v>
      </c>
    </row>
    <row r="1357">
      <c r="A1357" s="17">
        <v>44.0</v>
      </c>
      <c r="B1357" s="17" t="s">
        <v>6</v>
      </c>
      <c r="C1357" s="17" t="s">
        <v>315</v>
      </c>
      <c r="D1357" s="17" t="s">
        <v>164</v>
      </c>
      <c r="E1357" s="17" t="s">
        <v>136</v>
      </c>
      <c r="F1357" s="17" t="s">
        <v>136</v>
      </c>
      <c r="G1357" s="17" t="s">
        <v>1277</v>
      </c>
      <c r="I1357" s="17" t="s">
        <v>135</v>
      </c>
      <c r="J1357" s="17" t="s">
        <v>2728</v>
      </c>
      <c r="K1357" s="17" t="s">
        <v>2509</v>
      </c>
      <c r="L1357" s="17" t="s">
        <v>72</v>
      </c>
    </row>
    <row r="1358">
      <c r="A1358" s="17">
        <v>92.0</v>
      </c>
      <c r="B1358" s="17" t="s">
        <v>6</v>
      </c>
      <c r="C1358" s="17" t="s">
        <v>2729</v>
      </c>
      <c r="D1358" s="17" t="s">
        <v>420</v>
      </c>
      <c r="E1358" s="17" t="s">
        <v>135</v>
      </c>
      <c r="F1358" s="17" t="s">
        <v>136</v>
      </c>
      <c r="G1358" s="17" t="s">
        <v>2730</v>
      </c>
      <c r="H1358" s="17" t="s">
        <v>2731</v>
      </c>
      <c r="I1358" s="17" t="s">
        <v>136</v>
      </c>
      <c r="J1358" s="17" t="s">
        <v>2627</v>
      </c>
      <c r="K1358" s="17" t="s">
        <v>2513</v>
      </c>
      <c r="L1358" s="17" t="s">
        <v>72</v>
      </c>
    </row>
    <row r="1359">
      <c r="A1359" s="17">
        <v>41.0</v>
      </c>
      <c r="B1359" s="17" t="s">
        <v>6</v>
      </c>
      <c r="C1359" s="17" t="s">
        <v>2732</v>
      </c>
      <c r="D1359" s="17" t="s">
        <v>134</v>
      </c>
      <c r="E1359" s="17" t="s">
        <v>136</v>
      </c>
      <c r="F1359" s="17" t="s">
        <v>136</v>
      </c>
      <c r="G1359" s="17" t="s">
        <v>144</v>
      </c>
      <c r="H1359" s="17" t="s">
        <v>2733</v>
      </c>
      <c r="I1359" s="17" t="s">
        <v>136</v>
      </c>
      <c r="J1359" s="17" t="s">
        <v>2734</v>
      </c>
      <c r="K1359" s="17" t="s">
        <v>2513</v>
      </c>
      <c r="L1359" s="17" t="s">
        <v>72</v>
      </c>
    </row>
    <row r="1360">
      <c r="A1360" s="17">
        <v>17.0</v>
      </c>
      <c r="B1360" s="17" t="s">
        <v>6</v>
      </c>
      <c r="C1360" s="17" t="s">
        <v>211</v>
      </c>
      <c r="D1360" s="17" t="s">
        <v>176</v>
      </c>
      <c r="E1360" s="17" t="s">
        <v>136</v>
      </c>
      <c r="F1360" s="17" t="s">
        <v>136</v>
      </c>
      <c r="G1360" s="17" t="s">
        <v>2735</v>
      </c>
      <c r="I1360" s="17" t="s">
        <v>136</v>
      </c>
      <c r="J1360" s="17" t="s">
        <v>2736</v>
      </c>
      <c r="K1360" s="17" t="s">
        <v>2502</v>
      </c>
      <c r="L1360" s="17" t="s">
        <v>72</v>
      </c>
    </row>
    <row r="1361">
      <c r="A1361" s="17">
        <v>53.0</v>
      </c>
      <c r="B1361" s="17" t="s">
        <v>6</v>
      </c>
      <c r="C1361" s="17" t="s">
        <v>2628</v>
      </c>
      <c r="D1361" s="17" t="s">
        <v>210</v>
      </c>
      <c r="E1361" s="17" t="s">
        <v>136</v>
      </c>
      <c r="F1361" s="17" t="s">
        <v>136</v>
      </c>
      <c r="G1361" s="17" t="s">
        <v>180</v>
      </c>
      <c r="I1361" s="17" t="s">
        <v>136</v>
      </c>
      <c r="J1361" s="17" t="s">
        <v>2737</v>
      </c>
      <c r="K1361" s="17" t="s">
        <v>2513</v>
      </c>
      <c r="L1361" s="17" t="s">
        <v>72</v>
      </c>
    </row>
    <row r="1362">
      <c r="A1362" s="17">
        <v>79.0</v>
      </c>
      <c r="B1362" s="17" t="s">
        <v>6</v>
      </c>
      <c r="C1362" s="17" t="s">
        <v>225</v>
      </c>
      <c r="D1362" s="17" t="s">
        <v>143</v>
      </c>
      <c r="E1362" s="17" t="s">
        <v>136</v>
      </c>
      <c r="F1362" s="17" t="s">
        <v>136</v>
      </c>
      <c r="G1362" s="17" t="s">
        <v>174</v>
      </c>
      <c r="I1362" s="17" t="s">
        <v>135</v>
      </c>
      <c r="J1362" s="17" t="s">
        <v>2738</v>
      </c>
      <c r="K1362" s="17" t="s">
        <v>2509</v>
      </c>
      <c r="L1362" s="17" t="s">
        <v>72</v>
      </c>
    </row>
    <row r="1363">
      <c r="A1363" s="17">
        <v>70.0</v>
      </c>
      <c r="B1363" s="17" t="s">
        <v>6</v>
      </c>
      <c r="C1363" s="17" t="s">
        <v>1096</v>
      </c>
      <c r="D1363" s="17" t="s">
        <v>153</v>
      </c>
      <c r="E1363" s="17" t="s">
        <v>135</v>
      </c>
      <c r="F1363" s="17" t="s">
        <v>136</v>
      </c>
      <c r="G1363" s="17" t="s">
        <v>137</v>
      </c>
      <c r="I1363" s="17" t="s">
        <v>135</v>
      </c>
      <c r="J1363" s="17" t="s">
        <v>2739</v>
      </c>
      <c r="K1363" s="17" t="s">
        <v>185</v>
      </c>
      <c r="L1363" s="17" t="s">
        <v>72</v>
      </c>
    </row>
    <row r="1364">
      <c r="A1364" s="17">
        <v>69.0</v>
      </c>
      <c r="B1364" s="17" t="s">
        <v>7</v>
      </c>
      <c r="C1364" s="17" t="s">
        <v>2740</v>
      </c>
      <c r="D1364" s="17" t="s">
        <v>331</v>
      </c>
      <c r="E1364" s="17" t="s">
        <v>136</v>
      </c>
      <c r="F1364" s="17" t="s">
        <v>136</v>
      </c>
      <c r="G1364" s="17" t="s">
        <v>534</v>
      </c>
      <c r="I1364" s="17" t="s">
        <v>136</v>
      </c>
      <c r="J1364" s="17" t="s">
        <v>2741</v>
      </c>
      <c r="K1364" s="17" t="s">
        <v>2502</v>
      </c>
      <c r="L1364" s="17" t="s">
        <v>72</v>
      </c>
    </row>
    <row r="1365">
      <c r="A1365" s="17">
        <v>24.0</v>
      </c>
      <c r="B1365" s="17" t="s">
        <v>7</v>
      </c>
      <c r="C1365" s="17" t="s">
        <v>941</v>
      </c>
      <c r="D1365" s="17" t="s">
        <v>233</v>
      </c>
      <c r="E1365" s="17" t="s">
        <v>136</v>
      </c>
      <c r="F1365" s="17" t="s">
        <v>136</v>
      </c>
      <c r="G1365" s="17" t="s">
        <v>180</v>
      </c>
      <c r="I1365" s="17" t="s">
        <v>136</v>
      </c>
      <c r="J1365" s="17" t="s">
        <v>2742</v>
      </c>
      <c r="K1365" s="17" t="s">
        <v>2502</v>
      </c>
      <c r="L1365" s="17" t="s">
        <v>72</v>
      </c>
    </row>
    <row r="1366">
      <c r="A1366" s="17">
        <v>35.0</v>
      </c>
      <c r="B1366" s="17" t="s">
        <v>6</v>
      </c>
      <c r="C1366" s="17" t="s">
        <v>459</v>
      </c>
      <c r="D1366" s="17" t="s">
        <v>197</v>
      </c>
      <c r="E1366" s="17" t="s">
        <v>136</v>
      </c>
      <c r="F1366" s="17" t="s">
        <v>135</v>
      </c>
      <c r="G1366" s="17" t="s">
        <v>144</v>
      </c>
      <c r="I1366" s="17" t="s">
        <v>135</v>
      </c>
      <c r="J1366" s="17" t="s">
        <v>2743</v>
      </c>
      <c r="K1366" s="17" t="s">
        <v>2502</v>
      </c>
      <c r="L1366" s="17" t="s">
        <v>72</v>
      </c>
    </row>
    <row r="1367">
      <c r="A1367" s="17">
        <v>71.0</v>
      </c>
      <c r="B1367" s="17" t="s">
        <v>7</v>
      </c>
      <c r="C1367" s="17" t="s">
        <v>2744</v>
      </c>
      <c r="D1367" s="17" t="s">
        <v>164</v>
      </c>
      <c r="E1367" s="17" t="s">
        <v>135</v>
      </c>
      <c r="F1367" s="17" t="s">
        <v>135</v>
      </c>
      <c r="G1367" s="17" t="s">
        <v>2745</v>
      </c>
      <c r="H1367" s="17" t="s">
        <v>1307</v>
      </c>
      <c r="I1367" s="17" t="s">
        <v>136</v>
      </c>
      <c r="J1367" s="17" t="s">
        <v>2746</v>
      </c>
      <c r="K1367" s="17" t="s">
        <v>2513</v>
      </c>
      <c r="L1367" s="17" t="s">
        <v>72</v>
      </c>
    </row>
    <row r="1368">
      <c r="A1368" s="17">
        <v>18.0</v>
      </c>
      <c r="B1368" s="17" t="s">
        <v>7</v>
      </c>
      <c r="C1368" s="17" t="s">
        <v>2747</v>
      </c>
      <c r="D1368" s="17" t="s">
        <v>193</v>
      </c>
      <c r="E1368" s="17" t="s">
        <v>135</v>
      </c>
      <c r="F1368" s="17" t="s">
        <v>135</v>
      </c>
      <c r="G1368" s="17" t="s">
        <v>144</v>
      </c>
      <c r="I1368" s="17" t="s">
        <v>136</v>
      </c>
      <c r="J1368" s="17" t="s">
        <v>2748</v>
      </c>
      <c r="K1368" s="17" t="s">
        <v>2509</v>
      </c>
      <c r="L1368" s="17" t="s">
        <v>72</v>
      </c>
    </row>
    <row r="1369">
      <c r="A1369" s="17">
        <v>1.0</v>
      </c>
      <c r="B1369" s="17" t="s">
        <v>7</v>
      </c>
      <c r="C1369" s="17" t="s">
        <v>315</v>
      </c>
      <c r="D1369" s="17" t="s">
        <v>164</v>
      </c>
      <c r="E1369" s="17" t="s">
        <v>136</v>
      </c>
      <c r="F1369" s="17" t="s">
        <v>136</v>
      </c>
      <c r="G1369" s="17" t="s">
        <v>185</v>
      </c>
      <c r="H1369" s="167" t="s">
        <v>2749</v>
      </c>
      <c r="I1369" s="17" t="s">
        <v>135</v>
      </c>
      <c r="J1369" s="166">
        <v>45673.58819444444</v>
      </c>
      <c r="K1369" s="17" t="s">
        <v>2603</v>
      </c>
      <c r="L1369" s="17" t="s">
        <v>72</v>
      </c>
    </row>
    <row r="1370">
      <c r="A1370" s="17">
        <v>10.0</v>
      </c>
      <c r="B1370" s="17" t="s">
        <v>6</v>
      </c>
      <c r="C1370" s="17" t="s">
        <v>2750</v>
      </c>
      <c r="D1370" s="17" t="s">
        <v>263</v>
      </c>
      <c r="E1370" s="17" t="s">
        <v>136</v>
      </c>
      <c r="F1370" s="17" t="s">
        <v>136</v>
      </c>
      <c r="G1370" s="17" t="s">
        <v>650</v>
      </c>
      <c r="I1370" s="17" t="s">
        <v>135</v>
      </c>
      <c r="J1370" s="17" t="s">
        <v>2751</v>
      </c>
      <c r="K1370" s="17" t="s">
        <v>2509</v>
      </c>
      <c r="L1370" s="17" t="s">
        <v>72</v>
      </c>
    </row>
    <row r="1371">
      <c r="A1371" s="17">
        <v>56.0</v>
      </c>
      <c r="B1371" s="17" t="s">
        <v>6</v>
      </c>
      <c r="C1371" s="17" t="s">
        <v>2752</v>
      </c>
      <c r="D1371" s="17" t="s">
        <v>134</v>
      </c>
      <c r="E1371" s="17" t="s">
        <v>136</v>
      </c>
      <c r="F1371" s="17" t="s">
        <v>136</v>
      </c>
      <c r="G1371" s="17" t="s">
        <v>401</v>
      </c>
      <c r="H1371" s="17" t="s">
        <v>411</v>
      </c>
      <c r="I1371" s="17" t="s">
        <v>136</v>
      </c>
      <c r="J1371" s="17" t="s">
        <v>2753</v>
      </c>
      <c r="K1371" s="17" t="s">
        <v>2509</v>
      </c>
      <c r="L1371" s="17" t="s">
        <v>72</v>
      </c>
    </row>
    <row r="1372">
      <c r="A1372" s="17">
        <v>8.0</v>
      </c>
      <c r="B1372" s="17" t="s">
        <v>7</v>
      </c>
      <c r="C1372" s="17" t="s">
        <v>2139</v>
      </c>
      <c r="D1372" s="17" t="s">
        <v>143</v>
      </c>
      <c r="E1372" s="17" t="s">
        <v>135</v>
      </c>
      <c r="F1372" s="17" t="s">
        <v>136</v>
      </c>
      <c r="G1372" s="17" t="s">
        <v>594</v>
      </c>
      <c r="I1372" s="17" t="s">
        <v>135</v>
      </c>
      <c r="J1372" s="166">
        <v>45707.688888888886</v>
      </c>
      <c r="K1372" s="17" t="s">
        <v>2509</v>
      </c>
      <c r="L1372" s="17" t="s">
        <v>72</v>
      </c>
    </row>
    <row r="1373">
      <c r="A1373" s="17">
        <v>66.0</v>
      </c>
      <c r="B1373" s="17" t="s">
        <v>6</v>
      </c>
      <c r="C1373" s="17" t="s">
        <v>315</v>
      </c>
      <c r="D1373" s="17" t="s">
        <v>164</v>
      </c>
      <c r="E1373" s="17" t="s">
        <v>135</v>
      </c>
      <c r="F1373" s="17" t="s">
        <v>136</v>
      </c>
      <c r="G1373" s="17" t="s">
        <v>292</v>
      </c>
      <c r="I1373" s="17" t="s">
        <v>136</v>
      </c>
      <c r="J1373" s="17" t="s">
        <v>2754</v>
      </c>
      <c r="K1373" s="17" t="s">
        <v>2509</v>
      </c>
      <c r="L1373" s="17" t="s">
        <v>72</v>
      </c>
    </row>
    <row r="1374">
      <c r="A1374" s="17">
        <v>84.0</v>
      </c>
      <c r="B1374" s="17" t="s">
        <v>7</v>
      </c>
      <c r="C1374" s="17" t="s">
        <v>2755</v>
      </c>
      <c r="D1374" s="17" t="s">
        <v>223</v>
      </c>
      <c r="E1374" s="17" t="s">
        <v>135</v>
      </c>
      <c r="F1374" s="17" t="s">
        <v>136</v>
      </c>
      <c r="G1374" s="17" t="s">
        <v>2756</v>
      </c>
      <c r="I1374" s="17" t="s">
        <v>135</v>
      </c>
      <c r="J1374" s="17" t="s">
        <v>2757</v>
      </c>
      <c r="K1374" s="17" t="s">
        <v>2509</v>
      </c>
      <c r="L1374" s="17" t="s">
        <v>72</v>
      </c>
    </row>
    <row r="1375">
      <c r="A1375" s="153">
        <v>56.0</v>
      </c>
      <c r="B1375" s="154" t="s">
        <v>6</v>
      </c>
      <c r="C1375" s="154" t="s">
        <v>486</v>
      </c>
      <c r="D1375" s="154" t="s">
        <v>214</v>
      </c>
      <c r="E1375" s="154" t="s">
        <v>135</v>
      </c>
      <c r="F1375" s="154" t="s">
        <v>136</v>
      </c>
      <c r="G1375" s="154" t="s">
        <v>2758</v>
      </c>
      <c r="H1375" s="155"/>
      <c r="I1375" s="154"/>
      <c r="J1375" s="154" t="s">
        <v>2759</v>
      </c>
      <c r="K1375" s="154" t="s">
        <v>2509</v>
      </c>
      <c r="L1375" s="17" t="s">
        <v>50</v>
      </c>
    </row>
    <row r="1376">
      <c r="A1376" s="153">
        <v>38.0</v>
      </c>
      <c r="B1376" s="154" t="s">
        <v>7</v>
      </c>
      <c r="C1376" s="154" t="s">
        <v>2760</v>
      </c>
      <c r="D1376" s="154" t="s">
        <v>214</v>
      </c>
      <c r="E1376" s="154" t="s">
        <v>135</v>
      </c>
      <c r="F1376" s="154" t="s">
        <v>136</v>
      </c>
      <c r="G1376" s="165" t="s">
        <v>231</v>
      </c>
      <c r="H1376" s="155"/>
      <c r="I1376" s="154"/>
      <c r="J1376" s="157">
        <v>45705.146527777775</v>
      </c>
      <c r="K1376" s="154" t="s">
        <v>2513</v>
      </c>
      <c r="L1376" s="17" t="s">
        <v>50</v>
      </c>
    </row>
    <row r="1377">
      <c r="A1377" s="153">
        <v>14.0</v>
      </c>
      <c r="B1377" s="154" t="s">
        <v>7</v>
      </c>
      <c r="C1377" s="154" t="s">
        <v>808</v>
      </c>
      <c r="D1377" s="154" t="s">
        <v>153</v>
      </c>
      <c r="E1377" s="154" t="s">
        <v>135</v>
      </c>
      <c r="F1377" s="154" t="s">
        <v>135</v>
      </c>
      <c r="G1377" s="165" t="s">
        <v>1789</v>
      </c>
      <c r="H1377" s="154" t="s">
        <v>2761</v>
      </c>
      <c r="I1377" s="154"/>
      <c r="J1377" s="157">
        <v>45695.59027777778</v>
      </c>
      <c r="K1377" s="154" t="s">
        <v>2513</v>
      </c>
      <c r="L1377" s="17" t="s">
        <v>50</v>
      </c>
    </row>
    <row r="1378">
      <c r="A1378" s="153">
        <v>86.0</v>
      </c>
      <c r="B1378" s="154" t="s">
        <v>7</v>
      </c>
      <c r="C1378" s="154" t="s">
        <v>696</v>
      </c>
      <c r="D1378" s="154" t="s">
        <v>193</v>
      </c>
      <c r="E1378" s="154" t="s">
        <v>135</v>
      </c>
      <c r="F1378" s="154" t="s">
        <v>136</v>
      </c>
      <c r="G1378" s="154" t="s">
        <v>2762</v>
      </c>
      <c r="H1378" s="155"/>
      <c r="I1378" s="154"/>
      <c r="J1378" s="157">
        <v>45749.91875</v>
      </c>
      <c r="K1378" s="154" t="s">
        <v>2513</v>
      </c>
      <c r="L1378" s="17" t="s">
        <v>50</v>
      </c>
    </row>
    <row r="1379">
      <c r="A1379" s="153">
        <v>85.0</v>
      </c>
      <c r="B1379" s="154" t="s">
        <v>7</v>
      </c>
      <c r="C1379" s="154" t="s">
        <v>1981</v>
      </c>
      <c r="D1379" s="154" t="s">
        <v>143</v>
      </c>
      <c r="E1379" s="154" t="s">
        <v>135</v>
      </c>
      <c r="F1379" s="154" t="s">
        <v>136</v>
      </c>
      <c r="G1379" s="154" t="s">
        <v>185</v>
      </c>
      <c r="H1379" s="155"/>
      <c r="I1379" s="154"/>
      <c r="J1379" s="157">
        <v>45749.06458333333</v>
      </c>
      <c r="K1379" s="154" t="s">
        <v>185</v>
      </c>
      <c r="L1379" s="17" t="s">
        <v>50</v>
      </c>
    </row>
    <row r="1380">
      <c r="A1380" s="153">
        <v>30.0</v>
      </c>
      <c r="B1380" s="154" t="s">
        <v>6</v>
      </c>
      <c r="C1380" s="154" t="s">
        <v>2763</v>
      </c>
      <c r="D1380" s="154" t="s">
        <v>219</v>
      </c>
      <c r="E1380" s="154" t="s">
        <v>135</v>
      </c>
      <c r="F1380" s="154" t="s">
        <v>136</v>
      </c>
      <c r="G1380" s="154" t="s">
        <v>1027</v>
      </c>
      <c r="H1380" s="154" t="s">
        <v>2764</v>
      </c>
      <c r="I1380" s="154"/>
      <c r="J1380" s="157">
        <v>45700.17291666667</v>
      </c>
      <c r="K1380" s="154" t="s">
        <v>2513</v>
      </c>
      <c r="L1380" s="17" t="s">
        <v>50</v>
      </c>
    </row>
    <row r="1381">
      <c r="A1381" s="153">
        <v>68.0</v>
      </c>
      <c r="B1381" s="154" t="s">
        <v>6</v>
      </c>
      <c r="C1381" s="154" t="s">
        <v>2765</v>
      </c>
      <c r="D1381" s="154" t="s">
        <v>369</v>
      </c>
      <c r="E1381" s="154" t="s">
        <v>135</v>
      </c>
      <c r="F1381" s="154" t="s">
        <v>136</v>
      </c>
      <c r="G1381" s="154" t="s">
        <v>798</v>
      </c>
      <c r="H1381" s="154" t="s">
        <v>2766</v>
      </c>
      <c r="I1381" s="154"/>
      <c r="J1381" s="154" t="s">
        <v>2767</v>
      </c>
      <c r="K1381" s="154" t="s">
        <v>2513</v>
      </c>
      <c r="L1381" s="17" t="s">
        <v>50</v>
      </c>
    </row>
    <row r="1382">
      <c r="A1382" s="153">
        <v>70.0</v>
      </c>
      <c r="B1382" s="154" t="s">
        <v>6</v>
      </c>
      <c r="C1382" s="154" t="s">
        <v>2768</v>
      </c>
      <c r="D1382" s="154" t="s">
        <v>369</v>
      </c>
      <c r="E1382" s="154" t="s">
        <v>135</v>
      </c>
      <c r="F1382" s="154" t="s">
        <v>136</v>
      </c>
      <c r="G1382" s="154" t="s">
        <v>2769</v>
      </c>
      <c r="H1382" s="155"/>
      <c r="I1382" s="154"/>
      <c r="J1382" s="154" t="s">
        <v>2770</v>
      </c>
      <c r="K1382" s="154" t="s">
        <v>2513</v>
      </c>
      <c r="L1382" s="17" t="s">
        <v>50</v>
      </c>
    </row>
    <row r="1383">
      <c r="A1383" s="153">
        <v>45.0</v>
      </c>
      <c r="B1383" s="154" t="s">
        <v>6</v>
      </c>
      <c r="C1383" s="154" t="s">
        <v>2771</v>
      </c>
      <c r="D1383" s="154" t="s">
        <v>263</v>
      </c>
      <c r="E1383" s="154" t="s">
        <v>136</v>
      </c>
      <c r="F1383" s="154" t="s">
        <v>136</v>
      </c>
      <c r="G1383" s="154" t="s">
        <v>349</v>
      </c>
      <c r="H1383" s="155"/>
      <c r="I1383" s="154"/>
      <c r="J1383" s="154" t="s">
        <v>2772</v>
      </c>
      <c r="K1383" s="154" t="s">
        <v>2507</v>
      </c>
      <c r="L1383" s="17" t="s">
        <v>50</v>
      </c>
    </row>
    <row r="1384">
      <c r="A1384" s="153">
        <v>22.0</v>
      </c>
      <c r="B1384" s="154" t="s">
        <v>6</v>
      </c>
      <c r="C1384" s="154" t="s">
        <v>2773</v>
      </c>
      <c r="D1384" s="154" t="s">
        <v>214</v>
      </c>
      <c r="E1384" s="154" t="s">
        <v>135</v>
      </c>
      <c r="F1384" s="154" t="s">
        <v>136</v>
      </c>
      <c r="G1384" s="154" t="s">
        <v>2774</v>
      </c>
      <c r="H1384" s="155"/>
      <c r="I1384" s="154"/>
      <c r="J1384" s="157">
        <v>45698.60833333333</v>
      </c>
      <c r="K1384" s="154" t="s">
        <v>2513</v>
      </c>
      <c r="L1384" s="17" t="s">
        <v>50</v>
      </c>
    </row>
    <row r="1385">
      <c r="A1385" s="153">
        <v>54.0</v>
      </c>
      <c r="B1385" s="154" t="s">
        <v>7</v>
      </c>
      <c r="C1385" s="154" t="s">
        <v>2775</v>
      </c>
      <c r="D1385" s="154" t="s">
        <v>290</v>
      </c>
      <c r="E1385" s="154" t="s">
        <v>135</v>
      </c>
      <c r="F1385" s="154" t="s">
        <v>136</v>
      </c>
      <c r="G1385" s="154" t="s">
        <v>150</v>
      </c>
      <c r="H1385" s="155"/>
      <c r="I1385" s="154"/>
      <c r="J1385" s="154" t="s">
        <v>2776</v>
      </c>
      <c r="K1385" s="154" t="s">
        <v>2502</v>
      </c>
      <c r="L1385" s="17" t="s">
        <v>50</v>
      </c>
    </row>
    <row r="1386">
      <c r="A1386" s="153">
        <v>20.0</v>
      </c>
      <c r="B1386" s="154" t="s">
        <v>6</v>
      </c>
      <c r="C1386" s="154" t="s">
        <v>1055</v>
      </c>
      <c r="D1386" s="154" t="s">
        <v>369</v>
      </c>
      <c r="E1386" s="154" t="s">
        <v>135</v>
      </c>
      <c r="F1386" s="154" t="s">
        <v>136</v>
      </c>
      <c r="G1386" s="154" t="s">
        <v>663</v>
      </c>
      <c r="H1386" s="155"/>
      <c r="I1386" s="154"/>
      <c r="J1386" s="157">
        <v>45698.59861111111</v>
      </c>
      <c r="K1386" s="154" t="s">
        <v>2513</v>
      </c>
      <c r="L1386" s="17" t="s">
        <v>50</v>
      </c>
    </row>
    <row r="1387">
      <c r="A1387" s="153">
        <v>8.0</v>
      </c>
      <c r="B1387" s="154" t="s">
        <v>6</v>
      </c>
      <c r="C1387" s="154" t="s">
        <v>2777</v>
      </c>
      <c r="D1387" s="154" t="s">
        <v>153</v>
      </c>
      <c r="E1387" s="154" t="s">
        <v>136</v>
      </c>
      <c r="F1387" s="154" t="s">
        <v>136</v>
      </c>
      <c r="G1387" s="154" t="s">
        <v>349</v>
      </c>
      <c r="H1387" s="154" t="s">
        <v>2778</v>
      </c>
      <c r="I1387" s="154"/>
      <c r="J1387" s="157">
        <v>45688.90069444444</v>
      </c>
      <c r="K1387" s="154" t="s">
        <v>185</v>
      </c>
      <c r="L1387" s="17" t="s">
        <v>50</v>
      </c>
    </row>
    <row r="1388">
      <c r="A1388" s="153">
        <v>31.0</v>
      </c>
      <c r="B1388" s="154" t="s">
        <v>6</v>
      </c>
      <c r="C1388" s="154" t="s">
        <v>2779</v>
      </c>
      <c r="D1388" s="154" t="s">
        <v>143</v>
      </c>
      <c r="E1388" s="154" t="s">
        <v>135</v>
      </c>
      <c r="F1388" s="154" t="s">
        <v>136</v>
      </c>
      <c r="G1388" s="154" t="s">
        <v>221</v>
      </c>
      <c r="H1388" s="155"/>
      <c r="I1388" s="154"/>
      <c r="J1388" s="157">
        <v>45701.27847222222</v>
      </c>
      <c r="K1388" s="154" t="s">
        <v>2513</v>
      </c>
      <c r="L1388" s="17" t="s">
        <v>50</v>
      </c>
    </row>
    <row r="1389">
      <c r="A1389" s="153">
        <v>2.0</v>
      </c>
      <c r="B1389" s="154" t="s">
        <v>6</v>
      </c>
      <c r="C1389" s="154" t="s">
        <v>167</v>
      </c>
      <c r="D1389" s="154" t="s">
        <v>143</v>
      </c>
      <c r="E1389" s="154" t="s">
        <v>135</v>
      </c>
      <c r="F1389" s="154" t="s">
        <v>136</v>
      </c>
      <c r="G1389" s="154" t="s">
        <v>2780</v>
      </c>
      <c r="H1389" s="155"/>
      <c r="I1389" s="154"/>
      <c r="J1389" s="157">
        <v>45688.46319444444</v>
      </c>
      <c r="K1389" s="154" t="s">
        <v>185</v>
      </c>
      <c r="L1389" s="17" t="s">
        <v>50</v>
      </c>
    </row>
    <row r="1390">
      <c r="A1390" s="153">
        <v>13.0</v>
      </c>
      <c r="B1390" s="154" t="s">
        <v>7</v>
      </c>
      <c r="C1390" s="154" t="s">
        <v>1510</v>
      </c>
      <c r="D1390" s="154" t="s">
        <v>177</v>
      </c>
      <c r="E1390" s="154" t="s">
        <v>135</v>
      </c>
      <c r="F1390" s="154" t="s">
        <v>135</v>
      </c>
      <c r="G1390" s="154" t="s">
        <v>168</v>
      </c>
      <c r="H1390" s="155"/>
      <c r="I1390" s="154"/>
      <c r="J1390" s="157">
        <v>45695.55902777778</v>
      </c>
      <c r="K1390" s="154" t="s">
        <v>2502</v>
      </c>
      <c r="L1390" s="17" t="s">
        <v>50</v>
      </c>
    </row>
    <row r="1391">
      <c r="A1391" s="153">
        <v>44.0</v>
      </c>
      <c r="B1391" s="154" t="s">
        <v>7</v>
      </c>
      <c r="C1391" s="154" t="s">
        <v>2781</v>
      </c>
      <c r="D1391" s="154" t="s">
        <v>258</v>
      </c>
      <c r="E1391" s="154" t="s">
        <v>136</v>
      </c>
      <c r="F1391" s="154" t="s">
        <v>136</v>
      </c>
      <c r="G1391" s="154" t="s">
        <v>1888</v>
      </c>
      <c r="H1391" s="154" t="s">
        <v>2782</v>
      </c>
      <c r="I1391" s="154"/>
      <c r="J1391" s="157">
        <v>45715.930555555555</v>
      </c>
      <c r="K1391" s="154" t="s">
        <v>2502</v>
      </c>
      <c r="L1391" s="17" t="s">
        <v>50</v>
      </c>
    </row>
    <row r="1392">
      <c r="A1392" s="153">
        <v>3.0</v>
      </c>
      <c r="B1392" s="154" t="s">
        <v>7</v>
      </c>
      <c r="C1392" s="154" t="s">
        <v>562</v>
      </c>
      <c r="D1392" s="154" t="s">
        <v>153</v>
      </c>
      <c r="E1392" s="154" t="s">
        <v>136</v>
      </c>
      <c r="F1392" s="154" t="s">
        <v>136</v>
      </c>
      <c r="G1392" s="154" t="s">
        <v>137</v>
      </c>
      <c r="H1392" s="155"/>
      <c r="I1392" s="154"/>
      <c r="J1392" s="157">
        <v>45688.46388888889</v>
      </c>
      <c r="K1392" s="154" t="s">
        <v>2513</v>
      </c>
      <c r="L1392" s="17" t="s">
        <v>50</v>
      </c>
    </row>
    <row r="1393">
      <c r="A1393" s="153">
        <v>58.0</v>
      </c>
      <c r="B1393" s="154" t="s">
        <v>7</v>
      </c>
      <c r="C1393" s="154" t="s">
        <v>315</v>
      </c>
      <c r="D1393" s="154" t="s">
        <v>164</v>
      </c>
      <c r="E1393" s="154" t="s">
        <v>135</v>
      </c>
      <c r="F1393" s="154" t="s">
        <v>136</v>
      </c>
      <c r="G1393" s="154" t="s">
        <v>1789</v>
      </c>
      <c r="H1393" s="155"/>
      <c r="I1393" s="154"/>
      <c r="J1393" s="154" t="s">
        <v>2783</v>
      </c>
      <c r="K1393" s="154" t="s">
        <v>2509</v>
      </c>
      <c r="L1393" s="17" t="s">
        <v>50</v>
      </c>
    </row>
    <row r="1394">
      <c r="A1394" s="153">
        <v>18.0</v>
      </c>
      <c r="B1394" s="154" t="s">
        <v>7</v>
      </c>
      <c r="C1394" s="154" t="s">
        <v>2784</v>
      </c>
      <c r="D1394" s="154" t="s">
        <v>390</v>
      </c>
      <c r="E1394" s="154" t="s">
        <v>136</v>
      </c>
      <c r="F1394" s="154" t="s">
        <v>136</v>
      </c>
      <c r="G1394" s="154" t="s">
        <v>349</v>
      </c>
      <c r="H1394" s="155"/>
      <c r="I1394" s="154"/>
      <c r="J1394" s="157">
        <v>45698.563888888886</v>
      </c>
      <c r="K1394" s="154" t="s">
        <v>2513</v>
      </c>
      <c r="L1394" s="17" t="s">
        <v>50</v>
      </c>
    </row>
    <row r="1395">
      <c r="A1395" s="153">
        <v>101.0</v>
      </c>
      <c r="B1395" s="154" t="s">
        <v>6</v>
      </c>
      <c r="C1395" s="154" t="s">
        <v>2697</v>
      </c>
      <c r="D1395" s="154" t="s">
        <v>134</v>
      </c>
      <c r="E1395" s="154" t="s">
        <v>136</v>
      </c>
      <c r="F1395" s="154" t="s">
        <v>136</v>
      </c>
      <c r="G1395" s="154" t="s">
        <v>2785</v>
      </c>
      <c r="H1395" s="154" t="s">
        <v>2786</v>
      </c>
      <c r="I1395" s="154"/>
      <c r="J1395" s="157">
        <v>45754.53194444445</v>
      </c>
      <c r="K1395" s="154" t="s">
        <v>2513</v>
      </c>
      <c r="L1395" s="17" t="s">
        <v>50</v>
      </c>
    </row>
    <row r="1396">
      <c r="A1396" s="153">
        <v>93.0</v>
      </c>
      <c r="B1396" s="154" t="s">
        <v>7</v>
      </c>
      <c r="C1396" s="154" t="s">
        <v>195</v>
      </c>
      <c r="D1396" s="154" t="s">
        <v>164</v>
      </c>
      <c r="E1396" s="154" t="s">
        <v>136</v>
      </c>
      <c r="F1396" s="154" t="s">
        <v>136</v>
      </c>
      <c r="G1396" s="154" t="s">
        <v>174</v>
      </c>
      <c r="H1396" s="154" t="s">
        <v>2787</v>
      </c>
      <c r="I1396" s="154"/>
      <c r="J1396" s="157">
        <v>45751.34305555555</v>
      </c>
      <c r="K1396" s="154" t="s">
        <v>2509</v>
      </c>
      <c r="L1396" s="17" t="s">
        <v>50</v>
      </c>
    </row>
    <row r="1397">
      <c r="A1397" s="153">
        <v>17.0</v>
      </c>
      <c r="B1397" s="154" t="s">
        <v>6</v>
      </c>
      <c r="C1397" s="154" t="s">
        <v>439</v>
      </c>
      <c r="D1397" s="154" t="s">
        <v>143</v>
      </c>
      <c r="E1397" s="154" t="s">
        <v>135</v>
      </c>
      <c r="F1397" s="154" t="s">
        <v>136</v>
      </c>
      <c r="G1397" s="154" t="s">
        <v>2788</v>
      </c>
      <c r="H1397" s="155"/>
      <c r="I1397" s="154"/>
      <c r="J1397" s="157">
        <v>45698.55972222222</v>
      </c>
      <c r="K1397" s="154" t="s">
        <v>2513</v>
      </c>
      <c r="L1397" s="17" t="s">
        <v>50</v>
      </c>
    </row>
    <row r="1398">
      <c r="A1398" s="153">
        <v>97.0</v>
      </c>
      <c r="B1398" s="154" t="s">
        <v>6</v>
      </c>
      <c r="C1398" s="154" t="s">
        <v>2789</v>
      </c>
      <c r="D1398" s="154" t="s">
        <v>258</v>
      </c>
      <c r="E1398" s="154" t="s">
        <v>135</v>
      </c>
      <c r="F1398" s="154" t="s">
        <v>136</v>
      </c>
      <c r="G1398" s="154" t="s">
        <v>1183</v>
      </c>
      <c r="H1398" s="154" t="s">
        <v>2790</v>
      </c>
      <c r="I1398" s="154"/>
      <c r="J1398" s="157">
        <v>45753.97777777778</v>
      </c>
      <c r="K1398" s="154" t="s">
        <v>185</v>
      </c>
      <c r="L1398" s="17" t="s">
        <v>50</v>
      </c>
    </row>
    <row r="1399">
      <c r="A1399" s="153">
        <v>26.0</v>
      </c>
      <c r="B1399" s="154" t="s">
        <v>6</v>
      </c>
      <c r="C1399" s="154" t="s">
        <v>2791</v>
      </c>
      <c r="D1399" s="154" t="s">
        <v>143</v>
      </c>
      <c r="E1399" s="154" t="s">
        <v>135</v>
      </c>
      <c r="F1399" s="154" t="s">
        <v>136</v>
      </c>
      <c r="G1399" s="154" t="s">
        <v>180</v>
      </c>
      <c r="H1399" s="155"/>
      <c r="I1399" s="154"/>
      <c r="J1399" s="157">
        <v>45698.83194444444</v>
      </c>
      <c r="K1399" s="154" t="s">
        <v>2502</v>
      </c>
      <c r="L1399" s="17" t="s">
        <v>50</v>
      </c>
    </row>
    <row r="1400">
      <c r="A1400" s="153">
        <v>76.0</v>
      </c>
      <c r="B1400" s="154" t="s">
        <v>6</v>
      </c>
      <c r="C1400" s="154" t="s">
        <v>996</v>
      </c>
      <c r="D1400" s="154" t="s">
        <v>285</v>
      </c>
      <c r="E1400" s="154" t="s">
        <v>135</v>
      </c>
      <c r="F1400" s="154" t="s">
        <v>135</v>
      </c>
      <c r="G1400" s="154" t="s">
        <v>732</v>
      </c>
      <c r="H1400" s="155"/>
      <c r="I1400" s="154"/>
      <c r="J1400" s="154" t="s">
        <v>2792</v>
      </c>
      <c r="K1400" s="154" t="s">
        <v>2502</v>
      </c>
      <c r="L1400" s="17" t="s">
        <v>50</v>
      </c>
    </row>
    <row r="1401">
      <c r="A1401" s="153">
        <v>53.0</v>
      </c>
      <c r="B1401" s="154" t="s">
        <v>7</v>
      </c>
      <c r="C1401" s="154" t="s">
        <v>1087</v>
      </c>
      <c r="D1401" s="154" t="s">
        <v>202</v>
      </c>
      <c r="E1401" s="154" t="s">
        <v>136</v>
      </c>
      <c r="F1401" s="154" t="s">
        <v>136</v>
      </c>
      <c r="G1401" s="154" t="s">
        <v>180</v>
      </c>
      <c r="H1401" s="155"/>
      <c r="I1401" s="154"/>
      <c r="J1401" s="154" t="s">
        <v>2793</v>
      </c>
      <c r="K1401" s="154" t="s">
        <v>2509</v>
      </c>
      <c r="L1401" s="17" t="s">
        <v>50</v>
      </c>
    </row>
    <row r="1402">
      <c r="A1402" s="153">
        <v>6.0</v>
      </c>
      <c r="B1402" s="154" t="s">
        <v>6</v>
      </c>
      <c r="C1402" s="154" t="s">
        <v>1000</v>
      </c>
      <c r="D1402" s="154" t="s">
        <v>202</v>
      </c>
      <c r="E1402" s="154" t="s">
        <v>135</v>
      </c>
      <c r="F1402" s="154" t="s">
        <v>136</v>
      </c>
      <c r="G1402" s="154" t="s">
        <v>460</v>
      </c>
      <c r="H1402" s="155"/>
      <c r="I1402" s="154"/>
      <c r="J1402" s="157">
        <v>45688.49652777778</v>
      </c>
      <c r="K1402" s="154" t="s">
        <v>2513</v>
      </c>
      <c r="L1402" s="17" t="s">
        <v>50</v>
      </c>
    </row>
    <row r="1403">
      <c r="A1403" s="153">
        <v>57.0</v>
      </c>
      <c r="B1403" s="154" t="s">
        <v>6</v>
      </c>
      <c r="C1403" s="154" t="s">
        <v>342</v>
      </c>
      <c r="D1403" s="154" t="s">
        <v>218</v>
      </c>
      <c r="E1403" s="154" t="s">
        <v>136</v>
      </c>
      <c r="F1403" s="154" t="s">
        <v>136</v>
      </c>
      <c r="G1403" s="154" t="s">
        <v>650</v>
      </c>
      <c r="H1403" s="155"/>
      <c r="I1403" s="154"/>
      <c r="J1403" s="154" t="s">
        <v>2794</v>
      </c>
      <c r="K1403" s="154" t="s">
        <v>2509</v>
      </c>
      <c r="L1403" s="17" t="s">
        <v>50</v>
      </c>
    </row>
    <row r="1404">
      <c r="A1404" s="153">
        <v>55.0</v>
      </c>
      <c r="B1404" s="154" t="s">
        <v>6</v>
      </c>
      <c r="C1404" s="154" t="s">
        <v>2795</v>
      </c>
      <c r="D1404" s="154" t="s">
        <v>268</v>
      </c>
      <c r="E1404" s="154" t="s">
        <v>135</v>
      </c>
      <c r="F1404" s="154" t="s">
        <v>136</v>
      </c>
      <c r="G1404" s="154" t="s">
        <v>2101</v>
      </c>
      <c r="H1404" s="155"/>
      <c r="I1404" s="154"/>
      <c r="J1404" s="154" t="s">
        <v>2796</v>
      </c>
      <c r="K1404" s="154" t="s">
        <v>2509</v>
      </c>
      <c r="L1404" s="17" t="s">
        <v>50</v>
      </c>
    </row>
    <row r="1405">
      <c r="A1405" s="153">
        <v>34.0</v>
      </c>
      <c r="B1405" s="154" t="s">
        <v>7</v>
      </c>
      <c r="C1405" s="154" t="s">
        <v>2797</v>
      </c>
      <c r="D1405" s="154" t="s">
        <v>202</v>
      </c>
      <c r="E1405" s="154" t="s">
        <v>135</v>
      </c>
      <c r="F1405" s="154" t="s">
        <v>136</v>
      </c>
      <c r="G1405" s="154" t="s">
        <v>1067</v>
      </c>
      <c r="H1405" s="154" t="s">
        <v>2798</v>
      </c>
      <c r="I1405" s="154"/>
      <c r="J1405" s="157">
        <v>45702.708333333336</v>
      </c>
      <c r="K1405" s="154" t="s">
        <v>185</v>
      </c>
      <c r="L1405" s="17" t="s">
        <v>50</v>
      </c>
    </row>
    <row r="1406">
      <c r="A1406" s="153">
        <v>50.0</v>
      </c>
      <c r="B1406" s="154" t="s">
        <v>6</v>
      </c>
      <c r="C1406" s="154" t="s">
        <v>2799</v>
      </c>
      <c r="D1406" s="154" t="s">
        <v>369</v>
      </c>
      <c r="E1406" s="154" t="s">
        <v>135</v>
      </c>
      <c r="F1406" s="154" t="s">
        <v>136</v>
      </c>
      <c r="G1406" s="154" t="s">
        <v>2800</v>
      </c>
      <c r="H1406" s="155"/>
      <c r="I1406" s="154"/>
      <c r="J1406" s="154" t="s">
        <v>2801</v>
      </c>
      <c r="K1406" s="154" t="s">
        <v>185</v>
      </c>
      <c r="L1406" s="17" t="s">
        <v>50</v>
      </c>
    </row>
    <row r="1407">
      <c r="A1407" s="153">
        <v>103.0</v>
      </c>
      <c r="B1407" s="154" t="s">
        <v>8</v>
      </c>
      <c r="C1407" s="154" t="s">
        <v>1014</v>
      </c>
      <c r="D1407" s="154" t="s">
        <v>202</v>
      </c>
      <c r="E1407" s="154" t="s">
        <v>135</v>
      </c>
      <c r="F1407" s="154" t="s">
        <v>136</v>
      </c>
      <c r="G1407" s="154" t="s">
        <v>168</v>
      </c>
      <c r="H1407" s="155"/>
      <c r="I1407" s="154"/>
      <c r="J1407" s="157">
        <v>45754.65833333333</v>
      </c>
      <c r="K1407" s="154" t="s">
        <v>2513</v>
      </c>
      <c r="L1407" s="17" t="s">
        <v>50</v>
      </c>
    </row>
    <row r="1408">
      <c r="A1408" s="153">
        <v>102.0</v>
      </c>
      <c r="B1408" s="154" t="s">
        <v>6</v>
      </c>
      <c r="C1408" s="154" t="s">
        <v>280</v>
      </c>
      <c r="D1408" s="154" t="s">
        <v>202</v>
      </c>
      <c r="E1408" s="154" t="s">
        <v>136</v>
      </c>
      <c r="F1408" s="154" t="s">
        <v>136</v>
      </c>
      <c r="G1408" s="154" t="s">
        <v>281</v>
      </c>
      <c r="H1408" s="155"/>
      <c r="I1408" s="154"/>
      <c r="J1408" s="157">
        <v>45754.5625</v>
      </c>
      <c r="K1408" s="154" t="s">
        <v>2509</v>
      </c>
      <c r="L1408" s="17" t="s">
        <v>50</v>
      </c>
    </row>
    <row r="1409">
      <c r="A1409" s="153">
        <v>98.0</v>
      </c>
      <c r="B1409" s="154" t="s">
        <v>7</v>
      </c>
      <c r="C1409" s="154" t="s">
        <v>2802</v>
      </c>
      <c r="D1409" s="154" t="s">
        <v>239</v>
      </c>
      <c r="E1409" s="154" t="s">
        <v>135</v>
      </c>
      <c r="F1409" s="154" t="s">
        <v>136</v>
      </c>
      <c r="G1409" s="154" t="s">
        <v>150</v>
      </c>
      <c r="H1409" s="155"/>
      <c r="I1409" s="154"/>
      <c r="J1409" s="157">
        <v>45754.157638888886</v>
      </c>
      <c r="K1409" s="154" t="s">
        <v>2513</v>
      </c>
      <c r="L1409" s="17" t="s">
        <v>50</v>
      </c>
    </row>
    <row r="1410">
      <c r="A1410" s="153">
        <v>73.0</v>
      </c>
      <c r="B1410" s="154" t="s">
        <v>6</v>
      </c>
      <c r="C1410" s="154" t="s">
        <v>2803</v>
      </c>
      <c r="D1410" s="154" t="s">
        <v>177</v>
      </c>
      <c r="E1410" s="154" t="s">
        <v>135</v>
      </c>
      <c r="F1410" s="154" t="s">
        <v>135</v>
      </c>
      <c r="G1410" s="154" t="s">
        <v>150</v>
      </c>
      <c r="H1410" s="155"/>
      <c r="I1410" s="154"/>
      <c r="J1410" s="154" t="s">
        <v>2804</v>
      </c>
      <c r="K1410" s="154" t="s">
        <v>185</v>
      </c>
      <c r="L1410" s="17" t="s">
        <v>50</v>
      </c>
    </row>
    <row r="1411">
      <c r="A1411" s="153">
        <v>15.0</v>
      </c>
      <c r="B1411" s="154" t="s">
        <v>7</v>
      </c>
      <c r="C1411" s="154" t="s">
        <v>975</v>
      </c>
      <c r="D1411" s="154" t="s">
        <v>369</v>
      </c>
      <c r="E1411" s="154" t="s">
        <v>136</v>
      </c>
      <c r="F1411" s="154" t="s">
        <v>135</v>
      </c>
      <c r="G1411" s="154" t="s">
        <v>150</v>
      </c>
      <c r="H1411" s="154" t="s">
        <v>2805</v>
      </c>
      <c r="I1411" s="154"/>
      <c r="J1411" s="157">
        <v>45698.54305555556</v>
      </c>
      <c r="K1411" s="154" t="s">
        <v>185</v>
      </c>
      <c r="L1411" s="17" t="s">
        <v>50</v>
      </c>
    </row>
    <row r="1412">
      <c r="A1412" s="153">
        <v>62.0</v>
      </c>
      <c r="B1412" s="154" t="s">
        <v>6</v>
      </c>
      <c r="C1412" s="154" t="s">
        <v>1055</v>
      </c>
      <c r="D1412" s="154" t="s">
        <v>369</v>
      </c>
      <c r="E1412" s="154" t="s">
        <v>135</v>
      </c>
      <c r="F1412" s="154" t="s">
        <v>136</v>
      </c>
      <c r="G1412" s="154" t="s">
        <v>382</v>
      </c>
      <c r="H1412" s="155"/>
      <c r="I1412" s="154"/>
      <c r="J1412" s="154" t="s">
        <v>2806</v>
      </c>
      <c r="K1412" s="154" t="s">
        <v>185</v>
      </c>
      <c r="L1412" s="17" t="s">
        <v>50</v>
      </c>
    </row>
    <row r="1413">
      <c r="A1413" s="153">
        <v>27.0</v>
      </c>
      <c r="B1413" s="154" t="s">
        <v>6</v>
      </c>
      <c r="C1413" s="154" t="s">
        <v>2807</v>
      </c>
      <c r="D1413" s="154" t="s">
        <v>214</v>
      </c>
      <c r="E1413" s="154" t="s">
        <v>135</v>
      </c>
      <c r="F1413" s="154" t="s">
        <v>136</v>
      </c>
      <c r="G1413" s="154" t="s">
        <v>1027</v>
      </c>
      <c r="H1413" s="155"/>
      <c r="I1413" s="154"/>
      <c r="J1413" s="157">
        <v>45699.191666666666</v>
      </c>
      <c r="K1413" s="154" t="s">
        <v>2513</v>
      </c>
      <c r="L1413" s="17" t="s">
        <v>50</v>
      </c>
    </row>
    <row r="1414">
      <c r="A1414" s="153">
        <v>33.0</v>
      </c>
      <c r="B1414" s="154" t="s">
        <v>7</v>
      </c>
      <c r="C1414" s="154" t="s">
        <v>2808</v>
      </c>
      <c r="D1414" s="154" t="s">
        <v>202</v>
      </c>
      <c r="E1414" s="154" t="s">
        <v>135</v>
      </c>
      <c r="F1414" s="154" t="s">
        <v>136</v>
      </c>
      <c r="G1414" s="154" t="s">
        <v>479</v>
      </c>
      <c r="H1414" s="155"/>
      <c r="I1414" s="154"/>
      <c r="J1414" s="157">
        <v>45702.49652777778</v>
      </c>
      <c r="K1414" s="154" t="s">
        <v>185</v>
      </c>
      <c r="L1414" s="17" t="s">
        <v>50</v>
      </c>
    </row>
    <row r="1415">
      <c r="A1415" s="153">
        <v>75.0</v>
      </c>
      <c r="B1415" s="154" t="s">
        <v>7</v>
      </c>
      <c r="C1415" s="154" t="s">
        <v>2809</v>
      </c>
      <c r="D1415" s="154" t="s">
        <v>143</v>
      </c>
      <c r="E1415" s="154" t="s">
        <v>135</v>
      </c>
      <c r="F1415" s="154" t="s">
        <v>136</v>
      </c>
      <c r="G1415" s="154" t="s">
        <v>185</v>
      </c>
      <c r="H1415" s="165" t="s">
        <v>2810</v>
      </c>
      <c r="I1415" s="154"/>
      <c r="J1415" s="154" t="s">
        <v>2811</v>
      </c>
      <c r="K1415" s="154" t="s">
        <v>185</v>
      </c>
      <c r="L1415" s="17" t="s">
        <v>50</v>
      </c>
    </row>
    <row r="1416">
      <c r="A1416" s="153">
        <v>91.0</v>
      </c>
      <c r="B1416" s="154" t="s">
        <v>6</v>
      </c>
      <c r="C1416" s="154" t="s">
        <v>1398</v>
      </c>
      <c r="D1416" s="154" t="s">
        <v>213</v>
      </c>
      <c r="E1416" s="154" t="s">
        <v>136</v>
      </c>
      <c r="F1416" s="154" t="s">
        <v>136</v>
      </c>
      <c r="G1416" s="154" t="s">
        <v>349</v>
      </c>
      <c r="H1416" s="155"/>
      <c r="I1416" s="154"/>
      <c r="J1416" s="157">
        <v>45750.600694444445</v>
      </c>
      <c r="K1416" s="154" t="s">
        <v>2509</v>
      </c>
      <c r="L1416" s="17" t="s">
        <v>50</v>
      </c>
    </row>
    <row r="1417">
      <c r="A1417" s="153">
        <v>1.0</v>
      </c>
      <c r="B1417" s="154" t="s">
        <v>6</v>
      </c>
      <c r="C1417" s="154" t="s">
        <v>2812</v>
      </c>
      <c r="D1417" s="154" t="s">
        <v>153</v>
      </c>
      <c r="E1417" s="154" t="s">
        <v>135</v>
      </c>
      <c r="F1417" s="154" t="s">
        <v>136</v>
      </c>
      <c r="G1417" s="154" t="s">
        <v>137</v>
      </c>
      <c r="H1417" s="155"/>
      <c r="I1417" s="154"/>
      <c r="J1417" s="157">
        <v>45688.36666666667</v>
      </c>
      <c r="K1417" s="154" t="s">
        <v>2502</v>
      </c>
      <c r="L1417" s="17" t="s">
        <v>50</v>
      </c>
    </row>
    <row r="1418">
      <c r="A1418" s="153">
        <v>25.0</v>
      </c>
      <c r="B1418" s="154" t="s">
        <v>6</v>
      </c>
      <c r="C1418" s="154" t="s">
        <v>2813</v>
      </c>
      <c r="D1418" s="154" t="s">
        <v>214</v>
      </c>
      <c r="E1418" s="154" t="s">
        <v>135</v>
      </c>
      <c r="F1418" s="154" t="s">
        <v>135</v>
      </c>
      <c r="G1418" s="154" t="s">
        <v>1001</v>
      </c>
      <c r="H1418" s="155"/>
      <c r="I1418" s="154"/>
      <c r="J1418" s="157">
        <v>45698.66527777778</v>
      </c>
      <c r="K1418" s="154" t="s">
        <v>2513</v>
      </c>
      <c r="L1418" s="17" t="s">
        <v>50</v>
      </c>
    </row>
    <row r="1419">
      <c r="A1419" s="153">
        <v>43.0</v>
      </c>
      <c r="B1419" s="154" t="s">
        <v>7</v>
      </c>
      <c r="C1419" s="154" t="s">
        <v>2814</v>
      </c>
      <c r="D1419" s="154" t="s">
        <v>153</v>
      </c>
      <c r="E1419" s="154" t="s">
        <v>135</v>
      </c>
      <c r="F1419" s="154" t="s">
        <v>136</v>
      </c>
      <c r="G1419" s="154" t="s">
        <v>1291</v>
      </c>
      <c r="H1419" s="155"/>
      <c r="I1419" s="154"/>
      <c r="J1419" s="157">
        <v>45712.65416666667</v>
      </c>
      <c r="K1419" s="154" t="s">
        <v>2513</v>
      </c>
      <c r="L1419" s="17" t="s">
        <v>50</v>
      </c>
    </row>
    <row r="1420">
      <c r="A1420" s="153">
        <v>84.0</v>
      </c>
      <c r="B1420" s="154" t="s">
        <v>6</v>
      </c>
      <c r="C1420" s="154" t="s">
        <v>2815</v>
      </c>
      <c r="D1420" s="154" t="s">
        <v>263</v>
      </c>
      <c r="E1420" s="154" t="s">
        <v>135</v>
      </c>
      <c r="F1420" s="154" t="s">
        <v>136</v>
      </c>
      <c r="G1420" s="154" t="s">
        <v>180</v>
      </c>
      <c r="H1420" s="155"/>
      <c r="I1420" s="154"/>
      <c r="J1420" s="157">
        <v>45748.89513888889</v>
      </c>
      <c r="K1420" s="154" t="s">
        <v>2513</v>
      </c>
      <c r="L1420" s="17" t="s">
        <v>50</v>
      </c>
    </row>
    <row r="1421">
      <c r="A1421" s="153">
        <v>47.0</v>
      </c>
      <c r="B1421" s="154" t="s">
        <v>6</v>
      </c>
      <c r="C1421" s="154" t="s">
        <v>2816</v>
      </c>
      <c r="D1421" s="154" t="s">
        <v>263</v>
      </c>
      <c r="E1421" s="154" t="s">
        <v>136</v>
      </c>
      <c r="F1421" s="154" t="s">
        <v>136</v>
      </c>
      <c r="G1421" s="154" t="s">
        <v>606</v>
      </c>
      <c r="H1421" s="154" t="s">
        <v>2817</v>
      </c>
      <c r="I1421" s="154"/>
      <c r="J1421" s="154" t="s">
        <v>2818</v>
      </c>
      <c r="K1421" s="154" t="s">
        <v>2513</v>
      </c>
      <c r="L1421" s="17" t="s">
        <v>50</v>
      </c>
    </row>
    <row r="1422">
      <c r="A1422" s="153">
        <v>105.0</v>
      </c>
      <c r="B1422" s="154" t="s">
        <v>7</v>
      </c>
      <c r="C1422" s="154" t="s">
        <v>2819</v>
      </c>
      <c r="D1422" s="154" t="s">
        <v>285</v>
      </c>
      <c r="E1422" s="154" t="s">
        <v>136</v>
      </c>
      <c r="F1422" s="154" t="s">
        <v>136</v>
      </c>
      <c r="G1422" s="154" t="s">
        <v>1001</v>
      </c>
      <c r="H1422" s="154" t="s">
        <v>2820</v>
      </c>
      <c r="I1422" s="154"/>
      <c r="J1422" s="157">
        <v>45754.86666666667</v>
      </c>
      <c r="K1422" s="154" t="s">
        <v>2502</v>
      </c>
      <c r="L1422" s="17" t="s">
        <v>50</v>
      </c>
    </row>
    <row r="1423">
      <c r="A1423" s="153">
        <v>29.0</v>
      </c>
      <c r="B1423" s="154" t="s">
        <v>6</v>
      </c>
      <c r="C1423" s="154" t="s">
        <v>2821</v>
      </c>
      <c r="D1423" s="154" t="s">
        <v>313</v>
      </c>
      <c r="E1423" s="154" t="s">
        <v>135</v>
      </c>
      <c r="F1423" s="154" t="s">
        <v>136</v>
      </c>
      <c r="G1423" s="154" t="s">
        <v>582</v>
      </c>
      <c r="H1423" s="154" t="s">
        <v>2822</v>
      </c>
      <c r="I1423" s="154"/>
      <c r="J1423" s="157">
        <v>45700.05625</v>
      </c>
      <c r="K1423" s="154" t="s">
        <v>185</v>
      </c>
      <c r="L1423" s="17" t="s">
        <v>50</v>
      </c>
    </row>
    <row r="1424">
      <c r="A1424" s="153">
        <v>90.0</v>
      </c>
      <c r="B1424" s="154" t="s">
        <v>7</v>
      </c>
      <c r="C1424" s="154" t="s">
        <v>1177</v>
      </c>
      <c r="D1424" s="154" t="s">
        <v>233</v>
      </c>
      <c r="E1424" s="154" t="s">
        <v>135</v>
      </c>
      <c r="F1424" s="154" t="s">
        <v>136</v>
      </c>
      <c r="G1424" s="154" t="s">
        <v>2823</v>
      </c>
      <c r="H1424" s="155"/>
      <c r="I1424" s="154"/>
      <c r="J1424" s="157">
        <v>45750.506944444445</v>
      </c>
      <c r="K1424" s="154" t="s">
        <v>185</v>
      </c>
      <c r="L1424" s="17" t="s">
        <v>50</v>
      </c>
    </row>
    <row r="1425">
      <c r="A1425" s="153">
        <v>42.0</v>
      </c>
      <c r="B1425" s="154" t="s">
        <v>6</v>
      </c>
      <c r="C1425" s="154" t="s">
        <v>2824</v>
      </c>
      <c r="D1425" s="154" t="s">
        <v>164</v>
      </c>
      <c r="E1425" s="154" t="s">
        <v>135</v>
      </c>
      <c r="F1425" s="154" t="s">
        <v>136</v>
      </c>
      <c r="G1425" s="154" t="s">
        <v>137</v>
      </c>
      <c r="H1425" s="155"/>
      <c r="I1425" s="154"/>
      <c r="J1425" s="157">
        <v>45708.47708333333</v>
      </c>
      <c r="K1425" s="154" t="s">
        <v>185</v>
      </c>
      <c r="L1425" s="17" t="s">
        <v>50</v>
      </c>
    </row>
    <row r="1426">
      <c r="A1426" s="153">
        <v>66.0</v>
      </c>
      <c r="B1426" s="154" t="s">
        <v>6</v>
      </c>
      <c r="C1426" s="154" t="s">
        <v>2674</v>
      </c>
      <c r="D1426" s="154" t="s">
        <v>203</v>
      </c>
      <c r="E1426" s="154" t="s">
        <v>135</v>
      </c>
      <c r="F1426" s="154" t="s">
        <v>136</v>
      </c>
      <c r="G1426" s="154" t="s">
        <v>1001</v>
      </c>
      <c r="H1426" s="155"/>
      <c r="I1426" s="154"/>
      <c r="J1426" s="154" t="s">
        <v>2825</v>
      </c>
      <c r="K1426" s="154" t="s">
        <v>2502</v>
      </c>
      <c r="L1426" s="17" t="s">
        <v>50</v>
      </c>
    </row>
    <row r="1427">
      <c r="A1427" s="153">
        <v>64.0</v>
      </c>
      <c r="B1427" s="154" t="s">
        <v>6</v>
      </c>
      <c r="C1427" s="154" t="s">
        <v>2826</v>
      </c>
      <c r="D1427" s="154" t="s">
        <v>202</v>
      </c>
      <c r="E1427" s="154" t="s">
        <v>135</v>
      </c>
      <c r="F1427" s="154" t="s">
        <v>136</v>
      </c>
      <c r="G1427" s="154" t="s">
        <v>479</v>
      </c>
      <c r="H1427" s="155"/>
      <c r="I1427" s="154"/>
      <c r="J1427" s="154" t="s">
        <v>2827</v>
      </c>
      <c r="K1427" s="154" t="s">
        <v>2513</v>
      </c>
      <c r="L1427" s="17" t="s">
        <v>50</v>
      </c>
    </row>
    <row r="1428">
      <c r="A1428" s="153">
        <v>88.0</v>
      </c>
      <c r="B1428" s="154" t="s">
        <v>6</v>
      </c>
      <c r="C1428" s="154" t="s">
        <v>2828</v>
      </c>
      <c r="D1428" s="154" t="s">
        <v>228</v>
      </c>
      <c r="E1428" s="154" t="s">
        <v>135</v>
      </c>
      <c r="F1428" s="154" t="s">
        <v>135</v>
      </c>
      <c r="G1428" s="154" t="s">
        <v>150</v>
      </c>
      <c r="H1428" s="155"/>
      <c r="I1428" s="154"/>
      <c r="J1428" s="157">
        <v>45750.4625</v>
      </c>
      <c r="K1428" s="154" t="s">
        <v>2502</v>
      </c>
      <c r="L1428" s="17" t="s">
        <v>50</v>
      </c>
    </row>
    <row r="1429">
      <c r="A1429" s="153">
        <v>67.0</v>
      </c>
      <c r="B1429" s="154" t="s">
        <v>7</v>
      </c>
      <c r="C1429" s="154" t="s">
        <v>2829</v>
      </c>
      <c r="D1429" s="154" t="s">
        <v>202</v>
      </c>
      <c r="E1429" s="154" t="s">
        <v>136</v>
      </c>
      <c r="F1429" s="154" t="s">
        <v>136</v>
      </c>
      <c r="G1429" s="154" t="s">
        <v>460</v>
      </c>
      <c r="H1429" s="155"/>
      <c r="I1429" s="154"/>
      <c r="J1429" s="154" t="s">
        <v>2830</v>
      </c>
      <c r="K1429" s="154" t="s">
        <v>2507</v>
      </c>
      <c r="L1429" s="17" t="s">
        <v>50</v>
      </c>
    </row>
    <row r="1430">
      <c r="A1430" s="153">
        <v>94.0</v>
      </c>
      <c r="B1430" s="154" t="s">
        <v>6</v>
      </c>
      <c r="C1430" s="154" t="s">
        <v>2831</v>
      </c>
      <c r="D1430" s="154" t="s">
        <v>164</v>
      </c>
      <c r="E1430" s="154" t="s">
        <v>135</v>
      </c>
      <c r="F1430" s="154" t="s">
        <v>136</v>
      </c>
      <c r="G1430" s="154" t="s">
        <v>1219</v>
      </c>
      <c r="H1430" s="154" t="s">
        <v>2832</v>
      </c>
      <c r="I1430" s="154"/>
      <c r="J1430" s="157">
        <v>45751.623611111114</v>
      </c>
      <c r="K1430" s="154" t="s">
        <v>2513</v>
      </c>
      <c r="L1430" s="17" t="s">
        <v>50</v>
      </c>
    </row>
    <row r="1431">
      <c r="A1431" s="153">
        <v>92.0</v>
      </c>
      <c r="B1431" s="154" t="s">
        <v>7</v>
      </c>
      <c r="C1431" s="154" t="s">
        <v>2833</v>
      </c>
      <c r="D1431" s="154" t="s">
        <v>291</v>
      </c>
      <c r="E1431" s="154" t="s">
        <v>136</v>
      </c>
      <c r="F1431" s="154" t="s">
        <v>136</v>
      </c>
      <c r="G1431" s="154" t="s">
        <v>221</v>
      </c>
      <c r="H1431" s="155"/>
      <c r="I1431" s="154"/>
      <c r="J1431" s="157">
        <v>45750.62847222222</v>
      </c>
      <c r="K1431" s="154" t="s">
        <v>2509</v>
      </c>
      <c r="L1431" s="17" t="s">
        <v>50</v>
      </c>
    </row>
    <row r="1432">
      <c r="A1432" s="153">
        <v>11.0</v>
      </c>
      <c r="B1432" s="154" t="s">
        <v>7</v>
      </c>
      <c r="C1432" s="154" t="s">
        <v>469</v>
      </c>
      <c r="D1432" s="154" t="s">
        <v>202</v>
      </c>
      <c r="E1432" s="154" t="s">
        <v>136</v>
      </c>
      <c r="F1432" s="154" t="s">
        <v>136</v>
      </c>
      <c r="G1432" s="154" t="s">
        <v>320</v>
      </c>
      <c r="H1432" s="154" t="s">
        <v>2834</v>
      </c>
      <c r="I1432" s="154"/>
      <c r="J1432" s="157">
        <v>45692.416666666664</v>
      </c>
      <c r="K1432" s="154" t="s">
        <v>2509</v>
      </c>
      <c r="L1432" s="17" t="s">
        <v>50</v>
      </c>
    </row>
    <row r="1433">
      <c r="A1433" s="153">
        <v>28.0</v>
      </c>
      <c r="B1433" s="154" t="s">
        <v>7</v>
      </c>
      <c r="C1433" s="154" t="s">
        <v>2835</v>
      </c>
      <c r="D1433" s="154" t="s">
        <v>214</v>
      </c>
      <c r="E1433" s="154" t="s">
        <v>135</v>
      </c>
      <c r="F1433" s="154" t="s">
        <v>136</v>
      </c>
      <c r="G1433" s="154" t="s">
        <v>157</v>
      </c>
      <c r="H1433" s="155"/>
      <c r="I1433" s="154"/>
      <c r="J1433" s="157">
        <v>45699.395833333336</v>
      </c>
      <c r="K1433" s="154" t="s">
        <v>2513</v>
      </c>
      <c r="L1433" s="17" t="s">
        <v>50</v>
      </c>
    </row>
    <row r="1434">
      <c r="A1434" s="153">
        <v>61.0</v>
      </c>
      <c r="B1434" s="154" t="s">
        <v>7</v>
      </c>
      <c r="C1434" s="154" t="s">
        <v>1055</v>
      </c>
      <c r="D1434" s="154" t="s">
        <v>369</v>
      </c>
      <c r="E1434" s="154" t="s">
        <v>135</v>
      </c>
      <c r="F1434" s="154" t="s">
        <v>136</v>
      </c>
      <c r="G1434" s="154" t="s">
        <v>2836</v>
      </c>
      <c r="H1434" s="154" t="s">
        <v>903</v>
      </c>
      <c r="I1434" s="154"/>
      <c r="J1434" s="154" t="s">
        <v>2837</v>
      </c>
      <c r="K1434" s="154" t="s">
        <v>2513</v>
      </c>
      <c r="L1434" s="17" t="s">
        <v>50</v>
      </c>
    </row>
    <row r="1435">
      <c r="A1435" s="153">
        <v>51.0</v>
      </c>
      <c r="B1435" s="154" t="s">
        <v>6</v>
      </c>
      <c r="C1435" s="154" t="s">
        <v>2838</v>
      </c>
      <c r="D1435" s="154" t="s">
        <v>202</v>
      </c>
      <c r="E1435" s="154" t="s">
        <v>135</v>
      </c>
      <c r="F1435" s="154" t="s">
        <v>136</v>
      </c>
      <c r="G1435" s="154" t="s">
        <v>2839</v>
      </c>
      <c r="H1435" s="154" t="s">
        <v>2840</v>
      </c>
      <c r="I1435" s="154"/>
      <c r="J1435" s="154" t="s">
        <v>2841</v>
      </c>
      <c r="K1435" s="154" t="s">
        <v>185</v>
      </c>
      <c r="L1435" s="17" t="s">
        <v>50</v>
      </c>
    </row>
    <row r="1436">
      <c r="A1436" s="153">
        <v>10.0</v>
      </c>
      <c r="B1436" s="154" t="s">
        <v>6</v>
      </c>
      <c r="C1436" s="154" t="s">
        <v>1949</v>
      </c>
      <c r="D1436" s="154" t="s">
        <v>218</v>
      </c>
      <c r="E1436" s="154" t="s">
        <v>136</v>
      </c>
      <c r="F1436" s="154" t="s">
        <v>136</v>
      </c>
      <c r="G1436" s="154" t="s">
        <v>185</v>
      </c>
      <c r="H1436" s="165" t="s">
        <v>1161</v>
      </c>
      <c r="I1436" s="154"/>
      <c r="J1436" s="157">
        <v>45691.396527777775</v>
      </c>
      <c r="K1436" s="154" t="s">
        <v>2509</v>
      </c>
      <c r="L1436" s="17" t="s">
        <v>50</v>
      </c>
    </row>
    <row r="1437">
      <c r="A1437" s="153">
        <v>19.0</v>
      </c>
      <c r="B1437" s="154" t="s">
        <v>6</v>
      </c>
      <c r="C1437" s="154" t="s">
        <v>1055</v>
      </c>
      <c r="D1437" s="154" t="s">
        <v>369</v>
      </c>
      <c r="E1437" s="154" t="s">
        <v>136</v>
      </c>
      <c r="F1437" s="154" t="s">
        <v>135</v>
      </c>
      <c r="G1437" s="154" t="s">
        <v>349</v>
      </c>
      <c r="H1437" s="155"/>
      <c r="I1437" s="154"/>
      <c r="J1437" s="157">
        <v>45698.58541666667</v>
      </c>
      <c r="K1437" s="154" t="s">
        <v>2513</v>
      </c>
      <c r="L1437" s="17" t="s">
        <v>50</v>
      </c>
    </row>
    <row r="1438">
      <c r="A1438" s="153">
        <v>74.0</v>
      </c>
      <c r="B1438" s="154" t="s">
        <v>6</v>
      </c>
      <c r="C1438" s="154" t="s">
        <v>2842</v>
      </c>
      <c r="D1438" s="154" t="s">
        <v>263</v>
      </c>
      <c r="E1438" s="154" t="s">
        <v>135</v>
      </c>
      <c r="F1438" s="154" t="s">
        <v>136</v>
      </c>
      <c r="G1438" s="154" t="s">
        <v>448</v>
      </c>
      <c r="H1438" s="155"/>
      <c r="I1438" s="154"/>
      <c r="J1438" s="154" t="s">
        <v>2843</v>
      </c>
      <c r="K1438" s="154" t="s">
        <v>185</v>
      </c>
      <c r="L1438" s="17" t="s">
        <v>50</v>
      </c>
    </row>
    <row r="1439">
      <c r="A1439" s="153">
        <v>100.0</v>
      </c>
      <c r="B1439" s="154" t="s">
        <v>6</v>
      </c>
      <c r="C1439" s="154" t="s">
        <v>2699</v>
      </c>
      <c r="D1439" s="154" t="s">
        <v>233</v>
      </c>
      <c r="E1439" s="154" t="s">
        <v>136</v>
      </c>
      <c r="F1439" s="154" t="s">
        <v>136</v>
      </c>
      <c r="G1439" s="154" t="s">
        <v>168</v>
      </c>
      <c r="H1439" s="155"/>
      <c r="I1439" s="154"/>
      <c r="J1439" s="157">
        <v>45754.52777777778</v>
      </c>
      <c r="K1439" s="154" t="s">
        <v>2513</v>
      </c>
      <c r="L1439" s="17" t="s">
        <v>50</v>
      </c>
    </row>
    <row r="1440">
      <c r="A1440" s="153">
        <v>40.0</v>
      </c>
      <c r="B1440" s="154" t="s">
        <v>6</v>
      </c>
      <c r="C1440" s="154" t="s">
        <v>2844</v>
      </c>
      <c r="D1440" s="154" t="s">
        <v>177</v>
      </c>
      <c r="E1440" s="154" t="s">
        <v>135</v>
      </c>
      <c r="F1440" s="154" t="s">
        <v>136</v>
      </c>
      <c r="G1440" s="154" t="s">
        <v>367</v>
      </c>
      <c r="H1440" s="155"/>
      <c r="I1440" s="154"/>
      <c r="J1440" s="157">
        <v>45707.73402777778</v>
      </c>
      <c r="K1440" s="154" t="s">
        <v>2513</v>
      </c>
      <c r="L1440" s="17" t="s">
        <v>50</v>
      </c>
    </row>
    <row r="1441">
      <c r="A1441" s="153">
        <v>5.0</v>
      </c>
      <c r="B1441" s="154" t="s">
        <v>6</v>
      </c>
      <c r="C1441" s="154" t="s">
        <v>2845</v>
      </c>
      <c r="D1441" s="154" t="s">
        <v>177</v>
      </c>
      <c r="E1441" s="154" t="s">
        <v>135</v>
      </c>
      <c r="F1441" s="154" t="s">
        <v>136</v>
      </c>
      <c r="G1441" s="154" t="s">
        <v>168</v>
      </c>
      <c r="H1441" s="155"/>
      <c r="I1441" s="154"/>
      <c r="J1441" s="157">
        <v>45688.478472222225</v>
      </c>
      <c r="K1441" s="154" t="s">
        <v>2513</v>
      </c>
      <c r="L1441" s="17" t="s">
        <v>50</v>
      </c>
    </row>
    <row r="1442">
      <c r="A1442" s="153">
        <v>7.0</v>
      </c>
      <c r="B1442" s="154" t="s">
        <v>6</v>
      </c>
      <c r="C1442" s="154" t="s">
        <v>2846</v>
      </c>
      <c r="D1442" s="154" t="s">
        <v>202</v>
      </c>
      <c r="E1442" s="154" t="s">
        <v>135</v>
      </c>
      <c r="F1442" s="154" t="s">
        <v>136</v>
      </c>
      <c r="G1442" s="154" t="s">
        <v>1976</v>
      </c>
      <c r="H1442" s="155"/>
      <c r="I1442" s="154"/>
      <c r="J1442" s="157">
        <v>45688.57847222222</v>
      </c>
      <c r="K1442" s="154" t="s">
        <v>2513</v>
      </c>
      <c r="L1442" s="17" t="s">
        <v>50</v>
      </c>
    </row>
    <row r="1443">
      <c r="A1443" s="153">
        <v>83.0</v>
      </c>
      <c r="B1443" s="154" t="s">
        <v>7</v>
      </c>
      <c r="C1443" s="154" t="s">
        <v>2847</v>
      </c>
      <c r="D1443" s="154" t="s">
        <v>202</v>
      </c>
      <c r="E1443" s="154" t="s">
        <v>136</v>
      </c>
      <c r="F1443" s="154" t="s">
        <v>136</v>
      </c>
      <c r="G1443" s="154" t="s">
        <v>1027</v>
      </c>
      <c r="H1443" s="155"/>
      <c r="I1443" s="154"/>
      <c r="J1443" s="157">
        <v>45748.79791666667</v>
      </c>
      <c r="K1443" s="154" t="s">
        <v>2502</v>
      </c>
      <c r="L1443" s="17" t="s">
        <v>50</v>
      </c>
    </row>
    <row r="1444">
      <c r="A1444" s="153">
        <v>48.0</v>
      </c>
      <c r="B1444" s="154" t="s">
        <v>7</v>
      </c>
      <c r="C1444" s="154" t="s">
        <v>1434</v>
      </c>
      <c r="D1444" s="154" t="s">
        <v>263</v>
      </c>
      <c r="E1444" s="154" t="s">
        <v>135</v>
      </c>
      <c r="F1444" s="154" t="s">
        <v>136</v>
      </c>
      <c r="G1444" s="154" t="s">
        <v>2848</v>
      </c>
      <c r="H1444" s="154" t="s">
        <v>2849</v>
      </c>
      <c r="I1444" s="154"/>
      <c r="J1444" s="154" t="s">
        <v>2850</v>
      </c>
      <c r="K1444" s="154" t="s">
        <v>2507</v>
      </c>
      <c r="L1444" s="17" t="s">
        <v>50</v>
      </c>
    </row>
    <row r="1445">
      <c r="A1445" s="153">
        <v>80.0</v>
      </c>
      <c r="B1445" s="154" t="s">
        <v>6</v>
      </c>
      <c r="C1445" s="154" t="s">
        <v>2851</v>
      </c>
      <c r="D1445" s="154" t="s">
        <v>290</v>
      </c>
      <c r="E1445" s="154" t="s">
        <v>135</v>
      </c>
      <c r="F1445" s="154" t="s">
        <v>136</v>
      </c>
      <c r="G1445" s="154" t="s">
        <v>732</v>
      </c>
      <c r="H1445" s="155"/>
      <c r="I1445" s="154"/>
      <c r="J1445" s="157">
        <v>45748.532638888886</v>
      </c>
      <c r="K1445" s="154" t="s">
        <v>2502</v>
      </c>
      <c r="L1445" s="17" t="s">
        <v>50</v>
      </c>
    </row>
    <row r="1446">
      <c r="A1446" s="153">
        <v>24.0</v>
      </c>
      <c r="B1446" s="154" t="s">
        <v>7</v>
      </c>
      <c r="C1446" s="154" t="s">
        <v>1055</v>
      </c>
      <c r="D1446" s="154" t="s">
        <v>369</v>
      </c>
      <c r="E1446" s="154" t="s">
        <v>136</v>
      </c>
      <c r="F1446" s="154" t="s">
        <v>135</v>
      </c>
      <c r="G1446" s="154" t="s">
        <v>2852</v>
      </c>
      <c r="H1446" s="155"/>
      <c r="I1446" s="154"/>
      <c r="J1446" s="157">
        <v>45698.614583333336</v>
      </c>
      <c r="K1446" s="154" t="s">
        <v>2513</v>
      </c>
      <c r="L1446" s="17" t="s">
        <v>50</v>
      </c>
    </row>
    <row r="1447">
      <c r="A1447" s="153">
        <v>4.0</v>
      </c>
      <c r="B1447" s="154" t="s">
        <v>6</v>
      </c>
      <c r="C1447" s="154" t="s">
        <v>342</v>
      </c>
      <c r="D1447" s="154" t="s">
        <v>218</v>
      </c>
      <c r="E1447" s="154" t="s">
        <v>135</v>
      </c>
      <c r="F1447" s="154" t="s">
        <v>135</v>
      </c>
      <c r="G1447" s="154" t="s">
        <v>150</v>
      </c>
      <c r="H1447" s="155"/>
      <c r="I1447" s="154"/>
      <c r="J1447" s="157">
        <v>45688.47222222222</v>
      </c>
      <c r="K1447" s="154" t="s">
        <v>2502</v>
      </c>
      <c r="L1447" s="17" t="s">
        <v>50</v>
      </c>
    </row>
    <row r="1448">
      <c r="A1448" s="153">
        <v>63.0</v>
      </c>
      <c r="B1448" s="154" t="s">
        <v>7</v>
      </c>
      <c r="C1448" s="154" t="s">
        <v>589</v>
      </c>
      <c r="D1448" s="154" t="s">
        <v>233</v>
      </c>
      <c r="E1448" s="154" t="s">
        <v>135</v>
      </c>
      <c r="F1448" s="154" t="s">
        <v>136</v>
      </c>
      <c r="G1448" s="154" t="s">
        <v>168</v>
      </c>
      <c r="H1448" s="155"/>
      <c r="I1448" s="154"/>
      <c r="J1448" s="154" t="s">
        <v>2853</v>
      </c>
      <c r="K1448" s="154" t="s">
        <v>2513</v>
      </c>
      <c r="L1448" s="17" t="s">
        <v>50</v>
      </c>
    </row>
    <row r="1449">
      <c r="A1449" s="153">
        <v>78.0</v>
      </c>
      <c r="B1449" s="154" t="s">
        <v>6</v>
      </c>
      <c r="C1449" s="154" t="s">
        <v>2854</v>
      </c>
      <c r="D1449" s="154" t="s">
        <v>202</v>
      </c>
      <c r="E1449" s="154" t="s">
        <v>135</v>
      </c>
      <c r="F1449" s="154" t="s">
        <v>136</v>
      </c>
      <c r="G1449" s="154" t="s">
        <v>345</v>
      </c>
      <c r="H1449" s="155"/>
      <c r="I1449" s="154"/>
      <c r="J1449" s="157">
        <v>45748.40069444444</v>
      </c>
      <c r="K1449" s="154" t="s">
        <v>2513</v>
      </c>
      <c r="L1449" s="17" t="s">
        <v>50</v>
      </c>
    </row>
    <row r="1450">
      <c r="A1450" s="153">
        <v>46.0</v>
      </c>
      <c r="B1450" s="154" t="s">
        <v>7</v>
      </c>
      <c r="C1450" s="154">
        <v>1.062677627E9</v>
      </c>
      <c r="D1450" s="154" t="s">
        <v>347</v>
      </c>
      <c r="E1450" s="154" t="s">
        <v>135</v>
      </c>
      <c r="F1450" s="154" t="s">
        <v>136</v>
      </c>
      <c r="G1450" s="154" t="s">
        <v>460</v>
      </c>
      <c r="H1450" s="155"/>
      <c r="I1450" s="154"/>
      <c r="J1450" s="154" t="s">
        <v>2855</v>
      </c>
      <c r="K1450" s="154" t="s">
        <v>2513</v>
      </c>
      <c r="L1450" s="17" t="s">
        <v>50</v>
      </c>
    </row>
    <row r="1451">
      <c r="A1451" s="153">
        <v>95.0</v>
      </c>
      <c r="B1451" s="154" t="s">
        <v>6</v>
      </c>
      <c r="C1451" s="154" t="s">
        <v>1524</v>
      </c>
      <c r="D1451" s="154" t="s">
        <v>159</v>
      </c>
      <c r="E1451" s="154" t="s">
        <v>135</v>
      </c>
      <c r="F1451" s="154" t="s">
        <v>135</v>
      </c>
      <c r="G1451" s="154" t="s">
        <v>606</v>
      </c>
      <c r="H1451" s="155"/>
      <c r="I1451" s="154"/>
      <c r="J1451" s="157">
        <v>45753.64791666667</v>
      </c>
      <c r="K1451" s="154" t="s">
        <v>185</v>
      </c>
      <c r="L1451" s="17" t="s">
        <v>50</v>
      </c>
    </row>
    <row r="1452">
      <c r="A1452" s="153">
        <v>79.0</v>
      </c>
      <c r="B1452" s="154" t="s">
        <v>6</v>
      </c>
      <c r="C1452" s="154" t="s">
        <v>427</v>
      </c>
      <c r="D1452" s="154" t="s">
        <v>243</v>
      </c>
      <c r="E1452" s="154" t="s">
        <v>135</v>
      </c>
      <c r="F1452" s="154" t="s">
        <v>136</v>
      </c>
      <c r="G1452" s="154" t="s">
        <v>1081</v>
      </c>
      <c r="H1452" s="155"/>
      <c r="I1452" s="154"/>
      <c r="J1452" s="157">
        <v>45748.50347222222</v>
      </c>
      <c r="K1452" s="154" t="s">
        <v>2502</v>
      </c>
      <c r="L1452" s="17" t="s">
        <v>50</v>
      </c>
    </row>
    <row r="1453">
      <c r="A1453" s="153">
        <v>23.0</v>
      </c>
      <c r="B1453" s="154" t="s">
        <v>6</v>
      </c>
      <c r="C1453" s="154" t="s">
        <v>2856</v>
      </c>
      <c r="D1453" s="154" t="s">
        <v>214</v>
      </c>
      <c r="E1453" s="154" t="s">
        <v>135</v>
      </c>
      <c r="F1453" s="154" t="s">
        <v>135</v>
      </c>
      <c r="G1453" s="154" t="s">
        <v>1027</v>
      </c>
      <c r="H1453" s="155"/>
      <c r="I1453" s="154"/>
      <c r="J1453" s="157">
        <v>45698.61319444444</v>
      </c>
      <c r="K1453" s="154" t="s">
        <v>2513</v>
      </c>
      <c r="L1453" s="17" t="s">
        <v>50</v>
      </c>
    </row>
    <row r="1454">
      <c r="A1454" s="153">
        <v>81.0</v>
      </c>
      <c r="B1454" s="154" t="s">
        <v>6</v>
      </c>
      <c r="C1454" s="154" t="s">
        <v>2857</v>
      </c>
      <c r="D1454" s="154" t="s">
        <v>239</v>
      </c>
      <c r="E1454" s="154" t="s">
        <v>135</v>
      </c>
      <c r="F1454" s="154" t="s">
        <v>136</v>
      </c>
      <c r="G1454" s="154" t="s">
        <v>798</v>
      </c>
      <c r="H1454" s="154" t="s">
        <v>2858</v>
      </c>
      <c r="I1454" s="154"/>
      <c r="J1454" s="157">
        <v>45748.53611111111</v>
      </c>
      <c r="K1454" s="154" t="s">
        <v>185</v>
      </c>
      <c r="L1454" s="17" t="s">
        <v>50</v>
      </c>
    </row>
    <row r="1455">
      <c r="A1455" s="153">
        <v>21.0</v>
      </c>
      <c r="B1455" s="154" t="s">
        <v>6</v>
      </c>
      <c r="C1455" s="154" t="s">
        <v>2859</v>
      </c>
      <c r="D1455" s="154" t="s">
        <v>214</v>
      </c>
      <c r="E1455" s="154" t="s">
        <v>135</v>
      </c>
      <c r="F1455" s="154" t="s">
        <v>136</v>
      </c>
      <c r="G1455" s="154" t="s">
        <v>349</v>
      </c>
      <c r="H1455" s="155"/>
      <c r="I1455" s="154"/>
      <c r="J1455" s="157">
        <v>45698.606944444444</v>
      </c>
      <c r="K1455" s="154" t="s">
        <v>2513</v>
      </c>
      <c r="L1455" s="17" t="s">
        <v>50</v>
      </c>
    </row>
    <row r="1456">
      <c r="A1456" s="153">
        <v>72.0</v>
      </c>
      <c r="B1456" s="154" t="s">
        <v>7</v>
      </c>
      <c r="C1456" s="154" t="s">
        <v>848</v>
      </c>
      <c r="D1456" s="154" t="s">
        <v>243</v>
      </c>
      <c r="E1456" s="154" t="s">
        <v>135</v>
      </c>
      <c r="F1456" s="154" t="s">
        <v>135</v>
      </c>
      <c r="G1456" s="154" t="s">
        <v>157</v>
      </c>
      <c r="H1456" s="155"/>
      <c r="I1456" s="154"/>
      <c r="J1456" s="154" t="s">
        <v>2860</v>
      </c>
      <c r="K1456" s="154" t="s">
        <v>185</v>
      </c>
      <c r="L1456" s="17" t="s">
        <v>50</v>
      </c>
    </row>
    <row r="1457">
      <c r="A1457" s="153">
        <v>87.0</v>
      </c>
      <c r="B1457" s="154" t="s">
        <v>6</v>
      </c>
      <c r="C1457" s="154" t="s">
        <v>2861</v>
      </c>
      <c r="D1457" s="154" t="s">
        <v>239</v>
      </c>
      <c r="E1457" s="154" t="s">
        <v>136</v>
      </c>
      <c r="F1457" s="154" t="s">
        <v>136</v>
      </c>
      <c r="G1457" s="154" t="s">
        <v>2862</v>
      </c>
      <c r="H1457" s="155"/>
      <c r="I1457" s="154"/>
      <c r="J1457" s="157">
        <v>45750.18194444444</v>
      </c>
      <c r="K1457" s="154" t="s">
        <v>2513</v>
      </c>
      <c r="L1457" s="17" t="s">
        <v>50</v>
      </c>
    </row>
    <row r="1458">
      <c r="A1458" s="153">
        <v>77.0</v>
      </c>
      <c r="B1458" s="154" t="s">
        <v>6</v>
      </c>
      <c r="C1458" s="154" t="s">
        <v>1085</v>
      </c>
      <c r="D1458" s="154" t="s">
        <v>202</v>
      </c>
      <c r="E1458" s="154" t="s">
        <v>135</v>
      </c>
      <c r="F1458" s="154" t="s">
        <v>136</v>
      </c>
      <c r="G1458" s="154" t="s">
        <v>168</v>
      </c>
      <c r="H1458" s="155"/>
      <c r="I1458" s="154"/>
      <c r="J1458" s="157">
        <v>45748.40069444444</v>
      </c>
      <c r="K1458" s="154" t="s">
        <v>2513</v>
      </c>
      <c r="L1458" s="17" t="s">
        <v>50</v>
      </c>
    </row>
    <row r="1459">
      <c r="A1459" s="153">
        <v>71.0</v>
      </c>
      <c r="B1459" s="154" t="s">
        <v>6</v>
      </c>
      <c r="C1459" s="154" t="s">
        <v>2863</v>
      </c>
      <c r="D1459" s="154" t="s">
        <v>258</v>
      </c>
      <c r="E1459" s="154" t="s">
        <v>135</v>
      </c>
      <c r="F1459" s="154" t="s">
        <v>136</v>
      </c>
      <c r="G1459" s="154" t="s">
        <v>479</v>
      </c>
      <c r="H1459" s="155"/>
      <c r="I1459" s="154"/>
      <c r="J1459" s="154" t="s">
        <v>2770</v>
      </c>
      <c r="K1459" s="154" t="s">
        <v>185</v>
      </c>
      <c r="L1459" s="17" t="s">
        <v>50</v>
      </c>
    </row>
    <row r="1460">
      <c r="A1460" s="153">
        <v>52.0</v>
      </c>
      <c r="B1460" s="154" t="s">
        <v>6</v>
      </c>
      <c r="C1460" s="154" t="s">
        <v>2864</v>
      </c>
      <c r="D1460" s="154" t="s">
        <v>290</v>
      </c>
      <c r="E1460" s="154" t="s">
        <v>136</v>
      </c>
      <c r="F1460" s="154" t="s">
        <v>136</v>
      </c>
      <c r="G1460" s="154" t="s">
        <v>320</v>
      </c>
      <c r="H1460" s="155"/>
      <c r="I1460" s="154"/>
      <c r="J1460" s="154" t="s">
        <v>2865</v>
      </c>
      <c r="K1460" s="154" t="s">
        <v>185</v>
      </c>
      <c r="L1460" s="17" t="s">
        <v>50</v>
      </c>
    </row>
    <row r="1461">
      <c r="A1461" s="153">
        <v>89.0</v>
      </c>
      <c r="B1461" s="154" t="s">
        <v>6</v>
      </c>
      <c r="C1461" s="154" t="s">
        <v>2866</v>
      </c>
      <c r="D1461" s="154" t="s">
        <v>243</v>
      </c>
      <c r="E1461" s="154" t="s">
        <v>136</v>
      </c>
      <c r="F1461" s="154" t="s">
        <v>135</v>
      </c>
      <c r="G1461" s="154" t="s">
        <v>2111</v>
      </c>
      <c r="H1461" s="155"/>
      <c r="I1461" s="154"/>
      <c r="J1461" s="157">
        <v>45750.50555555556</v>
      </c>
      <c r="K1461" s="154" t="s">
        <v>2507</v>
      </c>
      <c r="L1461" s="17" t="s">
        <v>50</v>
      </c>
    </row>
    <row r="1462">
      <c r="A1462" s="153">
        <v>65.0</v>
      </c>
      <c r="B1462" s="154" t="s">
        <v>7</v>
      </c>
      <c r="C1462" s="154" t="s">
        <v>536</v>
      </c>
      <c r="D1462" s="154" t="s">
        <v>193</v>
      </c>
      <c r="E1462" s="154" t="s">
        <v>136</v>
      </c>
      <c r="F1462" s="154" t="s">
        <v>136</v>
      </c>
      <c r="G1462" s="154" t="s">
        <v>281</v>
      </c>
      <c r="H1462" s="155"/>
      <c r="I1462" s="154"/>
      <c r="J1462" s="154" t="s">
        <v>2867</v>
      </c>
      <c r="K1462" s="154" t="s">
        <v>2513</v>
      </c>
      <c r="L1462" s="17" t="s">
        <v>50</v>
      </c>
    </row>
    <row r="1463">
      <c r="A1463" s="153">
        <v>16.0</v>
      </c>
      <c r="B1463" s="154" t="s">
        <v>6</v>
      </c>
      <c r="C1463" s="154" t="s">
        <v>2868</v>
      </c>
      <c r="D1463" s="154" t="s">
        <v>390</v>
      </c>
      <c r="E1463" s="154" t="s">
        <v>135</v>
      </c>
      <c r="F1463" s="154" t="s">
        <v>136</v>
      </c>
      <c r="G1463" s="154" t="s">
        <v>599</v>
      </c>
      <c r="H1463" s="154" t="s">
        <v>2869</v>
      </c>
      <c r="I1463" s="154"/>
      <c r="J1463" s="157">
        <v>45698.555555555555</v>
      </c>
      <c r="K1463" s="154" t="s">
        <v>2513</v>
      </c>
      <c r="L1463" s="17" t="s">
        <v>50</v>
      </c>
    </row>
    <row r="1464">
      <c r="A1464" s="153">
        <v>35.0</v>
      </c>
      <c r="B1464" s="154" t="s">
        <v>6</v>
      </c>
      <c r="C1464" s="154" t="s">
        <v>2760</v>
      </c>
      <c r="D1464" s="154" t="s">
        <v>214</v>
      </c>
      <c r="E1464" s="154" t="s">
        <v>135</v>
      </c>
      <c r="F1464" s="154" t="s">
        <v>136</v>
      </c>
      <c r="G1464" s="154" t="s">
        <v>157</v>
      </c>
      <c r="H1464" s="155"/>
      <c r="I1464" s="154"/>
      <c r="J1464" s="157">
        <v>45704.48888888889</v>
      </c>
      <c r="K1464" s="154" t="s">
        <v>2513</v>
      </c>
      <c r="L1464" s="17" t="s">
        <v>50</v>
      </c>
    </row>
    <row r="1465">
      <c r="A1465" s="153">
        <v>99.0</v>
      </c>
      <c r="B1465" s="154" t="s">
        <v>6</v>
      </c>
      <c r="C1465" s="154" t="s">
        <v>1852</v>
      </c>
      <c r="D1465" s="154" t="s">
        <v>143</v>
      </c>
      <c r="E1465" s="154" t="s">
        <v>136</v>
      </c>
      <c r="F1465" s="154" t="s">
        <v>136</v>
      </c>
      <c r="G1465" s="154" t="s">
        <v>2870</v>
      </c>
      <c r="H1465" s="155"/>
      <c r="I1465" s="154"/>
      <c r="J1465" s="157">
        <v>45754.42222222222</v>
      </c>
      <c r="K1465" s="154" t="s">
        <v>2513</v>
      </c>
      <c r="L1465" s="17" t="s">
        <v>50</v>
      </c>
    </row>
    <row r="1466">
      <c r="A1466" s="153">
        <v>9.0</v>
      </c>
      <c r="B1466" s="154" t="s">
        <v>6</v>
      </c>
      <c r="C1466" s="154" t="s">
        <v>2871</v>
      </c>
      <c r="D1466" s="154" t="s">
        <v>284</v>
      </c>
      <c r="E1466" s="154" t="s">
        <v>135</v>
      </c>
      <c r="F1466" s="154" t="s">
        <v>136</v>
      </c>
      <c r="G1466" s="154" t="s">
        <v>150</v>
      </c>
      <c r="H1466" s="155"/>
      <c r="I1466" s="154"/>
      <c r="J1466" s="157">
        <v>45689.19375</v>
      </c>
      <c r="K1466" s="154" t="s">
        <v>2509</v>
      </c>
      <c r="L1466" s="17" t="s">
        <v>50</v>
      </c>
    </row>
    <row r="1467">
      <c r="A1467" s="153">
        <v>60.0</v>
      </c>
      <c r="B1467" s="154" t="s">
        <v>6</v>
      </c>
      <c r="C1467" s="154" t="s">
        <v>2872</v>
      </c>
      <c r="D1467" s="154" t="s">
        <v>290</v>
      </c>
      <c r="E1467" s="154" t="s">
        <v>135</v>
      </c>
      <c r="F1467" s="154" t="s">
        <v>136</v>
      </c>
      <c r="G1467" s="154" t="s">
        <v>2873</v>
      </c>
      <c r="H1467" s="155"/>
      <c r="I1467" s="154"/>
      <c r="J1467" s="154" t="s">
        <v>2874</v>
      </c>
      <c r="K1467" s="154" t="s">
        <v>2513</v>
      </c>
      <c r="L1467" s="17" t="s">
        <v>50</v>
      </c>
    </row>
    <row r="1468">
      <c r="A1468" s="153">
        <v>69.0</v>
      </c>
      <c r="B1468" s="154" t="s">
        <v>6</v>
      </c>
      <c r="C1468" s="154" t="s">
        <v>2875</v>
      </c>
      <c r="D1468" s="154" t="s">
        <v>143</v>
      </c>
      <c r="E1468" s="154" t="s">
        <v>135</v>
      </c>
      <c r="F1468" s="154" t="s">
        <v>136</v>
      </c>
      <c r="G1468" s="154" t="s">
        <v>349</v>
      </c>
      <c r="H1468" s="155"/>
      <c r="I1468" s="154"/>
      <c r="J1468" s="154" t="s">
        <v>2876</v>
      </c>
      <c r="K1468" s="154" t="s">
        <v>185</v>
      </c>
      <c r="L1468" s="17" t="s">
        <v>50</v>
      </c>
    </row>
    <row r="1469">
      <c r="A1469" s="153">
        <v>59.0</v>
      </c>
      <c r="B1469" s="154" t="s">
        <v>7</v>
      </c>
      <c r="C1469" s="154" t="s">
        <v>2643</v>
      </c>
      <c r="D1469" s="154" t="s">
        <v>164</v>
      </c>
      <c r="E1469" s="154" t="s">
        <v>135</v>
      </c>
      <c r="F1469" s="154" t="s">
        <v>136</v>
      </c>
      <c r="G1469" s="154" t="s">
        <v>428</v>
      </c>
      <c r="H1469" s="155"/>
      <c r="I1469" s="154"/>
      <c r="J1469" s="154" t="s">
        <v>2877</v>
      </c>
      <c r="K1469" s="154" t="s">
        <v>2509</v>
      </c>
      <c r="L1469" s="17" t="s">
        <v>50</v>
      </c>
    </row>
    <row r="1470">
      <c r="A1470" s="153">
        <v>37.0</v>
      </c>
      <c r="B1470" s="154" t="s">
        <v>7</v>
      </c>
      <c r="C1470" s="154" t="s">
        <v>2878</v>
      </c>
      <c r="D1470" s="154" t="s">
        <v>214</v>
      </c>
      <c r="E1470" s="154" t="s">
        <v>135</v>
      </c>
      <c r="F1470" s="154" t="s">
        <v>136</v>
      </c>
      <c r="G1470" s="154" t="s">
        <v>231</v>
      </c>
      <c r="H1470" s="155"/>
      <c r="I1470" s="154"/>
      <c r="J1470" s="157">
        <v>45705.12847222222</v>
      </c>
      <c r="K1470" s="154" t="s">
        <v>2513</v>
      </c>
      <c r="L1470" s="17" t="s">
        <v>50</v>
      </c>
    </row>
    <row r="1471">
      <c r="A1471" s="153">
        <v>12.0</v>
      </c>
      <c r="B1471" s="154" t="s">
        <v>6</v>
      </c>
      <c r="C1471" s="154" t="s">
        <v>1096</v>
      </c>
      <c r="D1471" s="154" t="s">
        <v>153</v>
      </c>
      <c r="E1471" s="154" t="s">
        <v>135</v>
      </c>
      <c r="F1471" s="154" t="s">
        <v>136</v>
      </c>
      <c r="G1471" s="154" t="s">
        <v>137</v>
      </c>
      <c r="H1471" s="155"/>
      <c r="I1471" s="154"/>
      <c r="J1471" s="157">
        <v>45695.38888888889</v>
      </c>
      <c r="K1471" s="154" t="s">
        <v>2513</v>
      </c>
      <c r="L1471" s="17" t="s">
        <v>50</v>
      </c>
    </row>
    <row r="1472">
      <c r="A1472" s="153">
        <v>49.0</v>
      </c>
      <c r="B1472" s="154" t="s">
        <v>6</v>
      </c>
      <c r="C1472" s="154" t="s">
        <v>245</v>
      </c>
      <c r="D1472" s="154" t="s">
        <v>202</v>
      </c>
      <c r="E1472" s="154" t="s">
        <v>136</v>
      </c>
      <c r="F1472" s="154" t="s">
        <v>136</v>
      </c>
      <c r="G1472" s="154" t="s">
        <v>1888</v>
      </c>
      <c r="H1472" s="155"/>
      <c r="I1472" s="154"/>
      <c r="J1472" s="154" t="s">
        <v>2879</v>
      </c>
      <c r="K1472" s="154" t="s">
        <v>185</v>
      </c>
      <c r="L1472" s="17" t="s">
        <v>50</v>
      </c>
    </row>
    <row r="1473">
      <c r="A1473" s="153">
        <v>104.0</v>
      </c>
      <c r="B1473" s="154" t="s">
        <v>7</v>
      </c>
      <c r="C1473" s="154" t="s">
        <v>2829</v>
      </c>
      <c r="D1473" s="154" t="s">
        <v>202</v>
      </c>
      <c r="E1473" s="154" t="s">
        <v>136</v>
      </c>
      <c r="F1473" s="154" t="s">
        <v>136</v>
      </c>
      <c r="G1473" s="154" t="s">
        <v>1888</v>
      </c>
      <c r="H1473" s="155"/>
      <c r="I1473" s="154"/>
      <c r="J1473" s="157">
        <v>45754.67152777778</v>
      </c>
      <c r="K1473" s="154" t="s">
        <v>185</v>
      </c>
      <c r="L1473" s="17" t="s">
        <v>50</v>
      </c>
    </row>
    <row r="1474">
      <c r="A1474" s="153">
        <v>82.0</v>
      </c>
      <c r="B1474" s="154" t="s">
        <v>7</v>
      </c>
      <c r="C1474" s="154" t="s">
        <v>2880</v>
      </c>
      <c r="D1474" s="154" t="s">
        <v>202</v>
      </c>
      <c r="E1474" s="154" t="s">
        <v>135</v>
      </c>
      <c r="F1474" s="154" t="s">
        <v>136</v>
      </c>
      <c r="G1474" s="154" t="s">
        <v>185</v>
      </c>
      <c r="H1474" s="154" t="s">
        <v>2881</v>
      </c>
      <c r="I1474" s="154"/>
      <c r="J1474" s="157">
        <v>45748.59305555555</v>
      </c>
      <c r="K1474" s="154" t="s">
        <v>185</v>
      </c>
      <c r="L1474" s="17" t="s">
        <v>50</v>
      </c>
    </row>
    <row r="1475">
      <c r="A1475" s="153">
        <v>96.0</v>
      </c>
      <c r="B1475" s="154" t="s">
        <v>7</v>
      </c>
      <c r="C1475" s="154" t="s">
        <v>315</v>
      </c>
      <c r="D1475" s="154" t="s">
        <v>164</v>
      </c>
      <c r="E1475" s="154" t="s">
        <v>136</v>
      </c>
      <c r="F1475" s="154" t="s">
        <v>136</v>
      </c>
      <c r="G1475" s="154" t="s">
        <v>185</v>
      </c>
      <c r="H1475" s="155"/>
      <c r="I1475" s="154"/>
      <c r="J1475" s="157">
        <v>45753.885416666664</v>
      </c>
      <c r="K1475" s="154" t="s">
        <v>2502</v>
      </c>
      <c r="L1475" s="17" t="s">
        <v>50</v>
      </c>
    </row>
    <row r="1476">
      <c r="A1476" s="153">
        <v>32.0</v>
      </c>
      <c r="B1476" s="154" t="s">
        <v>6</v>
      </c>
      <c r="C1476" s="154" t="s">
        <v>2831</v>
      </c>
      <c r="D1476" s="154" t="s">
        <v>164</v>
      </c>
      <c r="E1476" s="154" t="s">
        <v>135</v>
      </c>
      <c r="F1476" s="154" t="s">
        <v>136</v>
      </c>
      <c r="G1476" s="154" t="s">
        <v>2712</v>
      </c>
      <c r="H1476" s="155"/>
      <c r="I1476" s="154"/>
      <c r="J1476" s="157">
        <v>45701.895833333336</v>
      </c>
      <c r="K1476" s="154" t="s">
        <v>2509</v>
      </c>
      <c r="L1476" s="17" t="s">
        <v>50</v>
      </c>
    </row>
    <row r="1477">
      <c r="A1477" s="153">
        <v>39.0</v>
      </c>
      <c r="B1477" s="154" t="s">
        <v>7</v>
      </c>
      <c r="C1477" s="154" t="s">
        <v>2139</v>
      </c>
      <c r="D1477" s="154" t="s">
        <v>143</v>
      </c>
      <c r="E1477" s="154" t="s">
        <v>135</v>
      </c>
      <c r="F1477" s="154" t="s">
        <v>136</v>
      </c>
      <c r="G1477" s="154" t="s">
        <v>594</v>
      </c>
      <c r="H1477" s="155"/>
      <c r="I1477" s="154"/>
      <c r="J1477" s="157">
        <v>45707.6875</v>
      </c>
      <c r="K1477" s="154" t="s">
        <v>2509</v>
      </c>
      <c r="L1477" s="17" t="s">
        <v>50</v>
      </c>
    </row>
    <row r="1478">
      <c r="A1478" s="153">
        <v>36.0</v>
      </c>
      <c r="B1478" s="154" t="s">
        <v>7</v>
      </c>
      <c r="C1478" s="154" t="s">
        <v>379</v>
      </c>
      <c r="D1478" s="154" t="s">
        <v>202</v>
      </c>
      <c r="E1478" s="154" t="s">
        <v>136</v>
      </c>
      <c r="F1478" s="154" t="s">
        <v>136</v>
      </c>
      <c r="G1478" s="154" t="s">
        <v>221</v>
      </c>
      <c r="H1478" s="155"/>
      <c r="I1478" s="154"/>
      <c r="J1478" s="157">
        <v>45704.6375</v>
      </c>
      <c r="K1478" s="154" t="s">
        <v>2509</v>
      </c>
      <c r="L1478" s="17" t="s">
        <v>50</v>
      </c>
    </row>
    <row r="1479">
      <c r="A1479" s="153">
        <v>41.0</v>
      </c>
      <c r="B1479" s="154" t="s">
        <v>7</v>
      </c>
      <c r="C1479" s="154" t="s">
        <v>2882</v>
      </c>
      <c r="D1479" s="154" t="s">
        <v>164</v>
      </c>
      <c r="E1479" s="154" t="s">
        <v>135</v>
      </c>
      <c r="F1479" s="154" t="s">
        <v>136</v>
      </c>
      <c r="G1479" s="154" t="s">
        <v>385</v>
      </c>
      <c r="H1479" s="155"/>
      <c r="I1479" s="154"/>
      <c r="J1479" s="157">
        <v>45708.013194444444</v>
      </c>
      <c r="K1479" s="154" t="s">
        <v>2513</v>
      </c>
      <c r="L1479" s="17" t="s">
        <v>50</v>
      </c>
    </row>
    <row r="1480">
      <c r="A1480" s="153">
        <v>17.0</v>
      </c>
      <c r="B1480" s="154" t="s">
        <v>6</v>
      </c>
      <c r="C1480" s="154" t="s">
        <v>167</v>
      </c>
      <c r="D1480" s="154" t="s">
        <v>143</v>
      </c>
      <c r="E1480" s="154" t="s">
        <v>136</v>
      </c>
      <c r="F1480" s="154" t="s">
        <v>136</v>
      </c>
      <c r="G1480" s="154" t="s">
        <v>401</v>
      </c>
      <c r="H1480" s="154" t="s">
        <v>2883</v>
      </c>
      <c r="I1480" s="154" t="s">
        <v>135</v>
      </c>
      <c r="J1480" s="154" t="s">
        <v>2884</v>
      </c>
      <c r="K1480" s="154" t="s">
        <v>185</v>
      </c>
      <c r="L1480" s="17" t="s">
        <v>65</v>
      </c>
    </row>
    <row r="1481">
      <c r="A1481" s="153">
        <v>18.0</v>
      </c>
      <c r="B1481" s="154" t="s">
        <v>6</v>
      </c>
      <c r="C1481" s="154" t="s">
        <v>1116</v>
      </c>
      <c r="D1481" s="154" t="s">
        <v>214</v>
      </c>
      <c r="E1481" s="154" t="s">
        <v>135</v>
      </c>
      <c r="F1481" s="154" t="s">
        <v>136</v>
      </c>
      <c r="G1481" s="165" t="s">
        <v>241</v>
      </c>
      <c r="H1481" s="154" t="s">
        <v>411</v>
      </c>
      <c r="I1481" s="154" t="s">
        <v>136</v>
      </c>
      <c r="J1481" s="157">
        <v>45748.67916666667</v>
      </c>
      <c r="K1481" s="154" t="s">
        <v>2513</v>
      </c>
      <c r="L1481" s="17" t="s">
        <v>65</v>
      </c>
    </row>
    <row r="1482">
      <c r="A1482" s="153">
        <v>22.0</v>
      </c>
      <c r="B1482" s="154" t="s">
        <v>7</v>
      </c>
      <c r="C1482" s="154" t="s">
        <v>2566</v>
      </c>
      <c r="D1482" s="154" t="s">
        <v>134</v>
      </c>
      <c r="E1482" s="154" t="s">
        <v>135</v>
      </c>
      <c r="F1482" s="154" t="s">
        <v>136</v>
      </c>
      <c r="G1482" s="165" t="s">
        <v>150</v>
      </c>
      <c r="H1482" s="155"/>
      <c r="I1482" s="154" t="s">
        <v>135</v>
      </c>
      <c r="J1482" s="157">
        <v>45750.44236111111</v>
      </c>
      <c r="K1482" s="154" t="s">
        <v>2509</v>
      </c>
      <c r="L1482" s="17" t="s">
        <v>65</v>
      </c>
    </row>
    <row r="1483">
      <c r="A1483" s="153">
        <v>32.0</v>
      </c>
      <c r="B1483" s="154" t="s">
        <v>7</v>
      </c>
      <c r="C1483" s="154" t="s">
        <v>184</v>
      </c>
      <c r="D1483" s="154" t="s">
        <v>143</v>
      </c>
      <c r="E1483" s="154" t="s">
        <v>136</v>
      </c>
      <c r="F1483" s="154" t="s">
        <v>135</v>
      </c>
      <c r="G1483" s="154" t="s">
        <v>174</v>
      </c>
      <c r="H1483" s="155"/>
      <c r="I1483" s="154" t="s">
        <v>135</v>
      </c>
      <c r="J1483" s="157">
        <v>45755.39444444444</v>
      </c>
      <c r="K1483" s="154" t="s">
        <v>2509</v>
      </c>
      <c r="L1483" s="17" t="s">
        <v>65</v>
      </c>
    </row>
    <row r="1484">
      <c r="A1484" s="153">
        <v>11.0</v>
      </c>
      <c r="B1484" s="154" t="s">
        <v>6</v>
      </c>
      <c r="C1484" s="154" t="s">
        <v>2885</v>
      </c>
      <c r="D1484" s="154" t="s">
        <v>233</v>
      </c>
      <c r="E1484" s="154" t="s">
        <v>136</v>
      </c>
      <c r="F1484" s="154" t="s">
        <v>136</v>
      </c>
      <c r="G1484" s="154" t="s">
        <v>241</v>
      </c>
      <c r="H1484" s="155"/>
      <c r="I1484" s="154" t="s">
        <v>135</v>
      </c>
      <c r="J1484" s="154" t="s">
        <v>2886</v>
      </c>
      <c r="K1484" s="154" t="s">
        <v>2502</v>
      </c>
      <c r="L1484" s="17" t="s">
        <v>65</v>
      </c>
    </row>
    <row r="1485">
      <c r="A1485" s="153">
        <v>27.0</v>
      </c>
      <c r="B1485" s="154" t="s">
        <v>7</v>
      </c>
      <c r="C1485" s="154" t="s">
        <v>195</v>
      </c>
      <c r="D1485" s="154" t="s">
        <v>164</v>
      </c>
      <c r="E1485" s="154" t="s">
        <v>136</v>
      </c>
      <c r="F1485" s="154" t="s">
        <v>136</v>
      </c>
      <c r="G1485" s="154" t="s">
        <v>174</v>
      </c>
      <c r="H1485" s="154" t="s">
        <v>2787</v>
      </c>
      <c r="I1485" s="154" t="s">
        <v>135</v>
      </c>
      <c r="J1485" s="157">
        <v>45754.47986111111</v>
      </c>
      <c r="K1485" s="154" t="s">
        <v>2502</v>
      </c>
      <c r="L1485" s="17" t="s">
        <v>65</v>
      </c>
    </row>
    <row r="1486">
      <c r="A1486" s="153">
        <v>25.0</v>
      </c>
      <c r="B1486" s="154" t="s">
        <v>7</v>
      </c>
      <c r="C1486" s="154" t="s">
        <v>2887</v>
      </c>
      <c r="D1486" s="154" t="s">
        <v>166</v>
      </c>
      <c r="E1486" s="154" t="s">
        <v>136</v>
      </c>
      <c r="F1486" s="154" t="s">
        <v>136</v>
      </c>
      <c r="G1486" s="154" t="s">
        <v>185</v>
      </c>
      <c r="H1486" s="155"/>
      <c r="I1486" s="154" t="s">
        <v>135</v>
      </c>
      <c r="J1486" s="157">
        <v>45751.01875</v>
      </c>
      <c r="K1486" s="154" t="s">
        <v>2509</v>
      </c>
      <c r="L1486" s="17" t="s">
        <v>65</v>
      </c>
    </row>
    <row r="1487">
      <c r="A1487" s="153">
        <v>6.0</v>
      </c>
      <c r="B1487" s="154" t="s">
        <v>6</v>
      </c>
      <c r="C1487" s="154" t="s">
        <v>362</v>
      </c>
      <c r="D1487" s="154" t="s">
        <v>202</v>
      </c>
      <c r="E1487" s="154" t="s">
        <v>136</v>
      </c>
      <c r="F1487" s="154" t="s">
        <v>135</v>
      </c>
      <c r="G1487" s="165" t="s">
        <v>144</v>
      </c>
      <c r="H1487" s="155"/>
      <c r="I1487" s="154" t="s">
        <v>135</v>
      </c>
      <c r="J1487" s="154" t="s">
        <v>2888</v>
      </c>
      <c r="K1487" s="154" t="s">
        <v>2509</v>
      </c>
      <c r="L1487" s="17" t="s">
        <v>65</v>
      </c>
    </row>
    <row r="1488">
      <c r="A1488" s="153">
        <v>29.0</v>
      </c>
      <c r="B1488" s="154" t="s">
        <v>6</v>
      </c>
      <c r="C1488" s="154" t="s">
        <v>2889</v>
      </c>
      <c r="D1488" s="154" t="s">
        <v>164</v>
      </c>
      <c r="E1488" s="154" t="s">
        <v>135</v>
      </c>
      <c r="F1488" s="154" t="s">
        <v>136</v>
      </c>
      <c r="G1488" s="154" t="s">
        <v>174</v>
      </c>
      <c r="H1488" s="155"/>
      <c r="I1488" s="154" t="s">
        <v>136</v>
      </c>
      <c r="J1488" s="157">
        <v>45754.614583333336</v>
      </c>
      <c r="K1488" s="154" t="s">
        <v>2502</v>
      </c>
      <c r="L1488" s="17" t="s">
        <v>65</v>
      </c>
    </row>
    <row r="1489">
      <c r="A1489" s="153">
        <v>14.0</v>
      </c>
      <c r="B1489" s="154" t="s">
        <v>7</v>
      </c>
      <c r="C1489" s="154" t="s">
        <v>315</v>
      </c>
      <c r="D1489" s="154" t="s">
        <v>164</v>
      </c>
      <c r="E1489" s="154" t="s">
        <v>135</v>
      </c>
      <c r="F1489" s="154" t="s">
        <v>136</v>
      </c>
      <c r="G1489" s="154" t="s">
        <v>185</v>
      </c>
      <c r="H1489" s="165" t="s">
        <v>2890</v>
      </c>
      <c r="I1489" s="154" t="s">
        <v>135</v>
      </c>
      <c r="J1489" s="154" t="s">
        <v>2891</v>
      </c>
      <c r="K1489" s="154" t="s">
        <v>2513</v>
      </c>
      <c r="L1489" s="17" t="s">
        <v>65</v>
      </c>
    </row>
    <row r="1490">
      <c r="A1490" s="153">
        <v>33.0</v>
      </c>
      <c r="B1490" s="154" t="s">
        <v>6</v>
      </c>
      <c r="C1490" s="154" t="s">
        <v>240</v>
      </c>
      <c r="D1490" s="154" t="s">
        <v>197</v>
      </c>
      <c r="E1490" s="154" t="s">
        <v>136</v>
      </c>
      <c r="F1490" s="154" t="s">
        <v>136</v>
      </c>
      <c r="G1490" s="154" t="s">
        <v>241</v>
      </c>
      <c r="H1490" s="155"/>
      <c r="I1490" s="154" t="s">
        <v>135</v>
      </c>
      <c r="J1490" s="157">
        <v>45755.416666666664</v>
      </c>
      <c r="K1490" s="154" t="s">
        <v>2502</v>
      </c>
      <c r="L1490" s="17" t="s">
        <v>65</v>
      </c>
    </row>
    <row r="1491">
      <c r="A1491" s="153">
        <v>19.0</v>
      </c>
      <c r="B1491" s="154" t="s">
        <v>7</v>
      </c>
      <c r="C1491" s="154" t="s">
        <v>2892</v>
      </c>
      <c r="D1491" s="154" t="s">
        <v>143</v>
      </c>
      <c r="E1491" s="154" t="s">
        <v>136</v>
      </c>
      <c r="F1491" s="154" t="s">
        <v>136</v>
      </c>
      <c r="G1491" s="154" t="s">
        <v>185</v>
      </c>
      <c r="H1491" s="155"/>
      <c r="I1491" s="154" t="s">
        <v>135</v>
      </c>
      <c r="J1491" s="157">
        <v>45750.415972222225</v>
      </c>
      <c r="K1491" s="154" t="s">
        <v>2509</v>
      </c>
      <c r="L1491" s="17" t="s">
        <v>65</v>
      </c>
    </row>
    <row r="1492">
      <c r="A1492" s="153">
        <v>23.0</v>
      </c>
      <c r="B1492" s="154" t="s">
        <v>7</v>
      </c>
      <c r="C1492" s="154" t="s">
        <v>1367</v>
      </c>
      <c r="D1492" s="154" t="s">
        <v>209</v>
      </c>
      <c r="E1492" s="154" t="s">
        <v>136</v>
      </c>
      <c r="F1492" s="154" t="s">
        <v>136</v>
      </c>
      <c r="G1492" s="154" t="s">
        <v>798</v>
      </c>
      <c r="H1492" s="155"/>
      <c r="I1492" s="154" t="s">
        <v>135</v>
      </c>
      <c r="J1492" s="157">
        <v>45750.51111111111</v>
      </c>
      <c r="K1492" s="154" t="s">
        <v>2509</v>
      </c>
      <c r="L1492" s="17" t="s">
        <v>65</v>
      </c>
    </row>
    <row r="1493">
      <c r="A1493" s="153">
        <v>20.0</v>
      </c>
      <c r="B1493" s="154" t="s">
        <v>7</v>
      </c>
      <c r="C1493" s="154" t="s">
        <v>315</v>
      </c>
      <c r="D1493" s="154" t="s">
        <v>164</v>
      </c>
      <c r="E1493" s="154" t="s">
        <v>135</v>
      </c>
      <c r="F1493" s="154" t="s">
        <v>136</v>
      </c>
      <c r="G1493" s="154" t="s">
        <v>2893</v>
      </c>
      <c r="H1493" s="155"/>
      <c r="I1493" s="154" t="s">
        <v>136</v>
      </c>
      <c r="J1493" s="157">
        <v>45750.42638888889</v>
      </c>
      <c r="K1493" s="154" t="s">
        <v>2509</v>
      </c>
      <c r="L1493" s="17" t="s">
        <v>65</v>
      </c>
    </row>
    <row r="1494">
      <c r="A1494" s="153">
        <v>21.0</v>
      </c>
      <c r="B1494" s="154" t="s">
        <v>6</v>
      </c>
      <c r="C1494" s="154" t="s">
        <v>315</v>
      </c>
      <c r="D1494" s="154" t="s">
        <v>164</v>
      </c>
      <c r="E1494" s="154" t="s">
        <v>135</v>
      </c>
      <c r="F1494" s="154" t="s">
        <v>136</v>
      </c>
      <c r="G1494" s="154" t="s">
        <v>395</v>
      </c>
      <c r="H1494" s="155"/>
      <c r="I1494" s="154" t="s">
        <v>135</v>
      </c>
      <c r="J1494" s="157">
        <v>45750.43263888889</v>
      </c>
      <c r="K1494" s="154" t="s">
        <v>2509</v>
      </c>
      <c r="L1494" s="17" t="s">
        <v>65</v>
      </c>
    </row>
    <row r="1495">
      <c r="A1495" s="153">
        <v>10.0</v>
      </c>
      <c r="B1495" s="154" t="s">
        <v>6</v>
      </c>
      <c r="C1495" s="154" t="s">
        <v>149</v>
      </c>
      <c r="D1495" s="154" t="s">
        <v>134</v>
      </c>
      <c r="E1495" s="154" t="s">
        <v>136</v>
      </c>
      <c r="F1495" s="154" t="s">
        <v>136</v>
      </c>
      <c r="G1495" s="165" t="s">
        <v>137</v>
      </c>
      <c r="H1495" s="155"/>
      <c r="I1495" s="154" t="s">
        <v>135</v>
      </c>
      <c r="J1495" s="154" t="s">
        <v>2894</v>
      </c>
      <c r="K1495" s="154" t="s">
        <v>2509</v>
      </c>
      <c r="L1495" s="17" t="s">
        <v>65</v>
      </c>
    </row>
    <row r="1496">
      <c r="A1496" s="153">
        <v>4.0</v>
      </c>
      <c r="B1496" s="154" t="s">
        <v>7</v>
      </c>
      <c r="C1496" s="154" t="s">
        <v>250</v>
      </c>
      <c r="D1496" s="154" t="s">
        <v>209</v>
      </c>
      <c r="E1496" s="154" t="s">
        <v>135</v>
      </c>
      <c r="F1496" s="154" t="s">
        <v>136</v>
      </c>
      <c r="G1496" s="154" t="s">
        <v>2895</v>
      </c>
      <c r="H1496" s="155"/>
      <c r="I1496" s="154" t="s">
        <v>135</v>
      </c>
      <c r="J1496" s="154" t="s">
        <v>2896</v>
      </c>
      <c r="K1496" s="154" t="s">
        <v>2509</v>
      </c>
      <c r="L1496" s="17" t="s">
        <v>65</v>
      </c>
    </row>
    <row r="1497">
      <c r="A1497" s="153">
        <v>3.0</v>
      </c>
      <c r="B1497" s="154" t="s">
        <v>7</v>
      </c>
      <c r="C1497" s="154" t="s">
        <v>2576</v>
      </c>
      <c r="D1497" s="154" t="s">
        <v>228</v>
      </c>
      <c r="E1497" s="154" t="s">
        <v>136</v>
      </c>
      <c r="F1497" s="154" t="s">
        <v>136</v>
      </c>
      <c r="G1497" s="154" t="s">
        <v>174</v>
      </c>
      <c r="H1497" s="155"/>
      <c r="I1497" s="154" t="s">
        <v>135</v>
      </c>
      <c r="J1497" s="154" t="s">
        <v>2897</v>
      </c>
      <c r="K1497" s="154" t="s">
        <v>2509</v>
      </c>
      <c r="L1497" s="17" t="s">
        <v>65</v>
      </c>
    </row>
    <row r="1498">
      <c r="A1498" s="153">
        <v>31.0</v>
      </c>
      <c r="B1498" s="154" t="s">
        <v>7</v>
      </c>
      <c r="C1498" s="154" t="s">
        <v>184</v>
      </c>
      <c r="D1498" s="154" t="s">
        <v>143</v>
      </c>
      <c r="E1498" s="154" t="s">
        <v>136</v>
      </c>
      <c r="F1498" s="154" t="s">
        <v>136</v>
      </c>
      <c r="G1498" s="154" t="s">
        <v>157</v>
      </c>
      <c r="H1498" s="155"/>
      <c r="I1498" s="154" t="s">
        <v>135</v>
      </c>
      <c r="J1498" s="157">
        <v>45755.38402777778</v>
      </c>
      <c r="K1498" s="154" t="s">
        <v>2502</v>
      </c>
      <c r="L1498" s="17" t="s">
        <v>65</v>
      </c>
    </row>
    <row r="1499">
      <c r="A1499" s="153">
        <v>9.0</v>
      </c>
      <c r="B1499" s="154" t="s">
        <v>7</v>
      </c>
      <c r="C1499" s="154" t="s">
        <v>1116</v>
      </c>
      <c r="D1499" s="154" t="s">
        <v>197</v>
      </c>
      <c r="E1499" s="154" t="s">
        <v>136</v>
      </c>
      <c r="F1499" s="154" t="s">
        <v>136</v>
      </c>
      <c r="G1499" s="154" t="s">
        <v>401</v>
      </c>
      <c r="H1499" s="154" t="s">
        <v>1180</v>
      </c>
      <c r="I1499" s="154" t="s">
        <v>135</v>
      </c>
      <c r="J1499" s="154" t="s">
        <v>2898</v>
      </c>
      <c r="K1499" s="154" t="s">
        <v>2513</v>
      </c>
      <c r="L1499" s="17" t="s">
        <v>65</v>
      </c>
    </row>
    <row r="1500">
      <c r="A1500" s="153">
        <v>30.0</v>
      </c>
      <c r="B1500" s="154" t="s">
        <v>6</v>
      </c>
      <c r="C1500" s="154" t="s">
        <v>2899</v>
      </c>
      <c r="D1500" s="154" t="s">
        <v>233</v>
      </c>
      <c r="E1500" s="154" t="s">
        <v>136</v>
      </c>
      <c r="F1500" s="154" t="s">
        <v>136</v>
      </c>
      <c r="G1500" s="154" t="s">
        <v>185</v>
      </c>
      <c r="H1500" s="155"/>
      <c r="I1500" s="154" t="s">
        <v>136</v>
      </c>
      <c r="J1500" s="157">
        <v>45754.65138888889</v>
      </c>
      <c r="K1500" s="154" t="s">
        <v>2513</v>
      </c>
      <c r="L1500" s="17" t="s">
        <v>65</v>
      </c>
    </row>
    <row r="1501">
      <c r="A1501" s="153">
        <v>12.0</v>
      </c>
      <c r="B1501" s="154" t="s">
        <v>6</v>
      </c>
      <c r="C1501" s="154" t="s">
        <v>142</v>
      </c>
      <c r="D1501" s="154" t="s">
        <v>143</v>
      </c>
      <c r="E1501" s="154" t="s">
        <v>136</v>
      </c>
      <c r="F1501" s="154" t="s">
        <v>136</v>
      </c>
      <c r="G1501" s="154" t="s">
        <v>345</v>
      </c>
      <c r="H1501" s="155"/>
      <c r="I1501" s="154" t="s">
        <v>135</v>
      </c>
      <c r="J1501" s="154" t="s">
        <v>2900</v>
      </c>
      <c r="K1501" s="154" t="s">
        <v>2509</v>
      </c>
      <c r="L1501" s="17" t="s">
        <v>65</v>
      </c>
    </row>
    <row r="1502">
      <c r="A1502" s="153">
        <v>16.0</v>
      </c>
      <c r="B1502" s="154" t="s">
        <v>7</v>
      </c>
      <c r="C1502" s="154" t="s">
        <v>1116</v>
      </c>
      <c r="D1502" s="154" t="s">
        <v>197</v>
      </c>
      <c r="E1502" s="154" t="s">
        <v>136</v>
      </c>
      <c r="F1502" s="154" t="s">
        <v>136</v>
      </c>
      <c r="G1502" s="154" t="s">
        <v>185</v>
      </c>
      <c r="H1502" s="155"/>
      <c r="I1502" s="154" t="s">
        <v>135</v>
      </c>
      <c r="J1502" s="154" t="s">
        <v>2901</v>
      </c>
      <c r="K1502" s="154" t="s">
        <v>185</v>
      </c>
      <c r="L1502" s="17" t="s">
        <v>65</v>
      </c>
    </row>
    <row r="1503">
      <c r="A1503" s="153">
        <v>2.0</v>
      </c>
      <c r="B1503" s="154" t="s">
        <v>7</v>
      </c>
      <c r="C1503" s="154" t="s">
        <v>167</v>
      </c>
      <c r="D1503" s="154" t="s">
        <v>143</v>
      </c>
      <c r="E1503" s="154" t="s">
        <v>136</v>
      </c>
      <c r="F1503" s="154" t="s">
        <v>136</v>
      </c>
      <c r="G1503" s="154" t="s">
        <v>385</v>
      </c>
      <c r="H1503" s="155"/>
      <c r="I1503" s="154" t="s">
        <v>135</v>
      </c>
      <c r="J1503" s="154" t="s">
        <v>2902</v>
      </c>
      <c r="K1503" s="154" t="s">
        <v>2509</v>
      </c>
      <c r="L1503" s="17" t="s">
        <v>65</v>
      </c>
    </row>
    <row r="1504">
      <c r="A1504" s="153">
        <v>1.0</v>
      </c>
      <c r="B1504" s="154" t="s">
        <v>7</v>
      </c>
      <c r="C1504" s="154" t="s">
        <v>2903</v>
      </c>
      <c r="D1504" s="154" t="s">
        <v>228</v>
      </c>
      <c r="E1504" s="154" t="s">
        <v>136</v>
      </c>
      <c r="F1504" s="154" t="s">
        <v>136</v>
      </c>
      <c r="G1504" s="154" t="s">
        <v>185</v>
      </c>
      <c r="H1504" s="154" t="s">
        <v>2731</v>
      </c>
      <c r="I1504" s="154" t="s">
        <v>135</v>
      </c>
      <c r="J1504" s="154" t="s">
        <v>2904</v>
      </c>
      <c r="K1504" s="154" t="s">
        <v>2502</v>
      </c>
      <c r="L1504" s="17" t="s">
        <v>65</v>
      </c>
    </row>
    <row r="1505">
      <c r="A1505" s="153">
        <v>26.0</v>
      </c>
      <c r="B1505" s="154" t="s">
        <v>6</v>
      </c>
      <c r="C1505" s="154" t="s">
        <v>338</v>
      </c>
      <c r="D1505" s="154" t="s">
        <v>143</v>
      </c>
      <c r="E1505" s="154" t="s">
        <v>136</v>
      </c>
      <c r="F1505" s="154" t="s">
        <v>136</v>
      </c>
      <c r="G1505" s="154" t="s">
        <v>174</v>
      </c>
      <c r="H1505" s="155"/>
      <c r="I1505" s="154" t="s">
        <v>136</v>
      </c>
      <c r="J1505" s="157">
        <v>45754.38125</v>
      </c>
      <c r="K1505" s="154" t="s">
        <v>2513</v>
      </c>
      <c r="L1505" s="17" t="s">
        <v>65</v>
      </c>
    </row>
    <row r="1506">
      <c r="A1506" s="153">
        <v>5.0</v>
      </c>
      <c r="B1506" s="154" t="s">
        <v>6</v>
      </c>
      <c r="C1506" s="154" t="s">
        <v>1116</v>
      </c>
      <c r="D1506" s="154" t="s">
        <v>197</v>
      </c>
      <c r="E1506" s="154" t="s">
        <v>136</v>
      </c>
      <c r="F1506" s="154" t="s">
        <v>136</v>
      </c>
      <c r="G1506" s="154" t="s">
        <v>2905</v>
      </c>
      <c r="H1506" s="154" t="s">
        <v>2906</v>
      </c>
      <c r="I1506" s="154" t="s">
        <v>136</v>
      </c>
      <c r="J1506" s="154" t="s">
        <v>2907</v>
      </c>
      <c r="K1506" s="154" t="s">
        <v>2509</v>
      </c>
      <c r="L1506" s="17" t="s">
        <v>65</v>
      </c>
    </row>
    <row r="1507">
      <c r="A1507" s="153">
        <v>8.0</v>
      </c>
      <c r="B1507" s="154" t="s">
        <v>7</v>
      </c>
      <c r="C1507" s="154" t="s">
        <v>1238</v>
      </c>
      <c r="D1507" s="154" t="s">
        <v>233</v>
      </c>
      <c r="E1507" s="154" t="s">
        <v>136</v>
      </c>
      <c r="F1507" s="154" t="s">
        <v>136</v>
      </c>
      <c r="G1507" s="154" t="s">
        <v>185</v>
      </c>
      <c r="H1507" s="155"/>
      <c r="I1507" s="154" t="s">
        <v>135</v>
      </c>
      <c r="J1507" s="154" t="s">
        <v>2908</v>
      </c>
      <c r="K1507" s="154" t="s">
        <v>2509</v>
      </c>
      <c r="L1507" s="17" t="s">
        <v>65</v>
      </c>
    </row>
    <row r="1508">
      <c r="A1508" s="153">
        <v>24.0</v>
      </c>
      <c r="B1508" s="154" t="s">
        <v>7</v>
      </c>
      <c r="C1508" s="154" t="s">
        <v>2829</v>
      </c>
      <c r="D1508" s="154" t="s">
        <v>202</v>
      </c>
      <c r="E1508" s="154" t="s">
        <v>135</v>
      </c>
      <c r="F1508" s="154" t="s">
        <v>136</v>
      </c>
      <c r="G1508" s="154" t="s">
        <v>2909</v>
      </c>
      <c r="H1508" s="155"/>
      <c r="I1508" s="154" t="s">
        <v>136</v>
      </c>
      <c r="J1508" s="157">
        <v>45750.6875</v>
      </c>
      <c r="K1508" s="154" t="s">
        <v>2513</v>
      </c>
      <c r="L1508" s="17" t="s">
        <v>65</v>
      </c>
    </row>
    <row r="1509">
      <c r="A1509" s="153">
        <v>28.0</v>
      </c>
      <c r="B1509" s="154" t="s">
        <v>6</v>
      </c>
      <c r="C1509" s="154" t="s">
        <v>2899</v>
      </c>
      <c r="D1509" s="154" t="s">
        <v>233</v>
      </c>
      <c r="E1509" s="154" t="s">
        <v>135</v>
      </c>
      <c r="F1509" s="154" t="s">
        <v>136</v>
      </c>
      <c r="G1509" s="154" t="s">
        <v>1219</v>
      </c>
      <c r="H1509" s="154" t="s">
        <v>1180</v>
      </c>
      <c r="I1509" s="154" t="s">
        <v>135</v>
      </c>
      <c r="J1509" s="157">
        <v>45754.54375</v>
      </c>
      <c r="K1509" s="154" t="s">
        <v>2502</v>
      </c>
      <c r="L1509" s="17" t="s">
        <v>65</v>
      </c>
    </row>
    <row r="1510">
      <c r="A1510" s="153">
        <v>15.0</v>
      </c>
      <c r="B1510" s="154" t="s">
        <v>6</v>
      </c>
      <c r="C1510" s="154" t="s">
        <v>1282</v>
      </c>
      <c r="D1510" s="154" t="s">
        <v>134</v>
      </c>
      <c r="E1510" s="154" t="s">
        <v>136</v>
      </c>
      <c r="F1510" s="154" t="s">
        <v>136</v>
      </c>
      <c r="G1510" s="154" t="s">
        <v>1412</v>
      </c>
      <c r="H1510" s="154" t="s">
        <v>404</v>
      </c>
      <c r="I1510" s="154" t="s">
        <v>135</v>
      </c>
      <c r="J1510" s="154" t="s">
        <v>2910</v>
      </c>
      <c r="K1510" s="154" t="s">
        <v>2509</v>
      </c>
      <c r="L1510" s="17" t="s">
        <v>65</v>
      </c>
    </row>
    <row r="1511">
      <c r="A1511" s="153">
        <v>7.0</v>
      </c>
      <c r="B1511" s="154" t="s">
        <v>6</v>
      </c>
      <c r="C1511" s="154" t="s">
        <v>1282</v>
      </c>
      <c r="D1511" s="154" t="s">
        <v>134</v>
      </c>
      <c r="E1511" s="154" t="s">
        <v>136</v>
      </c>
      <c r="F1511" s="154" t="s">
        <v>135</v>
      </c>
      <c r="G1511" s="154" t="s">
        <v>1421</v>
      </c>
      <c r="H1511" s="155"/>
      <c r="I1511" s="154" t="s">
        <v>135</v>
      </c>
      <c r="J1511" s="154" t="s">
        <v>2911</v>
      </c>
      <c r="K1511" s="154" t="s">
        <v>2509</v>
      </c>
      <c r="L1511" s="17" t="s">
        <v>65</v>
      </c>
    </row>
    <row r="1512">
      <c r="A1512" s="153">
        <v>13.0</v>
      </c>
      <c r="B1512" s="154" t="s">
        <v>6</v>
      </c>
      <c r="C1512" s="154" t="s">
        <v>2912</v>
      </c>
      <c r="D1512" s="154" t="s">
        <v>134</v>
      </c>
      <c r="E1512" s="154" t="s">
        <v>136</v>
      </c>
      <c r="F1512" s="154" t="s">
        <v>136</v>
      </c>
      <c r="G1512" s="154" t="s">
        <v>401</v>
      </c>
      <c r="H1512" s="154" t="s">
        <v>2913</v>
      </c>
      <c r="I1512" s="154" t="s">
        <v>135</v>
      </c>
      <c r="J1512" s="154" t="s">
        <v>2914</v>
      </c>
      <c r="K1512" s="154" t="s">
        <v>2509</v>
      </c>
      <c r="L1512" s="17" t="s">
        <v>65</v>
      </c>
    </row>
    <row r="1513">
      <c r="A1513" s="168">
        <v>72.0</v>
      </c>
      <c r="B1513" s="169" t="s">
        <v>6</v>
      </c>
      <c r="C1513" s="169" t="s">
        <v>2132</v>
      </c>
      <c r="D1513" s="169" t="s">
        <v>143</v>
      </c>
      <c r="E1513" s="170" t="s">
        <v>136</v>
      </c>
      <c r="F1513" s="170" t="s">
        <v>136</v>
      </c>
      <c r="G1513" s="171"/>
      <c r="H1513" s="171"/>
      <c r="I1513" s="171"/>
      <c r="J1513" s="172">
        <v>45581.42150462963</v>
      </c>
      <c r="K1513" s="173" t="s">
        <v>139</v>
      </c>
      <c r="L1513" s="170" t="s">
        <v>237</v>
      </c>
    </row>
    <row r="1514">
      <c r="A1514" s="168">
        <v>71.0</v>
      </c>
      <c r="B1514" s="169" t="s">
        <v>6</v>
      </c>
      <c r="C1514" s="169" t="s">
        <v>2915</v>
      </c>
      <c r="D1514" s="169" t="s">
        <v>143</v>
      </c>
      <c r="E1514" s="170" t="s">
        <v>136</v>
      </c>
      <c r="F1514" s="170" t="s">
        <v>136</v>
      </c>
      <c r="G1514" s="174"/>
      <c r="H1514" s="174"/>
      <c r="I1514" s="174"/>
      <c r="J1514" s="172">
        <v>45581.41800925926</v>
      </c>
      <c r="K1514" s="173" t="s">
        <v>139</v>
      </c>
      <c r="L1514" s="170" t="s">
        <v>237</v>
      </c>
    </row>
    <row r="1515">
      <c r="A1515" s="168">
        <v>70.0</v>
      </c>
      <c r="B1515" s="169" t="s">
        <v>7</v>
      </c>
      <c r="C1515" s="169" t="s">
        <v>564</v>
      </c>
      <c r="D1515" s="169" t="s">
        <v>268</v>
      </c>
      <c r="E1515" s="170" t="s">
        <v>136</v>
      </c>
      <c r="F1515" s="170" t="s">
        <v>136</v>
      </c>
      <c r="G1515" s="171"/>
      <c r="H1515" s="171"/>
      <c r="I1515" s="171"/>
      <c r="J1515" s="172">
        <v>45581.403344907405</v>
      </c>
      <c r="K1515" s="173" t="s">
        <v>139</v>
      </c>
      <c r="L1515" s="170" t="s">
        <v>237</v>
      </c>
    </row>
    <row r="1516">
      <c r="A1516" s="168">
        <v>69.0</v>
      </c>
      <c r="B1516" s="169" t="s">
        <v>7</v>
      </c>
      <c r="C1516" s="169" t="s">
        <v>1687</v>
      </c>
      <c r="D1516" s="169" t="s">
        <v>202</v>
      </c>
      <c r="E1516" s="170" t="s">
        <v>136</v>
      </c>
      <c r="F1516" s="170" t="s">
        <v>136</v>
      </c>
      <c r="G1516" s="174"/>
      <c r="H1516" s="174"/>
      <c r="I1516" s="174"/>
      <c r="J1516" s="172">
        <v>45581.38348379629</v>
      </c>
      <c r="K1516" s="173" t="s">
        <v>139</v>
      </c>
      <c r="L1516" s="170" t="s">
        <v>237</v>
      </c>
    </row>
    <row r="1517">
      <c r="A1517" s="168">
        <v>68.0</v>
      </c>
      <c r="B1517" s="169" t="s">
        <v>7</v>
      </c>
      <c r="C1517" s="169" t="s">
        <v>375</v>
      </c>
      <c r="D1517" s="169" t="s">
        <v>176</v>
      </c>
      <c r="E1517" s="170" t="s">
        <v>136</v>
      </c>
      <c r="F1517" s="170" t="s">
        <v>136</v>
      </c>
      <c r="G1517" s="171"/>
      <c r="H1517" s="171"/>
      <c r="I1517" s="171"/>
      <c r="J1517" s="172">
        <v>45581.32166666666</v>
      </c>
      <c r="K1517" s="173" t="s">
        <v>139</v>
      </c>
      <c r="L1517" s="170" t="s">
        <v>237</v>
      </c>
    </row>
    <row r="1518">
      <c r="A1518" s="168">
        <v>67.0</v>
      </c>
      <c r="B1518" s="169" t="s">
        <v>7</v>
      </c>
      <c r="C1518" s="169" t="s">
        <v>2916</v>
      </c>
      <c r="D1518" s="169" t="s">
        <v>176</v>
      </c>
      <c r="E1518" s="170" t="s">
        <v>136</v>
      </c>
      <c r="F1518" s="170" t="s">
        <v>136</v>
      </c>
      <c r="G1518" s="174"/>
      <c r="H1518" s="174"/>
      <c r="I1518" s="174"/>
      <c r="J1518" s="172">
        <v>45581.303148148145</v>
      </c>
      <c r="K1518" s="173" t="s">
        <v>139</v>
      </c>
      <c r="L1518" s="170" t="s">
        <v>237</v>
      </c>
    </row>
    <row r="1519">
      <c r="A1519" s="168">
        <v>66.0</v>
      </c>
      <c r="B1519" s="169" t="s">
        <v>7</v>
      </c>
      <c r="C1519" s="169" t="s">
        <v>2917</v>
      </c>
      <c r="D1519" s="169" t="s">
        <v>153</v>
      </c>
      <c r="E1519" s="170" t="s">
        <v>136</v>
      </c>
      <c r="F1519" s="170" t="s">
        <v>136</v>
      </c>
      <c r="G1519" s="171"/>
      <c r="H1519" s="171"/>
      <c r="I1519" s="171"/>
      <c r="J1519" s="172">
        <v>45581.2640625</v>
      </c>
      <c r="K1519" s="173" t="s">
        <v>139</v>
      </c>
      <c r="L1519" s="170" t="s">
        <v>237</v>
      </c>
    </row>
    <row r="1520">
      <c r="A1520" s="168">
        <v>65.0</v>
      </c>
      <c r="B1520" s="169" t="s">
        <v>7</v>
      </c>
      <c r="C1520" s="169" t="s">
        <v>1515</v>
      </c>
      <c r="D1520" s="169" t="s">
        <v>209</v>
      </c>
      <c r="E1520" s="170" t="s">
        <v>136</v>
      </c>
      <c r="F1520" s="170" t="s">
        <v>136</v>
      </c>
      <c r="G1520" s="174"/>
      <c r="H1520" s="174"/>
      <c r="I1520" s="174"/>
      <c r="J1520" s="172">
        <v>45580.98494212963</v>
      </c>
      <c r="K1520" s="173" t="s">
        <v>139</v>
      </c>
      <c r="L1520" s="170" t="s">
        <v>237</v>
      </c>
    </row>
    <row r="1521">
      <c r="A1521" s="168">
        <v>64.0</v>
      </c>
      <c r="B1521" s="169" t="s">
        <v>7</v>
      </c>
      <c r="C1521" s="169" t="s">
        <v>2918</v>
      </c>
      <c r="D1521" s="169" t="s">
        <v>176</v>
      </c>
      <c r="E1521" s="170" t="s">
        <v>136</v>
      </c>
      <c r="F1521" s="170" t="s">
        <v>136</v>
      </c>
      <c r="G1521" s="171"/>
      <c r="H1521" s="171"/>
      <c r="I1521" s="171"/>
      <c r="J1521" s="172">
        <v>45580.936886574076</v>
      </c>
      <c r="K1521" s="173" t="s">
        <v>139</v>
      </c>
      <c r="L1521" s="170" t="s">
        <v>237</v>
      </c>
    </row>
    <row r="1522">
      <c r="A1522" s="168">
        <v>63.0</v>
      </c>
      <c r="B1522" s="169" t="s">
        <v>7</v>
      </c>
      <c r="C1522" s="169" t="s">
        <v>211</v>
      </c>
      <c r="D1522" s="169" t="s">
        <v>176</v>
      </c>
      <c r="E1522" s="170" t="s">
        <v>136</v>
      </c>
      <c r="F1522" s="170" t="s">
        <v>136</v>
      </c>
      <c r="G1522" s="174"/>
      <c r="H1522" s="174"/>
      <c r="I1522" s="174"/>
      <c r="J1522" s="172">
        <v>45580.79846064815</v>
      </c>
      <c r="K1522" s="173" t="s">
        <v>139</v>
      </c>
      <c r="L1522" s="170" t="s">
        <v>237</v>
      </c>
    </row>
    <row r="1523">
      <c r="A1523" s="168">
        <v>62.0</v>
      </c>
      <c r="B1523" s="169" t="s">
        <v>7</v>
      </c>
      <c r="C1523" s="169" t="s">
        <v>2919</v>
      </c>
      <c r="D1523" s="169" t="s">
        <v>228</v>
      </c>
      <c r="E1523" s="170" t="s">
        <v>136</v>
      </c>
      <c r="F1523" s="170" t="s">
        <v>136</v>
      </c>
      <c r="G1523" s="171"/>
      <c r="H1523" s="171"/>
      <c r="I1523" s="171"/>
      <c r="J1523" s="172">
        <v>45580.67988425926</v>
      </c>
      <c r="K1523" s="173" t="s">
        <v>139</v>
      </c>
      <c r="L1523" s="170" t="s">
        <v>237</v>
      </c>
    </row>
    <row r="1524">
      <c r="A1524" s="168">
        <v>61.0</v>
      </c>
      <c r="B1524" s="169" t="s">
        <v>6</v>
      </c>
      <c r="C1524" s="169" t="s">
        <v>2920</v>
      </c>
      <c r="D1524" s="169" t="s">
        <v>176</v>
      </c>
      <c r="E1524" s="170" t="s">
        <v>136</v>
      </c>
      <c r="F1524" s="170" t="s">
        <v>136</v>
      </c>
      <c r="G1524" s="174"/>
      <c r="H1524" s="174"/>
      <c r="I1524" s="174"/>
      <c r="J1524" s="172">
        <v>45580.67431712963</v>
      </c>
      <c r="K1524" s="173" t="s">
        <v>139</v>
      </c>
      <c r="L1524" s="170" t="s">
        <v>237</v>
      </c>
    </row>
    <row r="1525">
      <c r="A1525" s="168">
        <v>60.0</v>
      </c>
      <c r="B1525" s="169" t="s">
        <v>7</v>
      </c>
      <c r="C1525" s="169" t="s">
        <v>211</v>
      </c>
      <c r="D1525" s="169" t="s">
        <v>176</v>
      </c>
      <c r="E1525" s="170" t="s">
        <v>136</v>
      </c>
      <c r="F1525" s="170" t="s">
        <v>136</v>
      </c>
      <c r="G1525" s="171"/>
      <c r="H1525" s="171"/>
      <c r="I1525" s="171"/>
      <c r="J1525" s="172">
        <v>45580.577881944446</v>
      </c>
      <c r="K1525" s="173" t="s">
        <v>139</v>
      </c>
      <c r="L1525" s="170" t="s">
        <v>237</v>
      </c>
    </row>
    <row r="1526">
      <c r="A1526" s="168">
        <v>59.0</v>
      </c>
      <c r="B1526" s="169" t="s">
        <v>7</v>
      </c>
      <c r="C1526" s="169" t="s">
        <v>1406</v>
      </c>
      <c r="D1526" s="169" t="s">
        <v>134</v>
      </c>
      <c r="E1526" s="170" t="s">
        <v>136</v>
      </c>
      <c r="F1526" s="170" t="s">
        <v>136</v>
      </c>
      <c r="G1526" s="174"/>
      <c r="H1526" s="174"/>
      <c r="I1526" s="174"/>
      <c r="J1526" s="172">
        <v>45580.53597222222</v>
      </c>
      <c r="K1526" s="173" t="s">
        <v>139</v>
      </c>
      <c r="L1526" s="170" t="s">
        <v>237</v>
      </c>
    </row>
    <row r="1527">
      <c r="A1527" s="168">
        <v>58.0</v>
      </c>
      <c r="B1527" s="169" t="s">
        <v>7</v>
      </c>
      <c r="C1527" s="169" t="s">
        <v>853</v>
      </c>
      <c r="D1527" s="169" t="s">
        <v>213</v>
      </c>
      <c r="E1527" s="170" t="s">
        <v>136</v>
      </c>
      <c r="F1527" s="170" t="s">
        <v>136</v>
      </c>
      <c r="G1527" s="171"/>
      <c r="H1527" s="171"/>
      <c r="I1527" s="171"/>
      <c r="J1527" s="172">
        <v>45580.49680555556</v>
      </c>
      <c r="K1527" s="173" t="s">
        <v>139</v>
      </c>
      <c r="L1527" s="170" t="s">
        <v>237</v>
      </c>
    </row>
    <row r="1528">
      <c r="A1528" s="168">
        <v>57.0</v>
      </c>
      <c r="B1528" s="169" t="s">
        <v>6</v>
      </c>
      <c r="C1528" s="169" t="s">
        <v>1087</v>
      </c>
      <c r="D1528" s="169" t="s">
        <v>202</v>
      </c>
      <c r="E1528" s="170" t="s">
        <v>135</v>
      </c>
      <c r="F1528" s="170" t="s">
        <v>136</v>
      </c>
      <c r="G1528" s="174"/>
      <c r="H1528" s="174"/>
      <c r="I1528" s="174"/>
      <c r="J1528" s="172">
        <v>45580.46472222222</v>
      </c>
      <c r="K1528" s="173" t="s">
        <v>139</v>
      </c>
      <c r="L1528" s="170" t="s">
        <v>237</v>
      </c>
    </row>
    <row r="1529">
      <c r="A1529" s="168">
        <v>56.0</v>
      </c>
      <c r="B1529" s="169" t="s">
        <v>7</v>
      </c>
      <c r="C1529" s="169" t="s">
        <v>2921</v>
      </c>
      <c r="D1529" s="169" t="s">
        <v>228</v>
      </c>
      <c r="E1529" s="170" t="s">
        <v>136</v>
      </c>
      <c r="F1529" s="170" t="s">
        <v>136</v>
      </c>
      <c r="G1529" s="171"/>
      <c r="H1529" s="171"/>
      <c r="I1529" s="171"/>
      <c r="J1529" s="172">
        <v>45580.42254629629</v>
      </c>
      <c r="K1529" s="173" t="s">
        <v>139</v>
      </c>
      <c r="L1529" s="170" t="s">
        <v>237</v>
      </c>
    </row>
    <row r="1530">
      <c r="A1530" s="168">
        <v>55.0</v>
      </c>
      <c r="B1530" s="169" t="s">
        <v>6</v>
      </c>
      <c r="C1530" s="169" t="s">
        <v>2922</v>
      </c>
      <c r="D1530" s="169" t="s">
        <v>214</v>
      </c>
      <c r="E1530" s="170" t="s">
        <v>136</v>
      </c>
      <c r="F1530" s="170" t="s">
        <v>136</v>
      </c>
      <c r="G1530" s="174"/>
      <c r="H1530" s="174"/>
      <c r="I1530" s="174"/>
      <c r="J1530" s="172">
        <v>45580.41359953704</v>
      </c>
      <c r="K1530" s="173" t="s">
        <v>139</v>
      </c>
      <c r="L1530" s="170" t="s">
        <v>237</v>
      </c>
    </row>
    <row r="1531">
      <c r="A1531" s="168">
        <v>54.0</v>
      </c>
      <c r="B1531" s="169" t="s">
        <v>7</v>
      </c>
      <c r="C1531" s="169" t="s">
        <v>2923</v>
      </c>
      <c r="D1531" s="169" t="s">
        <v>223</v>
      </c>
      <c r="E1531" s="170" t="s">
        <v>136</v>
      </c>
      <c r="F1531" s="170" t="s">
        <v>136</v>
      </c>
      <c r="G1531" s="171"/>
      <c r="H1531" s="171"/>
      <c r="I1531" s="171"/>
      <c r="J1531" s="172">
        <v>45580.36226851852</v>
      </c>
      <c r="K1531" s="173" t="s">
        <v>139</v>
      </c>
      <c r="L1531" s="170" t="s">
        <v>237</v>
      </c>
    </row>
    <row r="1532">
      <c r="A1532" s="168">
        <v>53.0</v>
      </c>
      <c r="B1532" s="169" t="s">
        <v>7</v>
      </c>
      <c r="C1532" s="169" t="s">
        <v>2924</v>
      </c>
      <c r="D1532" s="169" t="s">
        <v>238</v>
      </c>
      <c r="E1532" s="170" t="s">
        <v>136</v>
      </c>
      <c r="F1532" s="170" t="s">
        <v>136</v>
      </c>
      <c r="G1532" s="174"/>
      <c r="H1532" s="174"/>
      <c r="I1532" s="174"/>
      <c r="J1532" s="172">
        <v>45579.88449074074</v>
      </c>
      <c r="K1532" s="173" t="s">
        <v>139</v>
      </c>
      <c r="L1532" s="170" t="s">
        <v>237</v>
      </c>
    </row>
    <row r="1533">
      <c r="A1533" s="168">
        <v>52.0</v>
      </c>
      <c r="B1533" s="169" t="s">
        <v>7</v>
      </c>
      <c r="C1533" s="169" t="s">
        <v>2916</v>
      </c>
      <c r="D1533" s="169" t="s">
        <v>176</v>
      </c>
      <c r="E1533" s="170" t="s">
        <v>136</v>
      </c>
      <c r="F1533" s="170" t="s">
        <v>136</v>
      </c>
      <c r="G1533" s="171"/>
      <c r="H1533" s="171"/>
      <c r="I1533" s="171"/>
      <c r="J1533" s="172">
        <v>45579.4991087963</v>
      </c>
      <c r="K1533" s="173" t="s">
        <v>139</v>
      </c>
      <c r="L1533" s="170" t="s">
        <v>237</v>
      </c>
    </row>
    <row r="1534">
      <c r="A1534" s="168">
        <v>51.0</v>
      </c>
      <c r="B1534" s="169" t="s">
        <v>6</v>
      </c>
      <c r="C1534" s="169" t="s">
        <v>2925</v>
      </c>
      <c r="D1534" s="169" t="s">
        <v>213</v>
      </c>
      <c r="E1534" s="170" t="s">
        <v>136</v>
      </c>
      <c r="F1534" s="170" t="s">
        <v>136</v>
      </c>
      <c r="G1534" s="174"/>
      <c r="H1534" s="174"/>
      <c r="I1534" s="174"/>
      <c r="J1534" s="172">
        <v>45579.43587962963</v>
      </c>
      <c r="K1534" s="173" t="s">
        <v>139</v>
      </c>
      <c r="L1534" s="170" t="s">
        <v>237</v>
      </c>
    </row>
    <row r="1535">
      <c r="A1535" s="168">
        <v>50.0</v>
      </c>
      <c r="B1535" s="169" t="s">
        <v>7</v>
      </c>
      <c r="C1535" s="169" t="s">
        <v>2032</v>
      </c>
      <c r="D1535" s="169" t="s">
        <v>223</v>
      </c>
      <c r="E1535" s="170" t="s">
        <v>136</v>
      </c>
      <c r="F1535" s="170" t="s">
        <v>136</v>
      </c>
      <c r="J1535" s="172">
        <v>45579.42543981481</v>
      </c>
      <c r="K1535" s="173" t="s">
        <v>139</v>
      </c>
      <c r="L1535" s="170" t="s">
        <v>237</v>
      </c>
    </row>
    <row r="1536">
      <c r="A1536" s="168">
        <v>49.0</v>
      </c>
      <c r="B1536" s="169" t="s">
        <v>7</v>
      </c>
      <c r="C1536" s="169" t="s">
        <v>2926</v>
      </c>
      <c r="D1536" s="169" t="s">
        <v>153</v>
      </c>
      <c r="E1536" s="170" t="s">
        <v>136</v>
      </c>
      <c r="F1536" s="170" t="s">
        <v>136</v>
      </c>
      <c r="J1536" s="172">
        <v>45579.42199074074</v>
      </c>
      <c r="K1536" s="173" t="s">
        <v>139</v>
      </c>
      <c r="L1536" s="170" t="s">
        <v>237</v>
      </c>
    </row>
    <row r="1537">
      <c r="A1537" s="168">
        <v>48.0</v>
      </c>
      <c r="B1537" s="169" t="s">
        <v>7</v>
      </c>
      <c r="C1537" s="169" t="s">
        <v>1096</v>
      </c>
      <c r="D1537" s="169" t="s">
        <v>153</v>
      </c>
      <c r="E1537" s="170" t="s">
        <v>136</v>
      </c>
      <c r="F1537" s="170" t="s">
        <v>136</v>
      </c>
      <c r="J1537" s="172">
        <v>45579.41622685185</v>
      </c>
      <c r="K1537" s="173" t="s">
        <v>139</v>
      </c>
      <c r="L1537" s="170" t="s">
        <v>237</v>
      </c>
    </row>
    <row r="1538">
      <c r="A1538" s="168">
        <v>47.0</v>
      </c>
      <c r="B1538" s="169" t="s">
        <v>7</v>
      </c>
      <c r="C1538" s="169" t="s">
        <v>137</v>
      </c>
      <c r="D1538" s="169" t="s">
        <v>228</v>
      </c>
      <c r="E1538" s="170" t="s">
        <v>136</v>
      </c>
      <c r="F1538" s="170" t="s">
        <v>136</v>
      </c>
      <c r="J1538" s="172">
        <v>45579.41357638889</v>
      </c>
      <c r="K1538" s="173" t="s">
        <v>139</v>
      </c>
      <c r="L1538" s="170" t="s">
        <v>237</v>
      </c>
    </row>
    <row r="1539">
      <c r="A1539" s="168">
        <v>46.0</v>
      </c>
      <c r="B1539" s="169" t="s">
        <v>7</v>
      </c>
      <c r="C1539" s="169" t="s">
        <v>2927</v>
      </c>
      <c r="D1539" s="169" t="s">
        <v>228</v>
      </c>
      <c r="E1539" s="170" t="s">
        <v>136</v>
      </c>
      <c r="F1539" s="170" t="s">
        <v>136</v>
      </c>
      <c r="J1539" s="172">
        <v>45579.40604166667</v>
      </c>
      <c r="K1539" s="173" t="s">
        <v>139</v>
      </c>
      <c r="L1539" s="170" t="s">
        <v>237</v>
      </c>
    </row>
    <row r="1540">
      <c r="A1540" s="168">
        <v>45.0</v>
      </c>
      <c r="B1540" s="169" t="s">
        <v>6</v>
      </c>
      <c r="C1540" s="169" t="s">
        <v>315</v>
      </c>
      <c r="D1540" s="169" t="s">
        <v>164</v>
      </c>
      <c r="E1540" s="170" t="s">
        <v>136</v>
      </c>
      <c r="F1540" s="170" t="s">
        <v>136</v>
      </c>
      <c r="J1540" s="172">
        <v>45579.40181712963</v>
      </c>
      <c r="K1540" s="173" t="s">
        <v>139</v>
      </c>
      <c r="L1540" s="170" t="s">
        <v>237</v>
      </c>
    </row>
    <row r="1541">
      <c r="A1541" s="168">
        <v>44.0</v>
      </c>
      <c r="B1541" s="169" t="s">
        <v>7</v>
      </c>
      <c r="C1541" s="169" t="s">
        <v>2903</v>
      </c>
      <c r="D1541" s="169" t="s">
        <v>228</v>
      </c>
      <c r="E1541" s="170" t="s">
        <v>136</v>
      </c>
      <c r="F1541" s="170" t="s">
        <v>136</v>
      </c>
      <c r="J1541" s="172">
        <v>45579.36240740741</v>
      </c>
      <c r="K1541" s="173" t="s">
        <v>139</v>
      </c>
      <c r="L1541" s="170" t="s">
        <v>237</v>
      </c>
    </row>
    <row r="1542">
      <c r="A1542" s="168">
        <v>43.0</v>
      </c>
      <c r="B1542" s="169" t="s">
        <v>7</v>
      </c>
      <c r="C1542" s="169" t="s">
        <v>2928</v>
      </c>
      <c r="D1542" s="169" t="s">
        <v>213</v>
      </c>
      <c r="E1542" s="170" t="s">
        <v>136</v>
      </c>
      <c r="F1542" s="170" t="s">
        <v>136</v>
      </c>
      <c r="J1542" s="172">
        <v>45579.35800925926</v>
      </c>
      <c r="K1542" s="173" t="s">
        <v>139</v>
      </c>
      <c r="L1542" s="170" t="s">
        <v>237</v>
      </c>
    </row>
    <row r="1543">
      <c r="A1543" s="168">
        <v>42.0</v>
      </c>
      <c r="B1543" s="169" t="s">
        <v>7</v>
      </c>
      <c r="C1543" s="169" t="s">
        <v>2929</v>
      </c>
      <c r="D1543" s="169" t="s">
        <v>134</v>
      </c>
      <c r="E1543" s="170" t="s">
        <v>136</v>
      </c>
      <c r="F1543" s="170" t="s">
        <v>136</v>
      </c>
      <c r="J1543" s="172">
        <v>45579.340416666666</v>
      </c>
      <c r="K1543" s="173" t="s">
        <v>139</v>
      </c>
      <c r="L1543" s="170" t="s">
        <v>237</v>
      </c>
    </row>
    <row r="1544">
      <c r="A1544" s="168">
        <v>41.0</v>
      </c>
      <c r="B1544" s="169" t="s">
        <v>7</v>
      </c>
      <c r="C1544" s="169" t="s">
        <v>2930</v>
      </c>
      <c r="D1544" s="169" t="s">
        <v>213</v>
      </c>
      <c r="E1544" s="170" t="s">
        <v>136</v>
      </c>
      <c r="F1544" s="170" t="s">
        <v>136</v>
      </c>
      <c r="J1544" s="172">
        <v>45579.31269675926</v>
      </c>
      <c r="K1544" s="173" t="s">
        <v>139</v>
      </c>
      <c r="L1544" s="170" t="s">
        <v>237</v>
      </c>
    </row>
    <row r="1545">
      <c r="A1545" s="168">
        <v>40.0</v>
      </c>
      <c r="B1545" s="169" t="s">
        <v>7</v>
      </c>
      <c r="C1545" s="169" t="s">
        <v>696</v>
      </c>
      <c r="D1545" s="169" t="s">
        <v>213</v>
      </c>
      <c r="E1545" s="170" t="s">
        <v>136</v>
      </c>
      <c r="F1545" s="170" t="s">
        <v>136</v>
      </c>
      <c r="J1545" s="172">
        <v>45579.292719907404</v>
      </c>
      <c r="K1545" s="173" t="s">
        <v>139</v>
      </c>
      <c r="L1545" s="170" t="s">
        <v>237</v>
      </c>
    </row>
    <row r="1546">
      <c r="A1546" s="168">
        <v>39.0</v>
      </c>
      <c r="B1546" s="169" t="s">
        <v>7</v>
      </c>
      <c r="C1546" s="169" t="s">
        <v>2931</v>
      </c>
      <c r="D1546" s="169" t="s">
        <v>228</v>
      </c>
      <c r="E1546" s="170" t="s">
        <v>136</v>
      </c>
      <c r="F1546" s="170" t="s">
        <v>136</v>
      </c>
      <c r="J1546" s="172">
        <v>45577.768587962964</v>
      </c>
      <c r="K1546" s="173" t="s">
        <v>139</v>
      </c>
      <c r="L1546" s="170" t="s">
        <v>237</v>
      </c>
    </row>
    <row r="1547">
      <c r="A1547" s="168">
        <v>38.0</v>
      </c>
      <c r="B1547" s="169" t="s">
        <v>7</v>
      </c>
      <c r="C1547" s="169" t="s">
        <v>366</v>
      </c>
      <c r="D1547" s="169" t="s">
        <v>218</v>
      </c>
      <c r="E1547" s="170" t="s">
        <v>136</v>
      </c>
      <c r="F1547" s="170" t="s">
        <v>136</v>
      </c>
      <c r="J1547" s="172">
        <v>45576.86164351852</v>
      </c>
      <c r="K1547" s="173" t="s">
        <v>139</v>
      </c>
      <c r="L1547" s="170" t="s">
        <v>237</v>
      </c>
    </row>
    <row r="1548">
      <c r="A1548" s="168">
        <v>37.0</v>
      </c>
      <c r="B1548" s="169" t="s">
        <v>7</v>
      </c>
      <c r="C1548" s="169" t="s">
        <v>696</v>
      </c>
      <c r="D1548" s="169" t="s">
        <v>213</v>
      </c>
      <c r="E1548" s="170" t="s">
        <v>136</v>
      </c>
      <c r="F1548" s="170" t="s">
        <v>136</v>
      </c>
      <c r="J1548" s="172">
        <v>45576.830462962964</v>
      </c>
      <c r="K1548" s="173" t="s">
        <v>139</v>
      </c>
      <c r="L1548" s="170" t="s">
        <v>237</v>
      </c>
    </row>
    <row r="1549">
      <c r="A1549" s="168">
        <v>36.0</v>
      </c>
      <c r="B1549" s="169" t="s">
        <v>7</v>
      </c>
      <c r="C1549" s="169" t="s">
        <v>409</v>
      </c>
      <c r="D1549" s="169" t="s">
        <v>197</v>
      </c>
      <c r="E1549" s="170" t="s">
        <v>136</v>
      </c>
      <c r="F1549" s="170" t="s">
        <v>136</v>
      </c>
      <c r="J1549" s="172">
        <v>45576.55657407407</v>
      </c>
      <c r="K1549" s="173" t="s">
        <v>139</v>
      </c>
      <c r="L1549" s="170" t="s">
        <v>237</v>
      </c>
    </row>
    <row r="1550">
      <c r="A1550" s="168">
        <v>35.0</v>
      </c>
      <c r="B1550" s="169" t="s">
        <v>7</v>
      </c>
      <c r="C1550" s="169" t="s">
        <v>2932</v>
      </c>
      <c r="D1550" s="169" t="s">
        <v>291</v>
      </c>
      <c r="E1550" s="170" t="s">
        <v>136</v>
      </c>
      <c r="F1550" s="170" t="s">
        <v>136</v>
      </c>
      <c r="J1550" s="172">
        <v>45576.5275</v>
      </c>
      <c r="K1550" s="173" t="s">
        <v>139</v>
      </c>
      <c r="L1550" s="170" t="s">
        <v>237</v>
      </c>
    </row>
    <row r="1551">
      <c r="A1551" s="168">
        <v>34.0</v>
      </c>
      <c r="B1551" s="169" t="s">
        <v>7</v>
      </c>
      <c r="C1551" s="169" t="s">
        <v>2933</v>
      </c>
      <c r="D1551" s="169" t="s">
        <v>228</v>
      </c>
      <c r="E1551" s="170" t="s">
        <v>136</v>
      </c>
      <c r="F1551" s="170" t="s">
        <v>136</v>
      </c>
      <c r="J1551" s="172">
        <v>45576.48903935185</v>
      </c>
      <c r="K1551" s="173" t="s">
        <v>139</v>
      </c>
      <c r="L1551" s="170" t="s">
        <v>237</v>
      </c>
    </row>
    <row r="1552">
      <c r="A1552" s="168">
        <v>33.0</v>
      </c>
      <c r="B1552" s="169" t="s">
        <v>6</v>
      </c>
      <c r="C1552" s="169" t="s">
        <v>133</v>
      </c>
      <c r="D1552" s="169" t="s">
        <v>134</v>
      </c>
      <c r="E1552" s="170" t="s">
        <v>136</v>
      </c>
      <c r="F1552" s="170" t="s">
        <v>136</v>
      </c>
      <c r="J1552" s="172">
        <v>45576.476851851854</v>
      </c>
      <c r="K1552" s="173" t="s">
        <v>139</v>
      </c>
      <c r="L1552" s="170" t="s">
        <v>237</v>
      </c>
    </row>
    <row r="1553">
      <c r="A1553" s="168">
        <v>32.0</v>
      </c>
      <c r="B1553" s="169" t="s">
        <v>6</v>
      </c>
      <c r="C1553" s="169" t="s">
        <v>2934</v>
      </c>
      <c r="D1553" s="169" t="s">
        <v>213</v>
      </c>
      <c r="E1553" s="17" t="s">
        <v>135</v>
      </c>
      <c r="F1553" s="170" t="s">
        <v>136</v>
      </c>
      <c r="J1553" s="172">
        <v>45576.44563657408</v>
      </c>
      <c r="K1553" s="173" t="s">
        <v>139</v>
      </c>
      <c r="L1553" s="170" t="s">
        <v>237</v>
      </c>
    </row>
    <row r="1554">
      <c r="A1554" s="168">
        <v>31.0</v>
      </c>
      <c r="B1554" s="169" t="s">
        <v>6</v>
      </c>
      <c r="C1554" s="169" t="s">
        <v>1379</v>
      </c>
      <c r="D1554" s="169" t="s">
        <v>134</v>
      </c>
      <c r="E1554" s="17" t="s">
        <v>136</v>
      </c>
      <c r="F1554" s="170" t="s">
        <v>136</v>
      </c>
      <c r="J1554" s="172">
        <v>45576.39576388889</v>
      </c>
      <c r="K1554" s="173" t="s">
        <v>139</v>
      </c>
      <c r="L1554" s="170" t="s">
        <v>237</v>
      </c>
    </row>
    <row r="1555">
      <c r="A1555" s="168">
        <v>30.0</v>
      </c>
      <c r="B1555" s="169" t="s">
        <v>7</v>
      </c>
      <c r="C1555" s="169" t="s">
        <v>1087</v>
      </c>
      <c r="D1555" s="169" t="s">
        <v>202</v>
      </c>
      <c r="E1555" s="17" t="s">
        <v>136</v>
      </c>
      <c r="F1555" s="170" t="s">
        <v>136</v>
      </c>
      <c r="J1555" s="172">
        <v>45576.39197916666</v>
      </c>
      <c r="K1555" s="173" t="s">
        <v>139</v>
      </c>
      <c r="L1555" s="170" t="s">
        <v>237</v>
      </c>
    </row>
    <row r="1556">
      <c r="A1556" s="168">
        <v>29.0</v>
      </c>
      <c r="B1556" s="169" t="s">
        <v>7</v>
      </c>
      <c r="C1556" s="169" t="s">
        <v>2622</v>
      </c>
      <c r="D1556" s="169" t="s">
        <v>202</v>
      </c>
      <c r="E1556" s="17" t="s">
        <v>136</v>
      </c>
      <c r="F1556" s="170" t="s">
        <v>136</v>
      </c>
      <c r="J1556" s="172">
        <v>45576.37650462963</v>
      </c>
      <c r="K1556" s="173" t="s">
        <v>139</v>
      </c>
      <c r="L1556" s="170" t="s">
        <v>237</v>
      </c>
    </row>
    <row r="1557">
      <c r="A1557" s="168">
        <v>28.0</v>
      </c>
      <c r="B1557" s="169" t="s">
        <v>6</v>
      </c>
      <c r="C1557" s="169" t="s">
        <v>2935</v>
      </c>
      <c r="D1557" s="169" t="s">
        <v>213</v>
      </c>
      <c r="E1557" s="17" t="s">
        <v>136</v>
      </c>
      <c r="F1557" s="170" t="s">
        <v>136</v>
      </c>
      <c r="J1557" s="172">
        <v>45575.88726851852</v>
      </c>
      <c r="K1557" s="173" t="s">
        <v>139</v>
      </c>
      <c r="L1557" s="170" t="s">
        <v>237</v>
      </c>
    </row>
    <row r="1558">
      <c r="A1558" s="168">
        <v>27.0</v>
      </c>
      <c r="B1558" s="169" t="s">
        <v>7</v>
      </c>
      <c r="C1558" s="169" t="s">
        <v>2936</v>
      </c>
      <c r="D1558" s="169" t="s">
        <v>352</v>
      </c>
      <c r="E1558" s="17" t="s">
        <v>136</v>
      </c>
      <c r="F1558" s="170" t="s">
        <v>136</v>
      </c>
      <c r="J1558" s="172">
        <v>45575.728530092594</v>
      </c>
      <c r="K1558" s="173" t="s">
        <v>139</v>
      </c>
      <c r="L1558" s="170" t="s">
        <v>237</v>
      </c>
    </row>
    <row r="1559">
      <c r="A1559" s="168">
        <v>26.0</v>
      </c>
      <c r="B1559" s="169" t="s">
        <v>6</v>
      </c>
      <c r="C1559" s="169" t="s">
        <v>2937</v>
      </c>
      <c r="D1559" s="169" t="s">
        <v>233</v>
      </c>
      <c r="E1559" s="17" t="s">
        <v>136</v>
      </c>
      <c r="F1559" s="170" t="s">
        <v>136</v>
      </c>
      <c r="J1559" s="172">
        <v>45575.72052083333</v>
      </c>
      <c r="K1559" s="173" t="s">
        <v>139</v>
      </c>
      <c r="L1559" s="170" t="s">
        <v>237</v>
      </c>
    </row>
    <row r="1560">
      <c r="A1560" s="168">
        <v>25.0</v>
      </c>
      <c r="B1560" s="169" t="s">
        <v>7</v>
      </c>
      <c r="C1560" s="169" t="s">
        <v>2938</v>
      </c>
      <c r="D1560" s="169" t="s">
        <v>197</v>
      </c>
      <c r="E1560" s="17" t="s">
        <v>136</v>
      </c>
      <c r="F1560" s="170" t="s">
        <v>136</v>
      </c>
      <c r="J1560" s="172">
        <v>45575.71260416666</v>
      </c>
      <c r="K1560" s="173" t="s">
        <v>139</v>
      </c>
      <c r="L1560" s="170" t="s">
        <v>237</v>
      </c>
    </row>
    <row r="1561">
      <c r="A1561" s="168">
        <v>24.0</v>
      </c>
      <c r="B1561" s="169" t="s">
        <v>6</v>
      </c>
      <c r="C1561" s="169" t="s">
        <v>2791</v>
      </c>
      <c r="D1561" s="169" t="s">
        <v>143</v>
      </c>
      <c r="E1561" s="17" t="s">
        <v>136</v>
      </c>
      <c r="F1561" s="170" t="s">
        <v>136</v>
      </c>
      <c r="J1561" s="172">
        <v>45575.70956018518</v>
      </c>
      <c r="K1561" s="173" t="s">
        <v>139</v>
      </c>
      <c r="L1561" s="170" t="s">
        <v>237</v>
      </c>
    </row>
    <row r="1562">
      <c r="A1562" s="168">
        <v>23.0</v>
      </c>
      <c r="B1562" s="169" t="s">
        <v>6</v>
      </c>
      <c r="C1562" s="169" t="s">
        <v>2939</v>
      </c>
      <c r="D1562" s="169" t="s">
        <v>134</v>
      </c>
      <c r="E1562" s="17" t="s">
        <v>136</v>
      </c>
      <c r="F1562" s="170" t="s">
        <v>136</v>
      </c>
      <c r="J1562" s="172">
        <v>45575.70482638889</v>
      </c>
      <c r="K1562" s="173" t="s">
        <v>139</v>
      </c>
      <c r="L1562" s="170" t="s">
        <v>237</v>
      </c>
    </row>
    <row r="1563">
      <c r="A1563" s="168">
        <v>22.0</v>
      </c>
      <c r="B1563" s="169" t="s">
        <v>7</v>
      </c>
      <c r="C1563" s="169" t="s">
        <v>1096</v>
      </c>
      <c r="D1563" s="169" t="s">
        <v>153</v>
      </c>
      <c r="E1563" s="17" t="s">
        <v>136</v>
      </c>
      <c r="F1563" s="170" t="s">
        <v>136</v>
      </c>
      <c r="J1563" s="172">
        <v>45575.7009837963</v>
      </c>
      <c r="K1563" s="173" t="s">
        <v>139</v>
      </c>
      <c r="L1563" s="170" t="s">
        <v>237</v>
      </c>
    </row>
    <row r="1564">
      <c r="A1564" s="168">
        <v>21.0</v>
      </c>
      <c r="B1564" s="169" t="s">
        <v>7</v>
      </c>
      <c r="C1564" s="169" t="s">
        <v>149</v>
      </c>
      <c r="D1564" s="169" t="s">
        <v>134</v>
      </c>
      <c r="E1564" s="17" t="s">
        <v>136</v>
      </c>
      <c r="F1564" s="170" t="s">
        <v>136</v>
      </c>
      <c r="J1564" s="172">
        <v>45575.70077546296</v>
      </c>
      <c r="K1564" s="173" t="s">
        <v>139</v>
      </c>
      <c r="L1564" s="170" t="s">
        <v>237</v>
      </c>
    </row>
    <row r="1565">
      <c r="A1565" s="168">
        <v>20.0</v>
      </c>
      <c r="B1565" s="169" t="s">
        <v>7</v>
      </c>
      <c r="C1565" s="169" t="s">
        <v>338</v>
      </c>
      <c r="D1565" s="169" t="s">
        <v>143</v>
      </c>
      <c r="E1565" s="17" t="s">
        <v>136</v>
      </c>
      <c r="F1565" s="170" t="s">
        <v>136</v>
      </c>
      <c r="J1565" s="172">
        <v>45575.697743055556</v>
      </c>
      <c r="K1565" s="173" t="s">
        <v>139</v>
      </c>
      <c r="L1565" s="170" t="s">
        <v>237</v>
      </c>
    </row>
    <row r="1566">
      <c r="A1566" s="168">
        <v>19.0</v>
      </c>
      <c r="B1566" s="169" t="s">
        <v>7</v>
      </c>
      <c r="C1566" s="169" t="s">
        <v>2940</v>
      </c>
      <c r="D1566" s="169" t="s">
        <v>302</v>
      </c>
      <c r="E1566" s="17" t="s">
        <v>136</v>
      </c>
      <c r="F1566" s="170" t="s">
        <v>136</v>
      </c>
      <c r="J1566" s="172">
        <v>45575.69550925926</v>
      </c>
      <c r="K1566" s="173" t="s">
        <v>139</v>
      </c>
      <c r="L1566" s="170" t="s">
        <v>237</v>
      </c>
    </row>
    <row r="1567">
      <c r="A1567" s="168">
        <v>18.0</v>
      </c>
      <c r="B1567" s="169" t="s">
        <v>6</v>
      </c>
      <c r="C1567" s="169" t="s">
        <v>2916</v>
      </c>
      <c r="D1567" s="169" t="s">
        <v>176</v>
      </c>
      <c r="E1567" s="17" t="s">
        <v>136</v>
      </c>
      <c r="F1567" s="170" t="s">
        <v>136</v>
      </c>
      <c r="J1567" s="172">
        <v>45575.66550925926</v>
      </c>
      <c r="K1567" s="173" t="s">
        <v>139</v>
      </c>
      <c r="L1567" s="170" t="s">
        <v>237</v>
      </c>
    </row>
    <row r="1568">
      <c r="A1568" s="168">
        <v>17.0</v>
      </c>
      <c r="B1568" s="169" t="s">
        <v>7</v>
      </c>
      <c r="C1568" s="169" t="s">
        <v>2941</v>
      </c>
      <c r="D1568" s="169" t="s">
        <v>398</v>
      </c>
      <c r="E1568" s="17" t="s">
        <v>136</v>
      </c>
      <c r="F1568" s="170" t="s">
        <v>136</v>
      </c>
      <c r="J1568" s="172">
        <v>45575.65414351852</v>
      </c>
      <c r="K1568" s="173" t="s">
        <v>139</v>
      </c>
      <c r="L1568" s="170" t="s">
        <v>237</v>
      </c>
    </row>
    <row r="1569">
      <c r="A1569" s="168">
        <v>16.0</v>
      </c>
      <c r="B1569" s="169" t="s">
        <v>7</v>
      </c>
      <c r="C1569" s="169" t="s">
        <v>2942</v>
      </c>
      <c r="D1569" s="169" t="s">
        <v>176</v>
      </c>
      <c r="E1569" s="17" t="s">
        <v>136</v>
      </c>
      <c r="F1569" s="170" t="s">
        <v>136</v>
      </c>
      <c r="J1569" s="172">
        <v>45575.647824074076</v>
      </c>
      <c r="K1569" s="173" t="s">
        <v>139</v>
      </c>
      <c r="L1569" s="170" t="s">
        <v>237</v>
      </c>
    </row>
    <row r="1570">
      <c r="A1570" s="168">
        <v>15.0</v>
      </c>
      <c r="B1570" s="169" t="s">
        <v>6</v>
      </c>
      <c r="C1570" s="169" t="s">
        <v>2943</v>
      </c>
      <c r="D1570" s="169" t="s">
        <v>268</v>
      </c>
      <c r="E1570" s="17" t="s">
        <v>136</v>
      </c>
      <c r="F1570" s="170" t="s">
        <v>136</v>
      </c>
      <c r="J1570" s="172">
        <v>45575.64097222222</v>
      </c>
      <c r="K1570" s="173" t="s">
        <v>139</v>
      </c>
      <c r="L1570" s="170" t="s">
        <v>237</v>
      </c>
    </row>
    <row r="1571">
      <c r="A1571" s="168">
        <v>14.0</v>
      </c>
      <c r="B1571" s="169" t="s">
        <v>7</v>
      </c>
      <c r="C1571" s="169" t="s">
        <v>2944</v>
      </c>
      <c r="D1571" s="169" t="s">
        <v>134</v>
      </c>
      <c r="E1571" s="17" t="s">
        <v>136</v>
      </c>
      <c r="F1571" s="170" t="s">
        <v>136</v>
      </c>
      <c r="J1571" s="172">
        <v>45575.637650462966</v>
      </c>
      <c r="K1571" s="173" t="s">
        <v>139</v>
      </c>
      <c r="L1571" s="170" t="s">
        <v>237</v>
      </c>
    </row>
    <row r="1572">
      <c r="A1572" s="168">
        <v>13.0</v>
      </c>
      <c r="B1572" s="169" t="s">
        <v>6</v>
      </c>
      <c r="C1572" s="169" t="s">
        <v>564</v>
      </c>
      <c r="D1572" s="169" t="s">
        <v>268</v>
      </c>
      <c r="E1572" s="17" t="s">
        <v>135</v>
      </c>
      <c r="F1572" s="170" t="s">
        <v>136</v>
      </c>
      <c r="J1572" s="172">
        <v>45575.63314814815</v>
      </c>
      <c r="K1572" s="173" t="s">
        <v>139</v>
      </c>
      <c r="L1572" s="170" t="s">
        <v>237</v>
      </c>
    </row>
    <row r="1573">
      <c r="A1573" s="168">
        <v>12.0</v>
      </c>
      <c r="B1573" s="169" t="s">
        <v>6</v>
      </c>
      <c r="C1573" s="169" t="s">
        <v>211</v>
      </c>
      <c r="D1573" s="169" t="s">
        <v>176</v>
      </c>
      <c r="E1573" s="17" t="s">
        <v>136</v>
      </c>
      <c r="F1573" s="170" t="s">
        <v>136</v>
      </c>
      <c r="J1573" s="172">
        <v>45575.62663194445</v>
      </c>
      <c r="K1573" s="173" t="s">
        <v>139</v>
      </c>
      <c r="L1573" s="170" t="s">
        <v>237</v>
      </c>
    </row>
    <row r="1574">
      <c r="A1574" s="168">
        <v>11.0</v>
      </c>
      <c r="B1574" s="169" t="s">
        <v>6</v>
      </c>
      <c r="C1574" s="169" t="s">
        <v>260</v>
      </c>
      <c r="D1574" s="169" t="s">
        <v>213</v>
      </c>
      <c r="E1574" s="17" t="s">
        <v>136</v>
      </c>
      <c r="F1574" s="170" t="s">
        <v>136</v>
      </c>
      <c r="J1574" s="172">
        <v>45575.62436342592</v>
      </c>
      <c r="K1574" s="173" t="s">
        <v>139</v>
      </c>
      <c r="L1574" s="170" t="s">
        <v>237</v>
      </c>
    </row>
    <row r="1575">
      <c r="A1575" s="168">
        <v>10.0</v>
      </c>
      <c r="B1575" s="169" t="s">
        <v>7</v>
      </c>
      <c r="C1575" s="169" t="s">
        <v>2945</v>
      </c>
      <c r="D1575" s="169" t="s">
        <v>352</v>
      </c>
      <c r="E1575" s="17" t="s">
        <v>136</v>
      </c>
      <c r="F1575" s="170" t="s">
        <v>136</v>
      </c>
      <c r="J1575" s="172">
        <v>45575.62064814815</v>
      </c>
      <c r="K1575" s="173" t="s">
        <v>139</v>
      </c>
      <c r="L1575" s="170" t="s">
        <v>237</v>
      </c>
    </row>
    <row r="1576">
      <c r="A1576" s="168">
        <v>9.0</v>
      </c>
      <c r="B1576" s="169" t="s">
        <v>6</v>
      </c>
      <c r="C1576" s="169" t="s">
        <v>2946</v>
      </c>
      <c r="D1576" s="169" t="s">
        <v>134</v>
      </c>
      <c r="E1576" s="17" t="s">
        <v>136</v>
      </c>
      <c r="F1576" s="170" t="s">
        <v>136</v>
      </c>
      <c r="J1576" s="172">
        <v>45575.619155092594</v>
      </c>
      <c r="K1576" s="173" t="s">
        <v>139</v>
      </c>
      <c r="L1576" s="170" t="s">
        <v>237</v>
      </c>
    </row>
    <row r="1577">
      <c r="A1577" s="168">
        <v>8.0</v>
      </c>
      <c r="B1577" s="169" t="s">
        <v>7</v>
      </c>
      <c r="C1577" s="169" t="s">
        <v>2947</v>
      </c>
      <c r="D1577" s="169" t="s">
        <v>223</v>
      </c>
      <c r="E1577" s="17" t="s">
        <v>136</v>
      </c>
      <c r="F1577" s="170" t="s">
        <v>136</v>
      </c>
      <c r="J1577" s="172">
        <v>45575.60958333333</v>
      </c>
      <c r="K1577" s="173" t="s">
        <v>139</v>
      </c>
      <c r="L1577" s="170" t="s">
        <v>237</v>
      </c>
    </row>
    <row r="1578">
      <c r="A1578" s="168">
        <v>7.0</v>
      </c>
      <c r="B1578" s="169" t="s">
        <v>6</v>
      </c>
      <c r="C1578" s="169" t="s">
        <v>329</v>
      </c>
      <c r="D1578" s="169" t="s">
        <v>213</v>
      </c>
      <c r="E1578" s="17" t="s">
        <v>136</v>
      </c>
      <c r="F1578" s="170" t="s">
        <v>136</v>
      </c>
      <c r="J1578" s="172">
        <v>45575.60649305556</v>
      </c>
      <c r="K1578" s="173" t="s">
        <v>139</v>
      </c>
      <c r="L1578" s="170" t="s">
        <v>237</v>
      </c>
    </row>
    <row r="1579">
      <c r="A1579" s="168">
        <v>6.0</v>
      </c>
      <c r="B1579" s="169" t="s">
        <v>7</v>
      </c>
      <c r="C1579" s="169" t="s">
        <v>2924</v>
      </c>
      <c r="D1579" s="169" t="s">
        <v>238</v>
      </c>
      <c r="E1579" s="17" t="s">
        <v>136</v>
      </c>
      <c r="F1579" s="170" t="s">
        <v>136</v>
      </c>
      <c r="J1579" s="172">
        <v>45575.58938657407</v>
      </c>
      <c r="K1579" s="173" t="s">
        <v>139</v>
      </c>
      <c r="L1579" s="170" t="s">
        <v>237</v>
      </c>
    </row>
    <row r="1580">
      <c r="A1580" s="168">
        <v>5.0</v>
      </c>
      <c r="B1580" s="169" t="s">
        <v>7</v>
      </c>
      <c r="C1580" s="169" t="s">
        <v>409</v>
      </c>
      <c r="D1580" s="169" t="s">
        <v>238</v>
      </c>
      <c r="E1580" s="17" t="s">
        <v>136</v>
      </c>
      <c r="F1580" s="170" t="s">
        <v>136</v>
      </c>
      <c r="J1580" s="172">
        <v>45575.50445601852</v>
      </c>
      <c r="K1580" s="173" t="s">
        <v>139</v>
      </c>
      <c r="L1580" s="170" t="s">
        <v>237</v>
      </c>
    </row>
    <row r="1581">
      <c r="A1581" s="168">
        <v>4.0</v>
      </c>
      <c r="B1581" s="169" t="s">
        <v>6</v>
      </c>
      <c r="C1581" s="169" t="s">
        <v>2948</v>
      </c>
      <c r="D1581" s="169" t="s">
        <v>238</v>
      </c>
      <c r="E1581" s="17" t="s">
        <v>136</v>
      </c>
      <c r="F1581" s="170" t="s">
        <v>136</v>
      </c>
      <c r="J1581" s="172">
        <v>45575.48762731482</v>
      </c>
      <c r="K1581" s="173" t="s">
        <v>139</v>
      </c>
      <c r="L1581" s="170" t="s">
        <v>237</v>
      </c>
    </row>
    <row r="1582">
      <c r="A1582" s="168">
        <v>3.0</v>
      </c>
      <c r="B1582" s="169" t="s">
        <v>6</v>
      </c>
      <c r="C1582" s="169" t="s">
        <v>2949</v>
      </c>
      <c r="D1582" s="169" t="s">
        <v>238</v>
      </c>
      <c r="E1582" s="17" t="s">
        <v>136</v>
      </c>
      <c r="F1582" s="170" t="s">
        <v>136</v>
      </c>
      <c r="J1582" s="172">
        <v>45575.48222222222</v>
      </c>
      <c r="K1582" s="173" t="s">
        <v>139</v>
      </c>
      <c r="L1582" s="170" t="s">
        <v>237</v>
      </c>
    </row>
    <row r="1583">
      <c r="A1583" s="168">
        <v>2.0</v>
      </c>
      <c r="B1583" s="169" t="s">
        <v>7</v>
      </c>
      <c r="C1583" s="169" t="s">
        <v>2922</v>
      </c>
      <c r="D1583" s="169" t="s">
        <v>214</v>
      </c>
      <c r="E1583" s="17" t="s">
        <v>136</v>
      </c>
      <c r="F1583" s="170" t="s">
        <v>136</v>
      </c>
      <c r="J1583" s="172">
        <v>45575.457083333335</v>
      </c>
      <c r="K1583" s="173" t="s">
        <v>139</v>
      </c>
      <c r="L1583" s="170" t="s">
        <v>237</v>
      </c>
    </row>
    <row r="1584">
      <c r="A1584" s="168">
        <v>1.0</v>
      </c>
      <c r="B1584" s="169" t="s">
        <v>6</v>
      </c>
      <c r="C1584" s="169" t="s">
        <v>2950</v>
      </c>
      <c r="D1584" s="169" t="s">
        <v>218</v>
      </c>
      <c r="E1584" s="17" t="s">
        <v>136</v>
      </c>
      <c r="F1584" s="170" t="s">
        <v>136</v>
      </c>
      <c r="J1584" s="172">
        <v>45573.51534722222</v>
      </c>
      <c r="K1584" s="173" t="s">
        <v>139</v>
      </c>
      <c r="L1584" s="170" t="s">
        <v>237</v>
      </c>
    </row>
    <row r="1585">
      <c r="A1585" s="153">
        <v>25.0</v>
      </c>
      <c r="B1585" s="154" t="s">
        <v>7</v>
      </c>
      <c r="C1585" s="154" t="s">
        <v>195</v>
      </c>
      <c r="D1585" s="154" t="s">
        <v>164</v>
      </c>
      <c r="E1585" s="154" t="s">
        <v>136</v>
      </c>
      <c r="F1585" s="154" t="s">
        <v>136</v>
      </c>
      <c r="G1585" s="154" t="s">
        <v>174</v>
      </c>
      <c r="H1585" s="155"/>
      <c r="I1585" s="154" t="s">
        <v>136</v>
      </c>
      <c r="J1585" s="154" t="s">
        <v>2951</v>
      </c>
      <c r="K1585" s="154" t="s">
        <v>139</v>
      </c>
      <c r="L1585" s="17" t="s">
        <v>74</v>
      </c>
    </row>
    <row r="1586">
      <c r="A1586" s="153">
        <v>14.0</v>
      </c>
      <c r="B1586" s="154" t="s">
        <v>6</v>
      </c>
      <c r="C1586" s="154" t="s">
        <v>2952</v>
      </c>
      <c r="D1586" s="154" t="s">
        <v>182</v>
      </c>
      <c r="E1586" s="154" t="s">
        <v>135</v>
      </c>
      <c r="F1586" s="154" t="s">
        <v>136</v>
      </c>
      <c r="G1586" s="154" t="s">
        <v>251</v>
      </c>
      <c r="H1586" s="155"/>
      <c r="I1586" s="154" t="s">
        <v>136</v>
      </c>
      <c r="J1586" s="157">
        <v>45772.62222222222</v>
      </c>
      <c r="K1586" s="154" t="s">
        <v>139</v>
      </c>
      <c r="L1586" s="17" t="s">
        <v>74</v>
      </c>
    </row>
    <row r="1587">
      <c r="A1587" s="153">
        <v>7.0</v>
      </c>
      <c r="B1587" s="154" t="s">
        <v>6</v>
      </c>
      <c r="C1587" s="154" t="s">
        <v>2953</v>
      </c>
      <c r="D1587" s="154" t="s">
        <v>177</v>
      </c>
      <c r="E1587" s="154" t="s">
        <v>135</v>
      </c>
      <c r="F1587" s="154" t="s">
        <v>136</v>
      </c>
      <c r="G1587" s="154" t="s">
        <v>221</v>
      </c>
      <c r="H1587" s="155"/>
      <c r="I1587" s="154" t="s">
        <v>136</v>
      </c>
      <c r="J1587" s="157">
        <v>45757.78402777778</v>
      </c>
      <c r="K1587" s="154" t="s">
        <v>139</v>
      </c>
      <c r="L1587" s="17" t="s">
        <v>74</v>
      </c>
    </row>
    <row r="1588">
      <c r="A1588" s="153">
        <v>8.0</v>
      </c>
      <c r="B1588" s="154" t="s">
        <v>6</v>
      </c>
      <c r="C1588" s="154" t="s">
        <v>1837</v>
      </c>
      <c r="D1588" s="154" t="s">
        <v>164</v>
      </c>
      <c r="E1588" s="154" t="s">
        <v>135</v>
      </c>
      <c r="F1588" s="154" t="s">
        <v>136</v>
      </c>
      <c r="G1588" s="154" t="s">
        <v>2954</v>
      </c>
      <c r="H1588" s="155"/>
      <c r="I1588" s="154" t="s">
        <v>136</v>
      </c>
      <c r="J1588" s="157">
        <v>45764.3625</v>
      </c>
      <c r="K1588" s="154" t="s">
        <v>139</v>
      </c>
      <c r="L1588" s="17" t="s">
        <v>74</v>
      </c>
    </row>
    <row r="1589">
      <c r="A1589" s="153">
        <v>17.0</v>
      </c>
      <c r="B1589" s="154" t="s">
        <v>6</v>
      </c>
      <c r="C1589" s="154" t="s">
        <v>2955</v>
      </c>
      <c r="D1589" s="154" t="s">
        <v>403</v>
      </c>
      <c r="E1589" s="154" t="s">
        <v>135</v>
      </c>
      <c r="F1589" s="154" t="s">
        <v>136</v>
      </c>
      <c r="G1589" s="154" t="s">
        <v>221</v>
      </c>
      <c r="H1589" s="155"/>
      <c r="I1589" s="154" t="s">
        <v>135</v>
      </c>
      <c r="J1589" s="157">
        <v>45772.80347222222</v>
      </c>
      <c r="K1589" s="154" t="s">
        <v>139</v>
      </c>
      <c r="L1589" s="17" t="s">
        <v>74</v>
      </c>
    </row>
    <row r="1590">
      <c r="A1590" s="153">
        <v>6.0</v>
      </c>
      <c r="B1590" s="154" t="s">
        <v>7</v>
      </c>
      <c r="C1590" s="154" t="s">
        <v>1087</v>
      </c>
      <c r="D1590" s="154" t="s">
        <v>202</v>
      </c>
      <c r="E1590" s="154" t="s">
        <v>136</v>
      </c>
      <c r="F1590" s="154" t="s">
        <v>136</v>
      </c>
      <c r="G1590" s="154" t="s">
        <v>180</v>
      </c>
      <c r="H1590" s="155"/>
      <c r="I1590" s="154" t="s">
        <v>136</v>
      </c>
      <c r="J1590" s="157">
        <v>45750.40138888889</v>
      </c>
      <c r="K1590" s="154" t="s">
        <v>139</v>
      </c>
      <c r="L1590" s="17" t="s">
        <v>74</v>
      </c>
    </row>
    <row r="1591">
      <c r="A1591" s="153">
        <v>12.0</v>
      </c>
      <c r="B1591" s="154" t="s">
        <v>6</v>
      </c>
      <c r="C1591" s="154" t="s">
        <v>2956</v>
      </c>
      <c r="D1591" s="154" t="s">
        <v>403</v>
      </c>
      <c r="E1591" s="154" t="s">
        <v>136</v>
      </c>
      <c r="F1591" s="154" t="s">
        <v>136</v>
      </c>
      <c r="G1591" s="154" t="s">
        <v>137</v>
      </c>
      <c r="H1591" s="155"/>
      <c r="I1591" s="154" t="s">
        <v>135</v>
      </c>
      <c r="J1591" s="157">
        <v>45772.535416666666</v>
      </c>
      <c r="K1591" s="154" t="s">
        <v>139</v>
      </c>
      <c r="L1591" s="17" t="s">
        <v>74</v>
      </c>
    </row>
    <row r="1592">
      <c r="A1592" s="153">
        <v>16.0</v>
      </c>
      <c r="B1592" s="154" t="s">
        <v>6</v>
      </c>
      <c r="C1592" s="154" t="s">
        <v>2957</v>
      </c>
      <c r="D1592" s="154" t="s">
        <v>182</v>
      </c>
      <c r="E1592" s="154" t="s">
        <v>135</v>
      </c>
      <c r="F1592" s="154" t="s">
        <v>136</v>
      </c>
      <c r="G1592" s="154" t="s">
        <v>256</v>
      </c>
      <c r="H1592" s="154" t="s">
        <v>2958</v>
      </c>
      <c r="I1592" s="154" t="s">
        <v>136</v>
      </c>
      <c r="J1592" s="157">
        <v>45772.75625</v>
      </c>
      <c r="K1592" s="154" t="s">
        <v>139</v>
      </c>
      <c r="L1592" s="17" t="s">
        <v>74</v>
      </c>
    </row>
    <row r="1593">
      <c r="A1593" s="153">
        <v>5.0</v>
      </c>
      <c r="B1593" s="154" t="s">
        <v>7</v>
      </c>
      <c r="C1593" s="154" t="s">
        <v>2959</v>
      </c>
      <c r="D1593" s="154" t="s">
        <v>193</v>
      </c>
      <c r="E1593" s="154" t="s">
        <v>135</v>
      </c>
      <c r="F1593" s="154" t="s">
        <v>136</v>
      </c>
      <c r="G1593" s="154" t="s">
        <v>401</v>
      </c>
      <c r="H1593" s="155"/>
      <c r="I1593" s="154" t="s">
        <v>136</v>
      </c>
      <c r="J1593" s="154" t="s">
        <v>2960</v>
      </c>
      <c r="K1593" s="154" t="s">
        <v>139</v>
      </c>
      <c r="L1593" s="17" t="s">
        <v>74</v>
      </c>
    </row>
    <row r="1594">
      <c r="A1594" s="153">
        <v>21.0</v>
      </c>
      <c r="B1594" s="154" t="s">
        <v>7</v>
      </c>
      <c r="C1594" s="154" t="s">
        <v>2961</v>
      </c>
      <c r="D1594" s="154" t="s">
        <v>228</v>
      </c>
      <c r="E1594" s="154" t="s">
        <v>135</v>
      </c>
      <c r="F1594" s="154" t="s">
        <v>136</v>
      </c>
      <c r="G1594" s="154" t="s">
        <v>221</v>
      </c>
      <c r="H1594" s="155"/>
      <c r="I1594" s="154" t="s">
        <v>135</v>
      </c>
      <c r="J1594" s="157">
        <v>45776.64236111111</v>
      </c>
      <c r="K1594" s="154" t="s">
        <v>139</v>
      </c>
      <c r="L1594" s="17" t="s">
        <v>74</v>
      </c>
    </row>
    <row r="1595">
      <c r="A1595" s="153">
        <v>4.0</v>
      </c>
      <c r="B1595" s="154" t="s">
        <v>7</v>
      </c>
      <c r="C1595" s="154" t="s">
        <v>2962</v>
      </c>
      <c r="D1595" s="154" t="s">
        <v>228</v>
      </c>
      <c r="E1595" s="154" t="s">
        <v>135</v>
      </c>
      <c r="F1595" s="154" t="s">
        <v>136</v>
      </c>
      <c r="G1595" s="154" t="s">
        <v>457</v>
      </c>
      <c r="H1595" s="154" t="s">
        <v>2963</v>
      </c>
      <c r="I1595" s="154" t="s">
        <v>136</v>
      </c>
      <c r="J1595" s="154" t="s">
        <v>2964</v>
      </c>
      <c r="K1595" s="154" t="s">
        <v>139</v>
      </c>
      <c r="L1595" s="17" t="s">
        <v>74</v>
      </c>
    </row>
    <row r="1596">
      <c r="A1596" s="153">
        <v>9.0</v>
      </c>
      <c r="B1596" s="154" t="s">
        <v>6</v>
      </c>
      <c r="C1596" s="154" t="s">
        <v>2965</v>
      </c>
      <c r="D1596" s="154" t="s">
        <v>352</v>
      </c>
      <c r="E1596" s="154" t="s">
        <v>135</v>
      </c>
      <c r="F1596" s="154" t="s">
        <v>136</v>
      </c>
      <c r="G1596" s="154" t="s">
        <v>460</v>
      </c>
      <c r="H1596" s="154" t="s">
        <v>2966</v>
      </c>
      <c r="I1596" s="154" t="s">
        <v>136</v>
      </c>
      <c r="J1596" s="157">
        <v>45764.433333333334</v>
      </c>
      <c r="K1596" s="154" t="s">
        <v>139</v>
      </c>
      <c r="L1596" s="17" t="s">
        <v>74</v>
      </c>
    </row>
    <row r="1597">
      <c r="A1597" s="153">
        <v>10.0</v>
      </c>
      <c r="B1597" s="154" t="s">
        <v>7</v>
      </c>
      <c r="C1597" s="154" t="s">
        <v>334</v>
      </c>
      <c r="D1597" s="154" t="s">
        <v>228</v>
      </c>
      <c r="E1597" s="154" t="s">
        <v>136</v>
      </c>
      <c r="F1597" s="154" t="s">
        <v>136</v>
      </c>
      <c r="G1597" s="154" t="s">
        <v>2967</v>
      </c>
      <c r="H1597" s="155"/>
      <c r="I1597" s="154" t="s">
        <v>135</v>
      </c>
      <c r="J1597" s="157">
        <v>45772.44236111111</v>
      </c>
      <c r="K1597" s="154" t="s">
        <v>139</v>
      </c>
      <c r="L1597" s="17" t="s">
        <v>74</v>
      </c>
    </row>
    <row r="1598">
      <c r="A1598" s="153">
        <v>1.0</v>
      </c>
      <c r="B1598" s="154" t="s">
        <v>6</v>
      </c>
      <c r="C1598" s="154" t="s">
        <v>2968</v>
      </c>
      <c r="D1598" s="154" t="s">
        <v>228</v>
      </c>
      <c r="E1598" s="154" t="s">
        <v>136</v>
      </c>
      <c r="F1598" s="154" t="s">
        <v>136</v>
      </c>
      <c r="G1598" s="154" t="s">
        <v>2969</v>
      </c>
      <c r="H1598" s="155"/>
      <c r="I1598" s="154" t="s">
        <v>136</v>
      </c>
      <c r="J1598" s="154" t="s">
        <v>2970</v>
      </c>
      <c r="K1598" s="154" t="s">
        <v>139</v>
      </c>
      <c r="L1598" s="17" t="s">
        <v>74</v>
      </c>
    </row>
    <row r="1599">
      <c r="A1599" s="153">
        <v>18.0</v>
      </c>
      <c r="B1599" s="154" t="s">
        <v>6</v>
      </c>
      <c r="C1599" s="154" t="s">
        <v>2971</v>
      </c>
      <c r="D1599" s="154" t="s">
        <v>182</v>
      </c>
      <c r="E1599" s="154" t="s">
        <v>135</v>
      </c>
      <c r="F1599" s="154" t="s">
        <v>135</v>
      </c>
      <c r="G1599" s="154" t="s">
        <v>2972</v>
      </c>
      <c r="H1599" s="155"/>
      <c r="I1599" s="154" t="s">
        <v>136</v>
      </c>
      <c r="J1599" s="157">
        <v>45772.82708333333</v>
      </c>
      <c r="K1599" s="154" t="s">
        <v>139</v>
      </c>
      <c r="L1599" s="17" t="s">
        <v>74</v>
      </c>
    </row>
    <row r="1600">
      <c r="A1600" s="153">
        <v>13.0</v>
      </c>
      <c r="B1600" s="154" t="s">
        <v>6</v>
      </c>
      <c r="C1600" s="154" t="s">
        <v>2973</v>
      </c>
      <c r="D1600" s="154" t="s">
        <v>403</v>
      </c>
      <c r="E1600" s="154" t="s">
        <v>136</v>
      </c>
      <c r="F1600" s="154" t="s">
        <v>136</v>
      </c>
      <c r="G1600" s="154" t="s">
        <v>2974</v>
      </c>
      <c r="H1600" s="154" t="s">
        <v>2975</v>
      </c>
      <c r="I1600" s="154" t="s">
        <v>136</v>
      </c>
      <c r="J1600" s="157">
        <v>45772.54861111111</v>
      </c>
      <c r="K1600" s="154" t="s">
        <v>139</v>
      </c>
      <c r="L1600" s="17" t="s">
        <v>74</v>
      </c>
    </row>
    <row r="1601">
      <c r="A1601" s="153">
        <v>19.0</v>
      </c>
      <c r="B1601" s="154" t="s">
        <v>6</v>
      </c>
      <c r="C1601" s="154" t="s">
        <v>2976</v>
      </c>
      <c r="D1601" s="154" t="s">
        <v>264</v>
      </c>
      <c r="E1601" s="154" t="s">
        <v>135</v>
      </c>
      <c r="F1601" s="154" t="s">
        <v>135</v>
      </c>
      <c r="G1601" s="154" t="s">
        <v>1291</v>
      </c>
      <c r="H1601" s="155"/>
      <c r="I1601" s="154" t="s">
        <v>136</v>
      </c>
      <c r="J1601" s="157">
        <v>45776.21319444444</v>
      </c>
      <c r="K1601" s="154" t="s">
        <v>139</v>
      </c>
      <c r="L1601" s="17" t="s">
        <v>74</v>
      </c>
    </row>
    <row r="1602">
      <c r="A1602" s="153">
        <v>20.0</v>
      </c>
      <c r="B1602" s="154" t="s">
        <v>6</v>
      </c>
      <c r="C1602" s="154" t="s">
        <v>2977</v>
      </c>
      <c r="D1602" s="154" t="s">
        <v>264</v>
      </c>
      <c r="E1602" s="154" t="s">
        <v>135</v>
      </c>
      <c r="F1602" s="154" t="s">
        <v>136</v>
      </c>
      <c r="G1602" s="154" t="s">
        <v>650</v>
      </c>
      <c r="H1602" s="155"/>
      <c r="I1602" s="154" t="s">
        <v>136</v>
      </c>
      <c r="J1602" s="157">
        <v>45776.225694444445</v>
      </c>
      <c r="K1602" s="154" t="s">
        <v>139</v>
      </c>
      <c r="L1602" s="17" t="s">
        <v>74</v>
      </c>
    </row>
    <row r="1603">
      <c r="A1603" s="153">
        <v>24.0</v>
      </c>
      <c r="B1603" s="154" t="s">
        <v>7</v>
      </c>
      <c r="C1603" s="154" t="s">
        <v>2978</v>
      </c>
      <c r="D1603" s="154" t="s">
        <v>202</v>
      </c>
      <c r="E1603" s="154" t="s">
        <v>136</v>
      </c>
      <c r="F1603" s="154" t="s">
        <v>136</v>
      </c>
      <c r="G1603" s="154" t="s">
        <v>137</v>
      </c>
      <c r="H1603" s="155"/>
      <c r="I1603" s="154" t="s">
        <v>135</v>
      </c>
      <c r="J1603" s="154" t="s">
        <v>2979</v>
      </c>
      <c r="K1603" s="154" t="s">
        <v>139</v>
      </c>
      <c r="L1603" s="17" t="s">
        <v>74</v>
      </c>
    </row>
    <row r="1604">
      <c r="A1604" s="153">
        <v>22.0</v>
      </c>
      <c r="B1604" s="154" t="s">
        <v>6</v>
      </c>
      <c r="C1604" s="154" t="s">
        <v>2980</v>
      </c>
      <c r="D1604" s="154" t="s">
        <v>318</v>
      </c>
      <c r="E1604" s="154" t="s">
        <v>135</v>
      </c>
      <c r="F1604" s="154" t="s">
        <v>135</v>
      </c>
      <c r="G1604" s="154" t="s">
        <v>157</v>
      </c>
      <c r="H1604" s="155"/>
      <c r="I1604" s="154" t="s">
        <v>136</v>
      </c>
      <c r="J1604" s="154" t="s">
        <v>2981</v>
      </c>
      <c r="K1604" s="154" t="s">
        <v>139</v>
      </c>
      <c r="L1604" s="17" t="s">
        <v>74</v>
      </c>
    </row>
    <row r="1605">
      <c r="A1605" s="153">
        <v>23.0</v>
      </c>
      <c r="B1605" s="154" t="s">
        <v>6</v>
      </c>
      <c r="C1605" s="154" t="s">
        <v>2982</v>
      </c>
      <c r="D1605" s="154" t="s">
        <v>143</v>
      </c>
      <c r="E1605" s="154" t="s">
        <v>135</v>
      </c>
      <c r="F1605" s="154" t="s">
        <v>136</v>
      </c>
      <c r="G1605" s="154" t="s">
        <v>1829</v>
      </c>
      <c r="H1605" s="155"/>
      <c r="I1605" s="154" t="s">
        <v>136</v>
      </c>
      <c r="J1605" s="154" t="s">
        <v>2983</v>
      </c>
      <c r="K1605" s="154" t="s">
        <v>139</v>
      </c>
      <c r="L1605" s="17" t="s">
        <v>74</v>
      </c>
    </row>
    <row r="1606">
      <c r="A1606" s="153">
        <v>3.0</v>
      </c>
      <c r="B1606" s="154" t="s">
        <v>6</v>
      </c>
      <c r="C1606" s="154" t="s">
        <v>2984</v>
      </c>
      <c r="D1606" s="154" t="s">
        <v>228</v>
      </c>
      <c r="E1606" s="154" t="s">
        <v>135</v>
      </c>
      <c r="F1606" s="154" t="s">
        <v>135</v>
      </c>
      <c r="G1606" s="154" t="s">
        <v>157</v>
      </c>
      <c r="H1606" s="155"/>
      <c r="I1606" s="154" t="s">
        <v>135</v>
      </c>
      <c r="J1606" s="154" t="s">
        <v>2985</v>
      </c>
      <c r="K1606" s="154" t="s">
        <v>139</v>
      </c>
      <c r="L1606" s="17" t="s">
        <v>74</v>
      </c>
    </row>
    <row r="1607">
      <c r="A1607" s="153">
        <v>11.0</v>
      </c>
      <c r="B1607" s="154" t="s">
        <v>6</v>
      </c>
      <c r="C1607" s="154" t="s">
        <v>2986</v>
      </c>
      <c r="D1607" s="154" t="s">
        <v>268</v>
      </c>
      <c r="E1607" s="154" t="s">
        <v>135</v>
      </c>
      <c r="F1607" s="154" t="s">
        <v>136</v>
      </c>
      <c r="G1607" s="154" t="s">
        <v>137</v>
      </c>
      <c r="H1607" s="154" t="s">
        <v>1623</v>
      </c>
      <c r="I1607" s="154" t="s">
        <v>136</v>
      </c>
      <c r="J1607" s="157">
        <v>45772.498611111114</v>
      </c>
      <c r="K1607" s="154" t="s">
        <v>139</v>
      </c>
      <c r="L1607" s="17" t="s">
        <v>74</v>
      </c>
    </row>
    <row r="1608">
      <c r="A1608" s="153">
        <v>15.0</v>
      </c>
      <c r="B1608" s="154" t="s">
        <v>6</v>
      </c>
      <c r="C1608" s="154" t="s">
        <v>2987</v>
      </c>
      <c r="D1608" s="154" t="s">
        <v>182</v>
      </c>
      <c r="E1608" s="154" t="s">
        <v>135</v>
      </c>
      <c r="F1608" s="154" t="s">
        <v>136</v>
      </c>
      <c r="G1608" s="154" t="s">
        <v>185</v>
      </c>
      <c r="H1608" s="154" t="s">
        <v>2988</v>
      </c>
      <c r="I1608" s="154" t="s">
        <v>136</v>
      </c>
      <c r="J1608" s="157">
        <v>45772.67013888889</v>
      </c>
      <c r="K1608" s="154" t="s">
        <v>139</v>
      </c>
      <c r="L1608" s="17" t="s">
        <v>74</v>
      </c>
    </row>
    <row r="1609">
      <c r="A1609" s="153">
        <v>2.0</v>
      </c>
      <c r="B1609" s="154" t="s">
        <v>6</v>
      </c>
      <c r="C1609" s="154" t="s">
        <v>2989</v>
      </c>
      <c r="D1609" s="154" t="s">
        <v>228</v>
      </c>
      <c r="E1609" s="154" t="s">
        <v>135</v>
      </c>
      <c r="F1609" s="154" t="s">
        <v>136</v>
      </c>
      <c r="G1609" s="154" t="s">
        <v>2873</v>
      </c>
      <c r="H1609" s="155"/>
      <c r="I1609" s="154" t="s">
        <v>136</v>
      </c>
      <c r="J1609" s="154" t="s">
        <v>2990</v>
      </c>
      <c r="K1609" s="154" t="s">
        <v>139</v>
      </c>
      <c r="L1609" s="17" t="s">
        <v>74</v>
      </c>
    </row>
    <row r="1610">
      <c r="A1610" s="153">
        <v>26.0</v>
      </c>
      <c r="B1610" s="154" t="s">
        <v>6</v>
      </c>
      <c r="C1610" s="154" t="s">
        <v>2991</v>
      </c>
      <c r="D1610" s="154" t="s">
        <v>202</v>
      </c>
      <c r="E1610" s="154" t="s">
        <v>135</v>
      </c>
      <c r="F1610" s="154" t="s">
        <v>136</v>
      </c>
      <c r="G1610" s="154" t="s">
        <v>1320</v>
      </c>
      <c r="H1610" s="155"/>
      <c r="I1610" s="154" t="s">
        <v>136</v>
      </c>
      <c r="J1610" s="154" t="s">
        <v>2992</v>
      </c>
      <c r="K1610" s="154" t="s">
        <v>139</v>
      </c>
      <c r="L1610" s="17" t="s">
        <v>74</v>
      </c>
    </row>
    <row r="1611">
      <c r="A1611" s="153">
        <v>13.0</v>
      </c>
      <c r="B1611" s="154" t="s">
        <v>7</v>
      </c>
      <c r="C1611" s="154" t="s">
        <v>2993</v>
      </c>
      <c r="D1611" s="154" t="s">
        <v>164</v>
      </c>
      <c r="E1611" s="154" t="s">
        <v>135</v>
      </c>
      <c r="F1611" s="154" t="s">
        <v>136</v>
      </c>
      <c r="G1611" s="154" t="s">
        <v>185</v>
      </c>
      <c r="H1611" s="165" t="s">
        <v>2994</v>
      </c>
      <c r="I1611" s="154" t="s">
        <v>135</v>
      </c>
      <c r="J1611" s="154" t="s">
        <v>2995</v>
      </c>
      <c r="K1611" s="154" t="s">
        <v>185</v>
      </c>
      <c r="L1611" s="156" t="s">
        <v>66</v>
      </c>
    </row>
    <row r="1612">
      <c r="A1612" s="153">
        <v>19.0</v>
      </c>
      <c r="B1612" s="154" t="s">
        <v>7</v>
      </c>
      <c r="C1612" s="154" t="s">
        <v>2579</v>
      </c>
      <c r="D1612" s="154" t="s">
        <v>164</v>
      </c>
      <c r="E1612" s="154" t="s">
        <v>135</v>
      </c>
      <c r="F1612" s="154" t="s">
        <v>136</v>
      </c>
      <c r="G1612" s="154" t="s">
        <v>1197</v>
      </c>
      <c r="H1612" s="165" t="s">
        <v>2996</v>
      </c>
      <c r="I1612" s="154" t="s">
        <v>135</v>
      </c>
      <c r="J1612" s="154" t="s">
        <v>2997</v>
      </c>
      <c r="K1612" s="154" t="s">
        <v>2509</v>
      </c>
      <c r="L1612" s="156" t="s">
        <v>66</v>
      </c>
    </row>
    <row r="1613">
      <c r="A1613" s="153">
        <v>12.0</v>
      </c>
      <c r="B1613" s="154" t="s">
        <v>6</v>
      </c>
      <c r="C1613" s="154" t="s">
        <v>1134</v>
      </c>
      <c r="D1613" s="154" t="s">
        <v>233</v>
      </c>
      <c r="E1613" s="154" t="s">
        <v>136</v>
      </c>
      <c r="F1613" s="154" t="s">
        <v>136</v>
      </c>
      <c r="G1613" s="165" t="s">
        <v>174</v>
      </c>
      <c r="H1613" s="155"/>
      <c r="I1613" s="154" t="s">
        <v>135</v>
      </c>
      <c r="J1613" s="154" t="s">
        <v>2998</v>
      </c>
      <c r="K1613" s="154" t="s">
        <v>2507</v>
      </c>
      <c r="L1613" s="156" t="s">
        <v>66</v>
      </c>
    </row>
    <row r="1614">
      <c r="A1614" s="153">
        <v>16.0</v>
      </c>
      <c r="B1614" s="154" t="s">
        <v>6</v>
      </c>
      <c r="C1614" s="154" t="s">
        <v>2999</v>
      </c>
      <c r="D1614" s="154" t="s">
        <v>143</v>
      </c>
      <c r="E1614" s="154" t="s">
        <v>135</v>
      </c>
      <c r="F1614" s="154" t="s">
        <v>136</v>
      </c>
      <c r="G1614" s="165" t="s">
        <v>150</v>
      </c>
      <c r="H1614" s="155"/>
      <c r="I1614" s="154" t="s">
        <v>135</v>
      </c>
      <c r="J1614" s="154" t="s">
        <v>3000</v>
      </c>
      <c r="K1614" s="154" t="s">
        <v>2509</v>
      </c>
      <c r="L1614" s="156" t="s">
        <v>66</v>
      </c>
    </row>
    <row r="1615">
      <c r="A1615" s="153">
        <v>20.0</v>
      </c>
      <c r="B1615" s="154" t="s">
        <v>7</v>
      </c>
      <c r="C1615" s="154" t="s">
        <v>195</v>
      </c>
      <c r="D1615" s="154" t="s">
        <v>164</v>
      </c>
      <c r="E1615" s="154" t="s">
        <v>136</v>
      </c>
      <c r="F1615" s="154" t="s">
        <v>136</v>
      </c>
      <c r="G1615" s="154" t="s">
        <v>174</v>
      </c>
      <c r="H1615" s="154" t="s">
        <v>2787</v>
      </c>
      <c r="I1615" s="154" t="s">
        <v>135</v>
      </c>
      <c r="J1615" s="154" t="s">
        <v>3001</v>
      </c>
      <c r="K1615" s="154" t="s">
        <v>2502</v>
      </c>
      <c r="L1615" s="156" t="s">
        <v>66</v>
      </c>
    </row>
    <row r="1616">
      <c r="A1616" s="153">
        <v>17.0</v>
      </c>
      <c r="B1616" s="154" t="s">
        <v>7</v>
      </c>
      <c r="C1616" s="154" t="s">
        <v>200</v>
      </c>
      <c r="D1616" s="154" t="s">
        <v>143</v>
      </c>
      <c r="E1616" s="154" t="s">
        <v>136</v>
      </c>
      <c r="F1616" s="154" t="s">
        <v>136</v>
      </c>
      <c r="G1616" s="154" t="s">
        <v>3002</v>
      </c>
      <c r="H1616" s="155"/>
      <c r="I1616" s="154" t="s">
        <v>135</v>
      </c>
      <c r="J1616" s="154" t="s">
        <v>3003</v>
      </c>
      <c r="K1616" s="154" t="s">
        <v>2509</v>
      </c>
      <c r="L1616" s="156" t="s">
        <v>66</v>
      </c>
    </row>
    <row r="1617">
      <c r="A1617" s="153">
        <v>2.0</v>
      </c>
      <c r="B1617" s="154" t="s">
        <v>6</v>
      </c>
      <c r="C1617" s="154" t="s">
        <v>240</v>
      </c>
      <c r="D1617" s="154" t="s">
        <v>197</v>
      </c>
      <c r="E1617" s="154" t="s">
        <v>136</v>
      </c>
      <c r="F1617" s="154" t="s">
        <v>136</v>
      </c>
      <c r="G1617" s="154" t="s">
        <v>241</v>
      </c>
      <c r="H1617" s="155"/>
      <c r="I1617" s="154" t="s">
        <v>135</v>
      </c>
      <c r="J1617" s="157">
        <v>45755.48125</v>
      </c>
      <c r="K1617" s="154" t="s">
        <v>2502</v>
      </c>
      <c r="L1617" s="156" t="s">
        <v>66</v>
      </c>
    </row>
    <row r="1618">
      <c r="A1618" s="153">
        <v>5.0</v>
      </c>
      <c r="B1618" s="154" t="s">
        <v>7</v>
      </c>
      <c r="C1618" s="154" t="s">
        <v>2892</v>
      </c>
      <c r="D1618" s="154" t="s">
        <v>143</v>
      </c>
      <c r="E1618" s="154" t="s">
        <v>136</v>
      </c>
      <c r="F1618" s="154" t="s">
        <v>136</v>
      </c>
      <c r="G1618" s="154" t="s">
        <v>185</v>
      </c>
      <c r="H1618" s="155"/>
      <c r="I1618" s="154" t="s">
        <v>135</v>
      </c>
      <c r="J1618" s="157">
        <v>45755.629166666666</v>
      </c>
      <c r="K1618" s="154" t="s">
        <v>185</v>
      </c>
      <c r="L1618" s="156" t="s">
        <v>66</v>
      </c>
    </row>
    <row r="1619">
      <c r="A1619" s="153">
        <v>8.0</v>
      </c>
      <c r="B1619" s="154" t="s">
        <v>7</v>
      </c>
      <c r="C1619" s="154" t="s">
        <v>3004</v>
      </c>
      <c r="D1619" s="154" t="s">
        <v>263</v>
      </c>
      <c r="E1619" s="154" t="s">
        <v>136</v>
      </c>
      <c r="F1619" s="154" t="s">
        <v>136</v>
      </c>
      <c r="G1619" s="165" t="s">
        <v>320</v>
      </c>
      <c r="H1619" s="155"/>
      <c r="I1619" s="154" t="s">
        <v>135</v>
      </c>
      <c r="J1619" s="157">
        <v>45761.82916666667</v>
      </c>
      <c r="K1619" s="154" t="s">
        <v>2513</v>
      </c>
      <c r="L1619" s="156" t="s">
        <v>66</v>
      </c>
    </row>
    <row r="1620">
      <c r="A1620" s="153">
        <v>7.0</v>
      </c>
      <c r="B1620" s="154" t="s">
        <v>7</v>
      </c>
      <c r="C1620" s="154" t="s">
        <v>3005</v>
      </c>
      <c r="D1620" s="154" t="s">
        <v>202</v>
      </c>
      <c r="E1620" s="154" t="s">
        <v>136</v>
      </c>
      <c r="F1620" s="154" t="s">
        <v>136</v>
      </c>
      <c r="G1620" s="154" t="s">
        <v>3006</v>
      </c>
      <c r="H1620" s="154" t="s">
        <v>3007</v>
      </c>
      <c r="I1620" s="154" t="s">
        <v>135</v>
      </c>
      <c r="J1620" s="157">
        <v>45761.40277777778</v>
      </c>
      <c r="K1620" s="154" t="s">
        <v>185</v>
      </c>
      <c r="L1620" s="156" t="s">
        <v>66</v>
      </c>
    </row>
    <row r="1621">
      <c r="A1621" s="153">
        <v>18.0</v>
      </c>
      <c r="B1621" s="154" t="s">
        <v>6</v>
      </c>
      <c r="C1621" s="154" t="s">
        <v>142</v>
      </c>
      <c r="D1621" s="154" t="s">
        <v>143</v>
      </c>
      <c r="E1621" s="154" t="s">
        <v>136</v>
      </c>
      <c r="F1621" s="154" t="s">
        <v>136</v>
      </c>
      <c r="G1621" s="154" t="s">
        <v>3008</v>
      </c>
      <c r="H1621" s="155"/>
      <c r="I1621" s="154" t="s">
        <v>135</v>
      </c>
      <c r="J1621" s="154" t="s">
        <v>3009</v>
      </c>
      <c r="K1621" s="154" t="s">
        <v>2509</v>
      </c>
      <c r="L1621" s="156" t="s">
        <v>66</v>
      </c>
    </row>
    <row r="1622">
      <c r="A1622" s="153">
        <v>4.0</v>
      </c>
      <c r="B1622" s="154" t="s">
        <v>8</v>
      </c>
      <c r="C1622" s="154" t="s">
        <v>167</v>
      </c>
      <c r="D1622" s="154" t="s">
        <v>143</v>
      </c>
      <c r="E1622" s="154" t="s">
        <v>136</v>
      </c>
      <c r="F1622" s="154" t="s">
        <v>136</v>
      </c>
      <c r="G1622" s="154" t="s">
        <v>385</v>
      </c>
      <c r="H1622" s="155"/>
      <c r="I1622" s="154" t="s">
        <v>135</v>
      </c>
      <c r="J1622" s="157">
        <v>45755.527083333334</v>
      </c>
      <c r="K1622" s="154" t="s">
        <v>2509</v>
      </c>
      <c r="L1622" s="156" t="s">
        <v>66</v>
      </c>
    </row>
    <row r="1623">
      <c r="A1623" s="153">
        <v>1.0</v>
      </c>
      <c r="B1623" s="154" t="s">
        <v>6</v>
      </c>
      <c r="C1623" s="154" t="s">
        <v>1116</v>
      </c>
      <c r="D1623" s="154" t="s">
        <v>197</v>
      </c>
      <c r="E1623" s="154" t="s">
        <v>136</v>
      </c>
      <c r="F1623" s="154" t="s">
        <v>136</v>
      </c>
      <c r="G1623" s="154" t="s">
        <v>3010</v>
      </c>
      <c r="H1623" s="154" t="s">
        <v>1180</v>
      </c>
      <c r="I1623" s="154" t="s">
        <v>136</v>
      </c>
      <c r="J1623" s="157">
        <v>45755.47777777778</v>
      </c>
      <c r="K1623" s="154" t="s">
        <v>2509</v>
      </c>
      <c r="L1623" s="156" t="s">
        <v>66</v>
      </c>
    </row>
    <row r="1624">
      <c r="A1624" s="153">
        <v>9.0</v>
      </c>
      <c r="B1624" s="154" t="s">
        <v>6</v>
      </c>
      <c r="C1624" s="154" t="s">
        <v>2986</v>
      </c>
      <c r="D1624" s="154" t="s">
        <v>268</v>
      </c>
      <c r="E1624" s="154" t="s">
        <v>135</v>
      </c>
      <c r="F1624" s="154" t="s">
        <v>136</v>
      </c>
      <c r="G1624" s="154" t="s">
        <v>297</v>
      </c>
      <c r="H1624" s="155"/>
      <c r="I1624" s="154" t="s">
        <v>136</v>
      </c>
      <c r="J1624" s="157">
        <v>45772.50555555556</v>
      </c>
      <c r="K1624" s="154" t="s">
        <v>2502</v>
      </c>
      <c r="L1624" s="156" t="s">
        <v>66</v>
      </c>
    </row>
    <row r="1625">
      <c r="A1625" s="153">
        <v>6.0</v>
      </c>
      <c r="B1625" s="154" t="s">
        <v>7</v>
      </c>
      <c r="C1625" s="154" t="s">
        <v>3011</v>
      </c>
      <c r="D1625" s="154" t="s">
        <v>233</v>
      </c>
      <c r="E1625" s="154" t="s">
        <v>136</v>
      </c>
      <c r="F1625" s="154" t="s">
        <v>136</v>
      </c>
      <c r="G1625" s="154" t="s">
        <v>1250</v>
      </c>
      <c r="H1625" s="165" t="s">
        <v>953</v>
      </c>
      <c r="I1625" s="154" t="s">
        <v>135</v>
      </c>
      <c r="J1625" s="157">
        <v>45757.48402777778</v>
      </c>
      <c r="K1625" s="154" t="s">
        <v>2507</v>
      </c>
      <c r="L1625" s="156" t="s">
        <v>66</v>
      </c>
    </row>
    <row r="1626">
      <c r="A1626" s="153">
        <v>11.0</v>
      </c>
      <c r="B1626" s="154" t="s">
        <v>7</v>
      </c>
      <c r="C1626" s="154" t="s">
        <v>3012</v>
      </c>
      <c r="D1626" s="154" t="s">
        <v>153</v>
      </c>
      <c r="E1626" s="154" t="s">
        <v>135</v>
      </c>
      <c r="F1626" s="154" t="s">
        <v>136</v>
      </c>
      <c r="G1626" s="154" t="s">
        <v>137</v>
      </c>
      <c r="H1626" s="155"/>
      <c r="I1626" s="154" t="s">
        <v>136</v>
      </c>
      <c r="J1626" s="154" t="s">
        <v>3013</v>
      </c>
      <c r="K1626" s="154" t="s">
        <v>2502</v>
      </c>
      <c r="L1626" s="156" t="s">
        <v>66</v>
      </c>
    </row>
    <row r="1627">
      <c r="A1627" s="153">
        <v>14.0</v>
      </c>
      <c r="B1627" s="154" t="s">
        <v>6</v>
      </c>
      <c r="C1627" s="154" t="s">
        <v>1282</v>
      </c>
      <c r="D1627" s="154" t="s">
        <v>134</v>
      </c>
      <c r="E1627" s="154" t="s">
        <v>136</v>
      </c>
      <c r="F1627" s="154" t="s">
        <v>136</v>
      </c>
      <c r="G1627" s="154" t="s">
        <v>3014</v>
      </c>
      <c r="H1627" s="155"/>
      <c r="I1627" s="154" t="s">
        <v>135</v>
      </c>
      <c r="J1627" s="154" t="s">
        <v>3015</v>
      </c>
      <c r="K1627" s="154" t="s">
        <v>2509</v>
      </c>
      <c r="L1627" s="156" t="s">
        <v>66</v>
      </c>
    </row>
    <row r="1628">
      <c r="A1628" s="153">
        <v>3.0</v>
      </c>
      <c r="B1628" s="154" t="s">
        <v>6</v>
      </c>
      <c r="C1628" s="154" t="s">
        <v>2912</v>
      </c>
      <c r="D1628" s="154" t="s">
        <v>134</v>
      </c>
      <c r="E1628" s="154" t="s">
        <v>136</v>
      </c>
      <c r="F1628" s="154" t="s">
        <v>136</v>
      </c>
      <c r="G1628" s="154" t="s">
        <v>401</v>
      </c>
      <c r="H1628" s="165" t="s">
        <v>3016</v>
      </c>
      <c r="I1628" s="154" t="s">
        <v>135</v>
      </c>
      <c r="J1628" s="157">
        <v>45755.481944444444</v>
      </c>
      <c r="K1628" s="154" t="s">
        <v>2509</v>
      </c>
      <c r="L1628" s="156" t="s">
        <v>66</v>
      </c>
    </row>
    <row r="1629">
      <c r="A1629" s="153">
        <v>10.0</v>
      </c>
      <c r="B1629" s="154" t="s">
        <v>7</v>
      </c>
      <c r="C1629" s="154" t="s">
        <v>315</v>
      </c>
      <c r="D1629" s="154" t="s">
        <v>164</v>
      </c>
      <c r="E1629" s="154" t="s">
        <v>135</v>
      </c>
      <c r="F1629" s="154" t="s">
        <v>135</v>
      </c>
      <c r="G1629" s="154" t="s">
        <v>3017</v>
      </c>
      <c r="H1629" s="155"/>
      <c r="I1629" s="154" t="s">
        <v>136</v>
      </c>
      <c r="J1629" s="157">
        <v>45777.48541666667</v>
      </c>
      <c r="K1629" s="154" t="s">
        <v>2513</v>
      </c>
      <c r="L1629" s="156" t="s">
        <v>66</v>
      </c>
    </row>
    <row r="1630">
      <c r="A1630" s="153">
        <v>15.0</v>
      </c>
      <c r="B1630" s="154" t="s">
        <v>6</v>
      </c>
      <c r="C1630" s="154" t="s">
        <v>2991</v>
      </c>
      <c r="D1630" s="154" t="s">
        <v>202</v>
      </c>
      <c r="E1630" s="154" t="s">
        <v>135</v>
      </c>
      <c r="F1630" s="154" t="s">
        <v>136</v>
      </c>
      <c r="G1630" s="154" t="s">
        <v>3018</v>
      </c>
      <c r="H1630" s="155"/>
      <c r="I1630" s="154" t="s">
        <v>136</v>
      </c>
      <c r="J1630" s="154" t="s">
        <v>3019</v>
      </c>
      <c r="K1630" s="154" t="s">
        <v>2502</v>
      </c>
      <c r="L1630" s="156" t="s">
        <v>66</v>
      </c>
    </row>
    <row r="1631">
      <c r="A1631" s="175">
        <v>236.0</v>
      </c>
      <c r="B1631" s="176" t="s">
        <v>6</v>
      </c>
      <c r="C1631" s="176" t="s">
        <v>564</v>
      </c>
      <c r="D1631" s="176" t="s">
        <v>268</v>
      </c>
      <c r="E1631" s="176" t="s">
        <v>135</v>
      </c>
      <c r="F1631" s="176" t="s">
        <v>136</v>
      </c>
      <c r="G1631" s="176" t="s">
        <v>137</v>
      </c>
      <c r="H1631" s="176" t="s">
        <v>3020</v>
      </c>
      <c r="L1631" s="17" t="s">
        <v>254</v>
      </c>
    </row>
    <row r="1632">
      <c r="A1632" s="175">
        <v>45.0</v>
      </c>
      <c r="B1632" s="176" t="s">
        <v>7</v>
      </c>
      <c r="C1632" s="176" t="s">
        <v>564</v>
      </c>
      <c r="D1632" s="176" t="s">
        <v>268</v>
      </c>
      <c r="E1632" s="176" t="s">
        <v>135</v>
      </c>
      <c r="F1632" s="176" t="s">
        <v>136</v>
      </c>
      <c r="G1632" s="176" t="s">
        <v>3021</v>
      </c>
      <c r="H1632" s="176" t="s">
        <v>3022</v>
      </c>
      <c r="L1632" s="17" t="s">
        <v>254</v>
      </c>
    </row>
    <row r="1633">
      <c r="A1633" s="175">
        <v>76.0</v>
      </c>
      <c r="B1633" s="176" t="s">
        <v>7</v>
      </c>
      <c r="C1633" s="176" t="s">
        <v>3023</v>
      </c>
      <c r="D1633" s="176" t="s">
        <v>268</v>
      </c>
      <c r="E1633" s="176" t="s">
        <v>136</v>
      </c>
      <c r="F1633" s="176" t="s">
        <v>136</v>
      </c>
      <c r="G1633" s="176" t="s">
        <v>137</v>
      </c>
      <c r="H1633" s="176" t="s">
        <v>3024</v>
      </c>
      <c r="L1633" s="17" t="s">
        <v>254</v>
      </c>
    </row>
    <row r="1634">
      <c r="A1634" s="175">
        <v>103.0</v>
      </c>
      <c r="B1634" s="177" t="s">
        <v>6</v>
      </c>
      <c r="C1634" s="177" t="s">
        <v>1819</v>
      </c>
      <c r="D1634" s="177" t="s">
        <v>268</v>
      </c>
      <c r="E1634" s="177" t="s">
        <v>135</v>
      </c>
      <c r="F1634" s="177" t="s">
        <v>136</v>
      </c>
      <c r="G1634" s="177" t="s">
        <v>3025</v>
      </c>
      <c r="H1634" s="177" t="s">
        <v>3026</v>
      </c>
      <c r="L1634" s="17" t="s">
        <v>254</v>
      </c>
    </row>
    <row r="1635">
      <c r="A1635" s="175">
        <v>148.0</v>
      </c>
      <c r="B1635" s="177" t="s">
        <v>6</v>
      </c>
      <c r="C1635" s="177" t="s">
        <v>564</v>
      </c>
      <c r="D1635" s="177" t="s">
        <v>268</v>
      </c>
      <c r="E1635" s="177" t="s">
        <v>135</v>
      </c>
      <c r="F1635" s="177" t="s">
        <v>136</v>
      </c>
      <c r="G1635" s="177" t="s">
        <v>137</v>
      </c>
      <c r="H1635" s="177" t="s">
        <v>3024</v>
      </c>
      <c r="L1635" s="17" t="s">
        <v>254</v>
      </c>
    </row>
    <row r="1636">
      <c r="A1636" s="175">
        <v>232.0</v>
      </c>
      <c r="B1636" s="177" t="s">
        <v>6</v>
      </c>
      <c r="C1636" s="177" t="s">
        <v>2986</v>
      </c>
      <c r="D1636" s="177" t="s">
        <v>268</v>
      </c>
      <c r="E1636" s="177" t="s">
        <v>135</v>
      </c>
      <c r="F1636" s="177" t="s">
        <v>136</v>
      </c>
      <c r="G1636" s="177" t="s">
        <v>3027</v>
      </c>
      <c r="H1636" s="177" t="s">
        <v>3024</v>
      </c>
      <c r="L1636" s="17" t="s">
        <v>254</v>
      </c>
    </row>
    <row r="1637">
      <c r="A1637" s="175">
        <v>275.0</v>
      </c>
      <c r="B1637" s="176" t="s">
        <v>7</v>
      </c>
      <c r="C1637" s="176" t="s">
        <v>564</v>
      </c>
      <c r="D1637" s="176" t="s">
        <v>268</v>
      </c>
      <c r="E1637" s="176" t="s">
        <v>136</v>
      </c>
      <c r="F1637" s="176" t="s">
        <v>136</v>
      </c>
      <c r="G1637" s="176" t="s">
        <v>3028</v>
      </c>
      <c r="H1637" s="176" t="s">
        <v>3020</v>
      </c>
      <c r="L1637" s="17" t="s">
        <v>254</v>
      </c>
    </row>
    <row r="1638">
      <c r="A1638" s="175">
        <v>114.0</v>
      </c>
      <c r="B1638" s="176" t="s">
        <v>6</v>
      </c>
      <c r="C1638" s="176" t="s">
        <v>1057</v>
      </c>
      <c r="D1638" s="176" t="s">
        <v>331</v>
      </c>
      <c r="E1638" s="176" t="s">
        <v>136</v>
      </c>
      <c r="F1638" s="176" t="s">
        <v>136</v>
      </c>
      <c r="G1638" s="176" t="s">
        <v>137</v>
      </c>
      <c r="H1638" s="176" t="s">
        <v>3026</v>
      </c>
      <c r="L1638" s="17" t="s">
        <v>254</v>
      </c>
    </row>
    <row r="1639">
      <c r="A1639" s="175">
        <v>209.0</v>
      </c>
      <c r="B1639" s="176" t="s">
        <v>7</v>
      </c>
      <c r="C1639" s="176" t="s">
        <v>1057</v>
      </c>
      <c r="D1639" s="176" t="s">
        <v>331</v>
      </c>
      <c r="E1639" s="176" t="s">
        <v>135</v>
      </c>
      <c r="F1639" s="176" t="s">
        <v>136</v>
      </c>
      <c r="G1639" s="176" t="s">
        <v>3029</v>
      </c>
      <c r="H1639" s="176" t="s">
        <v>3024</v>
      </c>
      <c r="L1639" s="17" t="s">
        <v>254</v>
      </c>
    </row>
    <row r="1640">
      <c r="A1640" s="175">
        <v>267.0</v>
      </c>
      <c r="B1640" s="176" t="s">
        <v>7</v>
      </c>
      <c r="C1640" s="176" t="s">
        <v>1057</v>
      </c>
      <c r="D1640" s="176" t="s">
        <v>331</v>
      </c>
      <c r="E1640" s="176" t="s">
        <v>135</v>
      </c>
      <c r="F1640" s="176" t="s">
        <v>135</v>
      </c>
      <c r="G1640" s="176" t="s">
        <v>137</v>
      </c>
      <c r="H1640" s="176" t="s">
        <v>185</v>
      </c>
      <c r="L1640" s="17" t="s">
        <v>254</v>
      </c>
    </row>
    <row r="1641">
      <c r="A1641" s="175">
        <v>82.0</v>
      </c>
      <c r="B1641" s="176" t="s">
        <v>6</v>
      </c>
      <c r="C1641" s="176" t="s">
        <v>240</v>
      </c>
      <c r="D1641" s="176" t="s">
        <v>197</v>
      </c>
      <c r="E1641" s="176" t="s">
        <v>136</v>
      </c>
      <c r="F1641" s="176" t="s">
        <v>136</v>
      </c>
      <c r="G1641" s="176" t="s">
        <v>3030</v>
      </c>
      <c r="H1641" s="176" t="s">
        <v>3020</v>
      </c>
      <c r="L1641" s="17" t="s">
        <v>254</v>
      </c>
    </row>
    <row r="1642">
      <c r="A1642" s="175">
        <v>101.0</v>
      </c>
      <c r="B1642" s="176" t="s">
        <v>6</v>
      </c>
      <c r="C1642" s="176" t="s">
        <v>1116</v>
      </c>
      <c r="D1642" s="176" t="s">
        <v>197</v>
      </c>
      <c r="E1642" s="176" t="s">
        <v>136</v>
      </c>
      <c r="F1642" s="176" t="s">
        <v>136</v>
      </c>
      <c r="G1642" s="176" t="s">
        <v>3021</v>
      </c>
      <c r="H1642" s="176" t="s">
        <v>3026</v>
      </c>
      <c r="L1642" s="17" t="s">
        <v>254</v>
      </c>
    </row>
    <row r="1643">
      <c r="A1643" s="175">
        <v>285.0</v>
      </c>
      <c r="B1643" s="176" t="s">
        <v>6</v>
      </c>
      <c r="C1643" s="176" t="s">
        <v>1116</v>
      </c>
      <c r="D1643" s="176" t="s">
        <v>197</v>
      </c>
      <c r="E1643" s="176" t="s">
        <v>136</v>
      </c>
      <c r="F1643" s="176" t="s">
        <v>136</v>
      </c>
      <c r="G1643" s="176" t="s">
        <v>3031</v>
      </c>
      <c r="H1643" s="176" t="s">
        <v>3022</v>
      </c>
      <c r="L1643" s="17" t="s">
        <v>254</v>
      </c>
    </row>
    <row r="1644">
      <c r="A1644" s="175">
        <v>100.0</v>
      </c>
      <c r="B1644" s="176" t="s">
        <v>7</v>
      </c>
      <c r="C1644" s="176" t="s">
        <v>3032</v>
      </c>
      <c r="D1644" s="140" t="s">
        <v>275</v>
      </c>
      <c r="E1644" s="176" t="s">
        <v>135</v>
      </c>
      <c r="F1644" s="176" t="s">
        <v>136</v>
      </c>
      <c r="G1644" s="176" t="s">
        <v>137</v>
      </c>
      <c r="H1644" s="176" t="s">
        <v>185</v>
      </c>
      <c r="L1644" s="17" t="s">
        <v>254</v>
      </c>
    </row>
    <row r="1645">
      <c r="A1645" s="175">
        <v>118.0</v>
      </c>
      <c r="B1645" s="177" t="s">
        <v>7</v>
      </c>
      <c r="C1645" s="177" t="s">
        <v>3033</v>
      </c>
      <c r="D1645" s="140" t="s">
        <v>275</v>
      </c>
      <c r="E1645" s="177" t="s">
        <v>135</v>
      </c>
      <c r="F1645" s="177" t="s">
        <v>136</v>
      </c>
      <c r="G1645" s="177" t="s">
        <v>137</v>
      </c>
      <c r="H1645" s="177" t="s">
        <v>185</v>
      </c>
      <c r="L1645" s="17" t="s">
        <v>254</v>
      </c>
    </row>
    <row r="1646">
      <c r="A1646" s="175">
        <v>151.0</v>
      </c>
      <c r="B1646" s="177" t="s">
        <v>7</v>
      </c>
      <c r="C1646" s="177" t="s">
        <v>3034</v>
      </c>
      <c r="D1646" s="140" t="s">
        <v>275</v>
      </c>
      <c r="E1646" s="177" t="s">
        <v>136</v>
      </c>
      <c r="F1646" s="177" t="s">
        <v>136</v>
      </c>
      <c r="G1646" s="177" t="s">
        <v>137</v>
      </c>
      <c r="H1646" s="177" t="s">
        <v>185</v>
      </c>
      <c r="L1646" s="17" t="s">
        <v>254</v>
      </c>
    </row>
    <row r="1647">
      <c r="A1647" s="175">
        <v>72.0</v>
      </c>
      <c r="B1647" s="177" t="s">
        <v>7</v>
      </c>
      <c r="C1647" s="177" t="s">
        <v>409</v>
      </c>
      <c r="D1647" s="177" t="s">
        <v>238</v>
      </c>
      <c r="E1647" s="177" t="s">
        <v>136</v>
      </c>
      <c r="F1647" s="177" t="s">
        <v>136</v>
      </c>
      <c r="G1647" s="177" t="s">
        <v>137</v>
      </c>
      <c r="H1647" s="177" t="s">
        <v>3020</v>
      </c>
      <c r="L1647" s="17" t="s">
        <v>254</v>
      </c>
    </row>
    <row r="1648">
      <c r="A1648" s="175">
        <v>211.0</v>
      </c>
      <c r="B1648" s="176" t="s">
        <v>7</v>
      </c>
      <c r="C1648" s="176" t="s">
        <v>2704</v>
      </c>
      <c r="D1648" s="176" t="s">
        <v>238</v>
      </c>
      <c r="E1648" s="176" t="s">
        <v>136</v>
      </c>
      <c r="F1648" s="176" t="s">
        <v>136</v>
      </c>
      <c r="G1648" s="176" t="s">
        <v>3035</v>
      </c>
      <c r="H1648" s="176" t="s">
        <v>3022</v>
      </c>
      <c r="L1648" s="17" t="s">
        <v>254</v>
      </c>
    </row>
    <row r="1649">
      <c r="A1649" s="175">
        <v>197.0</v>
      </c>
      <c r="B1649" s="176" t="s">
        <v>6</v>
      </c>
      <c r="C1649" s="176" t="s">
        <v>3036</v>
      </c>
      <c r="D1649" s="176" t="s">
        <v>147</v>
      </c>
      <c r="E1649" s="176" t="s">
        <v>135</v>
      </c>
      <c r="F1649" s="176" t="s">
        <v>136</v>
      </c>
      <c r="G1649" s="176" t="s">
        <v>3037</v>
      </c>
      <c r="H1649" s="176" t="s">
        <v>3024</v>
      </c>
      <c r="L1649" s="17" t="s">
        <v>254</v>
      </c>
    </row>
    <row r="1650">
      <c r="A1650" s="175">
        <v>31.0</v>
      </c>
      <c r="B1650" s="177" t="s">
        <v>6</v>
      </c>
      <c r="C1650" s="177" t="s">
        <v>3038</v>
      </c>
      <c r="D1650" s="177" t="s">
        <v>223</v>
      </c>
      <c r="E1650" s="177" t="s">
        <v>135</v>
      </c>
      <c r="F1650" s="177" t="s">
        <v>135</v>
      </c>
      <c r="G1650" s="177" t="s">
        <v>3039</v>
      </c>
      <c r="H1650" s="177" t="s">
        <v>185</v>
      </c>
      <c r="L1650" s="17" t="s">
        <v>254</v>
      </c>
    </row>
    <row r="1651">
      <c r="A1651" s="175">
        <v>26.0</v>
      </c>
      <c r="B1651" s="177" t="s">
        <v>7</v>
      </c>
      <c r="C1651" s="177" t="s">
        <v>3040</v>
      </c>
      <c r="D1651" s="177" t="s">
        <v>223</v>
      </c>
      <c r="E1651" s="177" t="s">
        <v>135</v>
      </c>
      <c r="F1651" s="177" t="s">
        <v>136</v>
      </c>
      <c r="G1651" s="177" t="s">
        <v>137</v>
      </c>
      <c r="H1651" s="177" t="s">
        <v>185</v>
      </c>
      <c r="L1651" s="17" t="s">
        <v>254</v>
      </c>
    </row>
    <row r="1652">
      <c r="A1652" s="175">
        <v>56.0</v>
      </c>
      <c r="B1652" s="177" t="s">
        <v>6</v>
      </c>
      <c r="C1652" s="177" t="s">
        <v>3041</v>
      </c>
      <c r="D1652" s="177" t="s">
        <v>223</v>
      </c>
      <c r="E1652" s="177" t="s">
        <v>136</v>
      </c>
      <c r="F1652" s="177" t="s">
        <v>136</v>
      </c>
      <c r="G1652" s="177" t="s">
        <v>3042</v>
      </c>
      <c r="H1652" s="177" t="s">
        <v>185</v>
      </c>
      <c r="L1652" s="17" t="s">
        <v>254</v>
      </c>
    </row>
    <row r="1653">
      <c r="A1653" s="175">
        <v>87.0</v>
      </c>
      <c r="B1653" s="177" t="s">
        <v>6</v>
      </c>
      <c r="C1653" s="177" t="s">
        <v>1709</v>
      </c>
      <c r="D1653" s="177" t="s">
        <v>223</v>
      </c>
      <c r="E1653" s="177" t="s">
        <v>136</v>
      </c>
      <c r="F1653" s="177" t="s">
        <v>136</v>
      </c>
      <c r="G1653" s="177" t="s">
        <v>137</v>
      </c>
      <c r="H1653" s="177" t="s">
        <v>3043</v>
      </c>
      <c r="L1653" s="17" t="s">
        <v>254</v>
      </c>
    </row>
    <row r="1654">
      <c r="A1654" s="175">
        <v>120.0</v>
      </c>
      <c r="B1654" s="177" t="s">
        <v>7</v>
      </c>
      <c r="C1654" s="177" t="s">
        <v>3044</v>
      </c>
      <c r="D1654" s="177" t="s">
        <v>223</v>
      </c>
      <c r="E1654" s="177" t="s">
        <v>136</v>
      </c>
      <c r="F1654" s="177" t="s">
        <v>136</v>
      </c>
      <c r="G1654" s="177" t="s">
        <v>137</v>
      </c>
      <c r="H1654" s="177" t="s">
        <v>3022</v>
      </c>
      <c r="L1654" s="17" t="s">
        <v>254</v>
      </c>
    </row>
    <row r="1655">
      <c r="A1655" s="175">
        <v>147.0</v>
      </c>
      <c r="B1655" s="177" t="s">
        <v>7</v>
      </c>
      <c r="C1655" s="177" t="s">
        <v>3038</v>
      </c>
      <c r="D1655" s="177" t="s">
        <v>223</v>
      </c>
      <c r="E1655" s="177" t="s">
        <v>135</v>
      </c>
      <c r="F1655" s="177" t="s">
        <v>136</v>
      </c>
      <c r="G1655" s="177" t="s">
        <v>3045</v>
      </c>
      <c r="H1655" s="177" t="s">
        <v>185</v>
      </c>
      <c r="L1655" s="17" t="s">
        <v>254</v>
      </c>
    </row>
    <row r="1656">
      <c r="A1656" s="175">
        <v>154.0</v>
      </c>
      <c r="B1656" s="177" t="s">
        <v>6</v>
      </c>
      <c r="C1656" s="177" t="s">
        <v>1709</v>
      </c>
      <c r="D1656" s="177" t="s">
        <v>223</v>
      </c>
      <c r="E1656" s="177" t="s">
        <v>136</v>
      </c>
      <c r="F1656" s="177" t="s">
        <v>136</v>
      </c>
      <c r="G1656" s="177" t="s">
        <v>137</v>
      </c>
      <c r="H1656" s="177" t="s">
        <v>3020</v>
      </c>
      <c r="L1656" s="17" t="s">
        <v>254</v>
      </c>
    </row>
    <row r="1657">
      <c r="A1657" s="175">
        <v>313.0</v>
      </c>
      <c r="B1657" s="177" t="s">
        <v>7</v>
      </c>
      <c r="C1657" s="177" t="s">
        <v>2923</v>
      </c>
      <c r="D1657" s="177" t="s">
        <v>223</v>
      </c>
      <c r="E1657" s="177" t="s">
        <v>135</v>
      </c>
      <c r="F1657" s="177" t="s">
        <v>136</v>
      </c>
      <c r="G1657" s="177" t="s">
        <v>137</v>
      </c>
      <c r="H1657" s="177" t="s">
        <v>3024</v>
      </c>
      <c r="L1657" s="17" t="s">
        <v>254</v>
      </c>
    </row>
    <row r="1658">
      <c r="A1658" s="175">
        <v>314.0</v>
      </c>
      <c r="B1658" s="177" t="s">
        <v>7</v>
      </c>
      <c r="C1658" s="177" t="s">
        <v>3046</v>
      </c>
      <c r="D1658" s="177" t="s">
        <v>223</v>
      </c>
      <c r="E1658" s="177" t="s">
        <v>135</v>
      </c>
      <c r="F1658" s="177" t="s">
        <v>136</v>
      </c>
      <c r="G1658" s="177" t="s">
        <v>137</v>
      </c>
      <c r="H1658" s="177" t="s">
        <v>3024</v>
      </c>
      <c r="L1658" s="17" t="s">
        <v>254</v>
      </c>
    </row>
    <row r="1659">
      <c r="A1659" s="175">
        <v>116.0</v>
      </c>
      <c r="B1659" s="177" t="s">
        <v>7</v>
      </c>
      <c r="C1659" s="177" t="s">
        <v>3047</v>
      </c>
      <c r="D1659" s="177" t="s">
        <v>383</v>
      </c>
      <c r="E1659" s="177" t="s">
        <v>136</v>
      </c>
      <c r="F1659" s="177" t="s">
        <v>136</v>
      </c>
      <c r="G1659" s="177" t="s">
        <v>137</v>
      </c>
      <c r="H1659" s="177" t="s">
        <v>3022</v>
      </c>
      <c r="L1659" s="17" t="s">
        <v>254</v>
      </c>
    </row>
    <row r="1660">
      <c r="A1660" s="175">
        <v>132.0</v>
      </c>
      <c r="B1660" s="177" t="s">
        <v>7</v>
      </c>
      <c r="C1660" s="177" t="s">
        <v>3048</v>
      </c>
      <c r="D1660" s="177" t="s">
        <v>383</v>
      </c>
      <c r="E1660" s="177" t="s">
        <v>136</v>
      </c>
      <c r="F1660" s="177" t="s">
        <v>136</v>
      </c>
      <c r="G1660" s="177" t="s">
        <v>137</v>
      </c>
      <c r="H1660" s="177" t="s">
        <v>3020</v>
      </c>
      <c r="L1660" s="17" t="s">
        <v>254</v>
      </c>
    </row>
    <row r="1661">
      <c r="A1661" s="175">
        <v>142.0</v>
      </c>
      <c r="B1661" s="177" t="s">
        <v>6</v>
      </c>
      <c r="C1661" s="177" t="s">
        <v>3049</v>
      </c>
      <c r="D1661" s="177" t="s">
        <v>383</v>
      </c>
      <c r="E1661" s="177" t="s">
        <v>136</v>
      </c>
      <c r="F1661" s="177" t="s">
        <v>136</v>
      </c>
      <c r="G1661" s="177" t="s">
        <v>137</v>
      </c>
      <c r="H1661" s="177" t="s">
        <v>3022</v>
      </c>
      <c r="L1661" s="17" t="s">
        <v>254</v>
      </c>
    </row>
    <row r="1662">
      <c r="A1662" s="175">
        <v>155.0</v>
      </c>
      <c r="B1662" s="177" t="s">
        <v>6</v>
      </c>
      <c r="C1662" s="178" t="s">
        <v>3050</v>
      </c>
      <c r="D1662" s="177" t="s">
        <v>383</v>
      </c>
      <c r="E1662" s="177" t="s">
        <v>136</v>
      </c>
      <c r="F1662" s="177" t="s">
        <v>136</v>
      </c>
      <c r="G1662" s="177" t="s">
        <v>137</v>
      </c>
      <c r="H1662" s="177" t="s">
        <v>3020</v>
      </c>
      <c r="L1662" s="17" t="s">
        <v>254</v>
      </c>
    </row>
    <row r="1663">
      <c r="A1663" s="175">
        <v>165.0</v>
      </c>
      <c r="B1663" s="176" t="s">
        <v>7</v>
      </c>
      <c r="C1663" s="176" t="s">
        <v>3051</v>
      </c>
      <c r="D1663" s="176" t="s">
        <v>383</v>
      </c>
      <c r="E1663" s="176" t="s">
        <v>136</v>
      </c>
      <c r="F1663" s="176" t="s">
        <v>136</v>
      </c>
      <c r="G1663" s="176" t="s">
        <v>137</v>
      </c>
      <c r="H1663" s="176" t="s">
        <v>3020</v>
      </c>
      <c r="L1663" s="17" t="s">
        <v>254</v>
      </c>
    </row>
    <row r="1664">
      <c r="A1664" s="175">
        <v>152.0</v>
      </c>
      <c r="B1664" s="176" t="s">
        <v>7</v>
      </c>
      <c r="C1664" s="176" t="s">
        <v>3052</v>
      </c>
      <c r="D1664" s="176" t="s">
        <v>383</v>
      </c>
      <c r="E1664" s="176" t="s">
        <v>135</v>
      </c>
      <c r="F1664" s="176" t="s">
        <v>136</v>
      </c>
      <c r="G1664" s="176" t="s">
        <v>137</v>
      </c>
      <c r="H1664" s="176" t="s">
        <v>3020</v>
      </c>
      <c r="L1664" s="17" t="s">
        <v>254</v>
      </c>
    </row>
    <row r="1665">
      <c r="A1665" s="175">
        <v>297.0</v>
      </c>
      <c r="B1665" s="176" t="s">
        <v>6</v>
      </c>
      <c r="C1665" s="176" t="s">
        <v>3053</v>
      </c>
      <c r="D1665" s="176" t="s">
        <v>383</v>
      </c>
      <c r="E1665" s="176" t="s">
        <v>136</v>
      </c>
      <c r="F1665" s="176" t="s">
        <v>136</v>
      </c>
      <c r="G1665" s="176" t="s">
        <v>137</v>
      </c>
      <c r="H1665" s="176" t="s">
        <v>3020</v>
      </c>
      <c r="L1665" s="17" t="s">
        <v>254</v>
      </c>
    </row>
    <row r="1666">
      <c r="A1666" s="175">
        <v>192.0</v>
      </c>
      <c r="B1666" s="176" t="s">
        <v>6</v>
      </c>
      <c r="C1666" s="176" t="s">
        <v>3054</v>
      </c>
      <c r="D1666" s="176" t="s">
        <v>337</v>
      </c>
      <c r="E1666" s="176" t="s">
        <v>136</v>
      </c>
      <c r="F1666" s="176" t="s">
        <v>136</v>
      </c>
      <c r="G1666" s="176" t="s">
        <v>137</v>
      </c>
      <c r="H1666" s="176" t="s">
        <v>3055</v>
      </c>
      <c r="L1666" s="17" t="s">
        <v>254</v>
      </c>
    </row>
    <row r="1667">
      <c r="A1667" s="175">
        <v>302.0</v>
      </c>
      <c r="B1667" s="176" t="s">
        <v>6</v>
      </c>
      <c r="C1667" s="176" t="s">
        <v>3054</v>
      </c>
      <c r="D1667" s="176" t="s">
        <v>337</v>
      </c>
      <c r="E1667" s="176" t="s">
        <v>136</v>
      </c>
      <c r="F1667" s="176" t="s">
        <v>136</v>
      </c>
      <c r="G1667" s="176" t="s">
        <v>137</v>
      </c>
      <c r="H1667" s="176" t="s">
        <v>3022</v>
      </c>
      <c r="L1667" s="17" t="s">
        <v>254</v>
      </c>
    </row>
    <row r="1668">
      <c r="A1668" s="175">
        <v>8.0</v>
      </c>
      <c r="B1668" s="177" t="s">
        <v>6</v>
      </c>
      <c r="C1668" s="177" t="s">
        <v>3056</v>
      </c>
      <c r="D1668" s="177" t="s">
        <v>296</v>
      </c>
      <c r="E1668" s="177" t="s">
        <v>136</v>
      </c>
      <c r="F1668" s="177" t="s">
        <v>136</v>
      </c>
      <c r="G1668" s="177" t="s">
        <v>3057</v>
      </c>
      <c r="H1668" s="177" t="s">
        <v>3055</v>
      </c>
      <c r="L1668" s="17" t="s">
        <v>254</v>
      </c>
    </row>
    <row r="1669">
      <c r="A1669" s="175">
        <v>80.0</v>
      </c>
      <c r="B1669" s="177" t="s">
        <v>6</v>
      </c>
      <c r="C1669" s="177" t="s">
        <v>1834</v>
      </c>
      <c r="D1669" s="177" t="s">
        <v>296</v>
      </c>
      <c r="E1669" s="177" t="s">
        <v>135</v>
      </c>
      <c r="F1669" s="177" t="s">
        <v>136</v>
      </c>
      <c r="G1669" s="177" t="s">
        <v>3058</v>
      </c>
      <c r="H1669" s="177" t="s">
        <v>3020</v>
      </c>
      <c r="L1669" s="17" t="s">
        <v>254</v>
      </c>
    </row>
    <row r="1670">
      <c r="A1670" s="175">
        <v>186.0</v>
      </c>
      <c r="B1670" s="177" t="s">
        <v>6</v>
      </c>
      <c r="C1670" s="177" t="s">
        <v>1565</v>
      </c>
      <c r="D1670" s="177" t="s">
        <v>296</v>
      </c>
      <c r="E1670" s="177" t="s">
        <v>136</v>
      </c>
      <c r="F1670" s="177" t="s">
        <v>136</v>
      </c>
      <c r="G1670" s="177" t="s">
        <v>3057</v>
      </c>
      <c r="H1670" s="177" t="s">
        <v>3055</v>
      </c>
      <c r="L1670" s="17" t="s">
        <v>254</v>
      </c>
    </row>
    <row r="1671">
      <c r="A1671" s="175">
        <v>248.0</v>
      </c>
      <c r="B1671" s="176" t="s">
        <v>6</v>
      </c>
      <c r="C1671" s="176" t="s">
        <v>3059</v>
      </c>
      <c r="D1671" s="176" t="s">
        <v>170</v>
      </c>
      <c r="E1671" s="176" t="s">
        <v>135</v>
      </c>
      <c r="F1671" s="176" t="s">
        <v>136</v>
      </c>
      <c r="G1671" s="176" t="s">
        <v>3057</v>
      </c>
      <c r="H1671" s="176" t="s">
        <v>3020</v>
      </c>
      <c r="L1671" s="17" t="s">
        <v>254</v>
      </c>
    </row>
    <row r="1672">
      <c r="A1672" s="175">
        <v>21.0</v>
      </c>
      <c r="B1672" s="176" t="s">
        <v>6</v>
      </c>
      <c r="C1672" s="176" t="s">
        <v>204</v>
      </c>
      <c r="D1672" s="176" t="s">
        <v>170</v>
      </c>
      <c r="E1672" s="176" t="s">
        <v>135</v>
      </c>
      <c r="F1672" s="176" t="s">
        <v>136</v>
      </c>
      <c r="G1672" s="176" t="s">
        <v>3060</v>
      </c>
      <c r="H1672" s="176" t="s">
        <v>3024</v>
      </c>
      <c r="L1672" s="17" t="s">
        <v>254</v>
      </c>
    </row>
    <row r="1673">
      <c r="A1673" s="175">
        <v>58.0</v>
      </c>
      <c r="B1673" s="176" t="s">
        <v>6</v>
      </c>
      <c r="C1673" s="176" t="s">
        <v>3061</v>
      </c>
      <c r="D1673" s="176" t="s">
        <v>170</v>
      </c>
      <c r="E1673" s="176" t="s">
        <v>136</v>
      </c>
      <c r="F1673" s="176" t="s">
        <v>136</v>
      </c>
      <c r="G1673" s="176" t="s">
        <v>3062</v>
      </c>
      <c r="H1673" s="176" t="s">
        <v>3020</v>
      </c>
      <c r="L1673" s="17" t="s">
        <v>254</v>
      </c>
    </row>
    <row r="1674">
      <c r="A1674" s="175">
        <v>73.0</v>
      </c>
      <c r="B1674" s="176" t="s">
        <v>6</v>
      </c>
      <c r="C1674" s="176" t="s">
        <v>204</v>
      </c>
      <c r="D1674" s="176" t="s">
        <v>170</v>
      </c>
      <c r="E1674" s="176" t="s">
        <v>135</v>
      </c>
      <c r="F1674" s="176" t="s">
        <v>136</v>
      </c>
      <c r="G1674" s="176" t="s">
        <v>3063</v>
      </c>
      <c r="H1674" s="176" t="s">
        <v>3020</v>
      </c>
      <c r="L1674" s="17" t="s">
        <v>254</v>
      </c>
    </row>
    <row r="1675">
      <c r="A1675" s="175">
        <v>98.0</v>
      </c>
      <c r="B1675" s="176" t="s">
        <v>6</v>
      </c>
      <c r="C1675" s="176" t="s">
        <v>204</v>
      </c>
      <c r="D1675" s="176" t="s">
        <v>170</v>
      </c>
      <c r="E1675" s="176" t="s">
        <v>136</v>
      </c>
      <c r="F1675" s="176" t="s">
        <v>136</v>
      </c>
      <c r="G1675" s="176" t="s">
        <v>137</v>
      </c>
      <c r="H1675" s="176" t="s">
        <v>3020</v>
      </c>
      <c r="L1675" s="17" t="s">
        <v>254</v>
      </c>
    </row>
    <row r="1676">
      <c r="A1676" s="175">
        <v>109.0</v>
      </c>
      <c r="B1676" s="176" t="s">
        <v>7</v>
      </c>
      <c r="C1676" s="176" t="s">
        <v>3059</v>
      </c>
      <c r="D1676" s="176" t="s">
        <v>170</v>
      </c>
      <c r="E1676" s="176" t="s">
        <v>136</v>
      </c>
      <c r="F1676" s="176" t="s">
        <v>136</v>
      </c>
      <c r="G1676" s="176" t="s">
        <v>3064</v>
      </c>
      <c r="H1676" s="176" t="s">
        <v>3065</v>
      </c>
      <c r="L1676" s="17" t="s">
        <v>254</v>
      </c>
    </row>
    <row r="1677">
      <c r="A1677" s="175">
        <v>110.0</v>
      </c>
      <c r="B1677" s="176" t="s">
        <v>6</v>
      </c>
      <c r="C1677" s="176" t="s">
        <v>3059</v>
      </c>
      <c r="D1677" s="176" t="s">
        <v>170</v>
      </c>
      <c r="E1677" s="176" t="s">
        <v>136</v>
      </c>
      <c r="F1677" s="176" t="s">
        <v>136</v>
      </c>
      <c r="G1677" s="176" t="s">
        <v>137</v>
      </c>
      <c r="H1677" s="176" t="s">
        <v>3055</v>
      </c>
      <c r="L1677" s="17" t="s">
        <v>254</v>
      </c>
    </row>
    <row r="1678">
      <c r="A1678" s="175">
        <v>121.0</v>
      </c>
      <c r="B1678" s="176" t="s">
        <v>7</v>
      </c>
      <c r="C1678" s="176" t="s">
        <v>3066</v>
      </c>
      <c r="D1678" s="176" t="s">
        <v>170</v>
      </c>
      <c r="E1678" s="176" t="s">
        <v>135</v>
      </c>
      <c r="F1678" s="176" t="s">
        <v>136</v>
      </c>
      <c r="G1678" s="176" t="s">
        <v>3031</v>
      </c>
      <c r="H1678" s="176" t="s">
        <v>3067</v>
      </c>
      <c r="L1678" s="17" t="s">
        <v>254</v>
      </c>
    </row>
    <row r="1679">
      <c r="A1679" s="175">
        <v>128.0</v>
      </c>
      <c r="B1679" s="176" t="s">
        <v>7</v>
      </c>
      <c r="C1679" s="176" t="s">
        <v>3059</v>
      </c>
      <c r="D1679" s="176" t="s">
        <v>170</v>
      </c>
      <c r="E1679" s="176" t="s">
        <v>135</v>
      </c>
      <c r="F1679" s="176" t="s">
        <v>136</v>
      </c>
      <c r="G1679" s="176" t="s">
        <v>137</v>
      </c>
      <c r="H1679" s="176" t="s">
        <v>3020</v>
      </c>
      <c r="L1679" s="17" t="s">
        <v>254</v>
      </c>
    </row>
    <row r="1680">
      <c r="A1680" s="175">
        <v>143.0</v>
      </c>
      <c r="B1680" s="176" t="s">
        <v>6</v>
      </c>
      <c r="C1680" s="176" t="s">
        <v>3068</v>
      </c>
      <c r="D1680" s="176" t="s">
        <v>170</v>
      </c>
      <c r="E1680" s="176" t="s">
        <v>136</v>
      </c>
      <c r="F1680" s="176" t="s">
        <v>136</v>
      </c>
      <c r="G1680" s="176" t="s">
        <v>137</v>
      </c>
      <c r="H1680" s="176" t="s">
        <v>3022</v>
      </c>
      <c r="L1680" s="17" t="s">
        <v>254</v>
      </c>
    </row>
    <row r="1681">
      <c r="A1681" s="175">
        <v>145.0</v>
      </c>
      <c r="B1681" s="176" t="s">
        <v>7</v>
      </c>
      <c r="C1681" s="176" t="s">
        <v>204</v>
      </c>
      <c r="D1681" s="176" t="s">
        <v>170</v>
      </c>
      <c r="E1681" s="176" t="s">
        <v>136</v>
      </c>
      <c r="F1681" s="176" t="s">
        <v>136</v>
      </c>
      <c r="G1681" s="176" t="s">
        <v>3069</v>
      </c>
      <c r="H1681" s="176" t="s">
        <v>3055</v>
      </c>
      <c r="L1681" s="17" t="s">
        <v>254</v>
      </c>
    </row>
    <row r="1682">
      <c r="A1682" s="175">
        <v>146.0</v>
      </c>
      <c r="B1682" s="176" t="s">
        <v>6</v>
      </c>
      <c r="C1682" s="176" t="s">
        <v>3059</v>
      </c>
      <c r="D1682" s="176" t="s">
        <v>170</v>
      </c>
      <c r="E1682" s="176" t="s">
        <v>136</v>
      </c>
      <c r="F1682" s="176" t="s">
        <v>136</v>
      </c>
      <c r="G1682" s="176" t="s">
        <v>137</v>
      </c>
      <c r="H1682" s="176" t="s">
        <v>185</v>
      </c>
      <c r="L1682" s="17" t="s">
        <v>254</v>
      </c>
    </row>
    <row r="1683">
      <c r="A1683" s="175">
        <v>150.0</v>
      </c>
      <c r="B1683" s="176" t="s">
        <v>7</v>
      </c>
      <c r="C1683" s="176" t="s">
        <v>3070</v>
      </c>
      <c r="D1683" s="176" t="s">
        <v>170</v>
      </c>
      <c r="E1683" s="176" t="s">
        <v>136</v>
      </c>
      <c r="F1683" s="176" t="s">
        <v>136</v>
      </c>
      <c r="G1683" s="176" t="s">
        <v>3071</v>
      </c>
      <c r="H1683" s="176" t="s">
        <v>3055</v>
      </c>
      <c r="L1683" s="17" t="s">
        <v>254</v>
      </c>
    </row>
    <row r="1684">
      <c r="A1684" s="175">
        <v>164.0</v>
      </c>
      <c r="B1684" s="176" t="s">
        <v>7</v>
      </c>
      <c r="C1684" s="176" t="s">
        <v>3072</v>
      </c>
      <c r="D1684" s="176" t="s">
        <v>170</v>
      </c>
      <c r="E1684" s="176" t="s">
        <v>135</v>
      </c>
      <c r="F1684" s="176" t="s">
        <v>136</v>
      </c>
      <c r="G1684" s="176" t="s">
        <v>137</v>
      </c>
      <c r="H1684" s="176" t="s">
        <v>3065</v>
      </c>
      <c r="L1684" s="17" t="s">
        <v>254</v>
      </c>
    </row>
    <row r="1685">
      <c r="A1685" s="175">
        <v>169.0</v>
      </c>
      <c r="B1685" s="176" t="s">
        <v>6</v>
      </c>
      <c r="C1685" s="176" t="s">
        <v>3073</v>
      </c>
      <c r="D1685" s="176" t="s">
        <v>170</v>
      </c>
      <c r="E1685" s="176" t="s">
        <v>136</v>
      </c>
      <c r="F1685" s="176" t="s">
        <v>136</v>
      </c>
      <c r="G1685" s="176" t="s">
        <v>3063</v>
      </c>
      <c r="H1685" s="176" t="s">
        <v>3022</v>
      </c>
      <c r="L1685" s="17" t="s">
        <v>254</v>
      </c>
    </row>
    <row r="1686">
      <c r="A1686" s="175">
        <v>203.0</v>
      </c>
      <c r="B1686" s="176" t="s">
        <v>7</v>
      </c>
      <c r="C1686" s="176" t="s">
        <v>3059</v>
      </c>
      <c r="D1686" s="176" t="s">
        <v>170</v>
      </c>
      <c r="E1686" s="176" t="s">
        <v>136</v>
      </c>
      <c r="F1686" s="176" t="s">
        <v>136</v>
      </c>
      <c r="G1686" s="176" t="s">
        <v>137</v>
      </c>
      <c r="H1686" s="176" t="s">
        <v>3026</v>
      </c>
      <c r="L1686" s="17" t="s">
        <v>254</v>
      </c>
    </row>
    <row r="1687">
      <c r="A1687" s="175">
        <v>240.0</v>
      </c>
      <c r="B1687" s="176" t="s">
        <v>7</v>
      </c>
      <c r="C1687" s="176" t="s">
        <v>204</v>
      </c>
      <c r="D1687" s="176" t="s">
        <v>170</v>
      </c>
      <c r="E1687" s="176" t="s">
        <v>135</v>
      </c>
      <c r="F1687" s="176" t="s">
        <v>136</v>
      </c>
      <c r="G1687" s="176" t="s">
        <v>137</v>
      </c>
      <c r="H1687" s="176" t="s">
        <v>3024</v>
      </c>
      <c r="L1687" s="17" t="s">
        <v>254</v>
      </c>
    </row>
    <row r="1688">
      <c r="A1688" s="175">
        <v>241.0</v>
      </c>
      <c r="B1688" s="177" t="s">
        <v>7</v>
      </c>
      <c r="C1688" s="177" t="s">
        <v>204</v>
      </c>
      <c r="D1688" s="177" t="s">
        <v>170</v>
      </c>
      <c r="E1688" s="177" t="s">
        <v>135</v>
      </c>
      <c r="F1688" s="177" t="s">
        <v>136</v>
      </c>
      <c r="G1688" s="177" t="s">
        <v>137</v>
      </c>
      <c r="H1688" s="177" t="s">
        <v>3024</v>
      </c>
      <c r="L1688" s="17" t="s">
        <v>254</v>
      </c>
    </row>
    <row r="1689">
      <c r="A1689" s="175">
        <v>264.0</v>
      </c>
      <c r="B1689" s="176" t="s">
        <v>7</v>
      </c>
      <c r="C1689" s="176" t="s">
        <v>3074</v>
      </c>
      <c r="D1689" s="176" t="s">
        <v>170</v>
      </c>
      <c r="E1689" s="176" t="s">
        <v>136</v>
      </c>
      <c r="F1689" s="176" t="s">
        <v>136</v>
      </c>
      <c r="G1689" s="176" t="s">
        <v>137</v>
      </c>
      <c r="H1689" s="176" t="s">
        <v>3022</v>
      </c>
      <c r="L1689" s="17" t="s">
        <v>254</v>
      </c>
    </row>
    <row r="1690">
      <c r="A1690" s="175">
        <v>287.0</v>
      </c>
      <c r="B1690" s="176" t="s">
        <v>6</v>
      </c>
      <c r="C1690" s="176" t="s">
        <v>3075</v>
      </c>
      <c r="D1690" s="176" t="s">
        <v>170</v>
      </c>
      <c r="E1690" s="176" t="s">
        <v>135</v>
      </c>
      <c r="F1690" s="176" t="s">
        <v>136</v>
      </c>
      <c r="G1690" s="176" t="s">
        <v>137</v>
      </c>
      <c r="H1690" s="176" t="s">
        <v>3065</v>
      </c>
      <c r="L1690" s="17" t="s">
        <v>254</v>
      </c>
    </row>
    <row r="1691">
      <c r="A1691" s="175">
        <v>288.0</v>
      </c>
      <c r="B1691" s="176" t="s">
        <v>7</v>
      </c>
      <c r="C1691" s="176" t="s">
        <v>3059</v>
      </c>
      <c r="D1691" s="176" t="s">
        <v>170</v>
      </c>
      <c r="E1691" s="176" t="s">
        <v>135</v>
      </c>
      <c r="F1691" s="176" t="s">
        <v>136</v>
      </c>
      <c r="G1691" s="176" t="s">
        <v>137</v>
      </c>
      <c r="H1691" s="176" t="s">
        <v>3024</v>
      </c>
      <c r="L1691" s="17" t="s">
        <v>254</v>
      </c>
    </row>
    <row r="1692">
      <c r="A1692" s="175">
        <v>298.0</v>
      </c>
      <c r="B1692" s="176" t="s">
        <v>6</v>
      </c>
      <c r="C1692" s="176" t="s">
        <v>3059</v>
      </c>
      <c r="D1692" s="176" t="s">
        <v>170</v>
      </c>
      <c r="E1692" s="176" t="s">
        <v>136</v>
      </c>
      <c r="F1692" s="176" t="s">
        <v>136</v>
      </c>
      <c r="G1692" s="176" t="s">
        <v>137</v>
      </c>
      <c r="H1692" s="176" t="s">
        <v>3020</v>
      </c>
      <c r="L1692" s="17" t="s">
        <v>254</v>
      </c>
    </row>
    <row r="1693">
      <c r="A1693" s="175">
        <v>306.0</v>
      </c>
      <c r="B1693" s="176" t="s">
        <v>6</v>
      </c>
      <c r="C1693" s="176" t="s">
        <v>204</v>
      </c>
      <c r="D1693" s="176" t="s">
        <v>170</v>
      </c>
      <c r="E1693" s="176" t="s">
        <v>136</v>
      </c>
      <c r="F1693" s="176" t="s">
        <v>136</v>
      </c>
      <c r="G1693" s="176" t="s">
        <v>3076</v>
      </c>
      <c r="H1693" s="176" t="s">
        <v>3055</v>
      </c>
      <c r="L1693" s="17" t="s">
        <v>254</v>
      </c>
    </row>
    <row r="1694">
      <c r="A1694" s="175">
        <v>17.0</v>
      </c>
      <c r="B1694" s="177" t="s">
        <v>6</v>
      </c>
      <c r="C1694" s="177" t="s">
        <v>3077</v>
      </c>
      <c r="D1694" s="177" t="s">
        <v>134</v>
      </c>
      <c r="E1694" s="177" t="s">
        <v>136</v>
      </c>
      <c r="F1694" s="177" t="s">
        <v>136</v>
      </c>
      <c r="G1694" s="177" t="s">
        <v>3078</v>
      </c>
      <c r="H1694" s="177" t="s">
        <v>3022</v>
      </c>
      <c r="L1694" s="17" t="s">
        <v>254</v>
      </c>
    </row>
    <row r="1695">
      <c r="A1695" s="175">
        <v>18.0</v>
      </c>
      <c r="B1695" s="177" t="s">
        <v>7</v>
      </c>
      <c r="C1695" s="177" t="s">
        <v>133</v>
      </c>
      <c r="D1695" s="177" t="s">
        <v>134</v>
      </c>
      <c r="E1695" s="177" t="s">
        <v>135</v>
      </c>
      <c r="F1695" s="177" t="s">
        <v>136</v>
      </c>
      <c r="G1695" s="177" t="s">
        <v>3079</v>
      </c>
      <c r="H1695" s="177" t="s">
        <v>3067</v>
      </c>
      <c r="L1695" s="17" t="s">
        <v>254</v>
      </c>
    </row>
    <row r="1696">
      <c r="A1696" s="175">
        <v>22.0</v>
      </c>
      <c r="B1696" s="177" t="s">
        <v>7</v>
      </c>
      <c r="C1696" s="177" t="s">
        <v>3080</v>
      </c>
      <c r="D1696" s="177" t="s">
        <v>134</v>
      </c>
      <c r="E1696" s="177" t="s">
        <v>136</v>
      </c>
      <c r="F1696" s="177" t="s">
        <v>136</v>
      </c>
      <c r="G1696" s="177" t="s">
        <v>3081</v>
      </c>
      <c r="H1696" s="177" t="s">
        <v>3020</v>
      </c>
      <c r="L1696" s="17" t="s">
        <v>254</v>
      </c>
    </row>
    <row r="1697">
      <c r="A1697" s="175">
        <v>24.0</v>
      </c>
      <c r="B1697" s="176" t="s">
        <v>6</v>
      </c>
      <c r="C1697" s="176" t="s">
        <v>3082</v>
      </c>
      <c r="D1697" s="176" t="s">
        <v>134</v>
      </c>
      <c r="E1697" s="176" t="s">
        <v>136</v>
      </c>
      <c r="F1697" s="176" t="s">
        <v>136</v>
      </c>
      <c r="G1697" s="176" t="s">
        <v>3083</v>
      </c>
      <c r="H1697" s="176" t="s">
        <v>3022</v>
      </c>
      <c r="L1697" s="17" t="s">
        <v>254</v>
      </c>
    </row>
    <row r="1698">
      <c r="A1698" s="175">
        <v>61.0</v>
      </c>
      <c r="B1698" s="176" t="s">
        <v>6</v>
      </c>
      <c r="C1698" s="176" t="s">
        <v>3084</v>
      </c>
      <c r="D1698" s="176" t="s">
        <v>134</v>
      </c>
      <c r="E1698" s="176" t="s">
        <v>136</v>
      </c>
      <c r="F1698" s="176" t="s">
        <v>136</v>
      </c>
      <c r="G1698" s="176" t="s">
        <v>3085</v>
      </c>
      <c r="H1698" s="176" t="s">
        <v>3022</v>
      </c>
      <c r="L1698" s="17" t="s">
        <v>254</v>
      </c>
    </row>
    <row r="1699">
      <c r="A1699" s="175">
        <v>67.0</v>
      </c>
      <c r="B1699" s="176" t="s">
        <v>6</v>
      </c>
      <c r="C1699" s="176" t="s">
        <v>3086</v>
      </c>
      <c r="D1699" s="176" t="s">
        <v>134</v>
      </c>
      <c r="E1699" s="176" t="s">
        <v>136</v>
      </c>
      <c r="F1699" s="176" t="s">
        <v>136</v>
      </c>
      <c r="G1699" s="176" t="s">
        <v>3021</v>
      </c>
      <c r="H1699" s="176" t="s">
        <v>185</v>
      </c>
      <c r="L1699" s="17" t="s">
        <v>254</v>
      </c>
    </row>
    <row r="1700">
      <c r="A1700" s="175">
        <v>113.0</v>
      </c>
      <c r="B1700" s="176" t="s">
        <v>6</v>
      </c>
      <c r="C1700" s="176" t="s">
        <v>3087</v>
      </c>
      <c r="D1700" s="176" t="s">
        <v>134</v>
      </c>
      <c r="E1700" s="176" t="s">
        <v>136</v>
      </c>
      <c r="F1700" s="176" t="s">
        <v>136</v>
      </c>
      <c r="G1700" s="176" t="s">
        <v>3057</v>
      </c>
      <c r="H1700" s="176" t="s">
        <v>3022</v>
      </c>
      <c r="L1700" s="17" t="s">
        <v>254</v>
      </c>
    </row>
    <row r="1701">
      <c r="A1701" s="175">
        <v>124.0</v>
      </c>
      <c r="B1701" s="176" t="s">
        <v>6</v>
      </c>
      <c r="C1701" s="176" t="s">
        <v>3088</v>
      </c>
      <c r="D1701" s="176" t="s">
        <v>134</v>
      </c>
      <c r="E1701" s="176" t="s">
        <v>136</v>
      </c>
      <c r="F1701" s="176" t="s">
        <v>136</v>
      </c>
      <c r="G1701" s="176" t="s">
        <v>137</v>
      </c>
      <c r="H1701" s="176" t="s">
        <v>3055</v>
      </c>
      <c r="L1701" s="17" t="s">
        <v>254</v>
      </c>
    </row>
    <row r="1702">
      <c r="A1702" s="175">
        <v>126.0</v>
      </c>
      <c r="B1702" s="176" t="s">
        <v>6</v>
      </c>
      <c r="C1702" s="176" t="s">
        <v>149</v>
      </c>
      <c r="D1702" s="176" t="s">
        <v>134</v>
      </c>
      <c r="E1702" s="176" t="s">
        <v>136</v>
      </c>
      <c r="F1702" s="176" t="s">
        <v>136</v>
      </c>
      <c r="G1702" s="176" t="s">
        <v>3021</v>
      </c>
      <c r="H1702" s="176" t="s">
        <v>3026</v>
      </c>
      <c r="L1702" s="17" t="s">
        <v>254</v>
      </c>
    </row>
    <row r="1703">
      <c r="A1703" s="175">
        <v>141.0</v>
      </c>
      <c r="B1703" s="177" t="s">
        <v>7</v>
      </c>
      <c r="C1703" s="177" t="s">
        <v>1174</v>
      </c>
      <c r="D1703" s="177" t="s">
        <v>134</v>
      </c>
      <c r="E1703" s="177" t="s">
        <v>135</v>
      </c>
      <c r="F1703" s="177" t="s">
        <v>136</v>
      </c>
      <c r="G1703" s="177" t="s">
        <v>3089</v>
      </c>
      <c r="H1703" s="177" t="s">
        <v>3024</v>
      </c>
      <c r="L1703" s="17" t="s">
        <v>254</v>
      </c>
    </row>
    <row r="1704">
      <c r="A1704" s="175">
        <v>178.0</v>
      </c>
      <c r="B1704" s="177" t="s">
        <v>6</v>
      </c>
      <c r="C1704" s="177" t="s">
        <v>3090</v>
      </c>
      <c r="D1704" s="177" t="s">
        <v>134</v>
      </c>
      <c r="E1704" s="177" t="s">
        <v>135</v>
      </c>
      <c r="F1704" s="177" t="s">
        <v>136</v>
      </c>
      <c r="G1704" s="177" t="s">
        <v>137</v>
      </c>
      <c r="H1704" s="177" t="s">
        <v>3024</v>
      </c>
      <c r="L1704" s="17" t="s">
        <v>254</v>
      </c>
    </row>
    <row r="1705">
      <c r="A1705" s="175">
        <v>187.0</v>
      </c>
      <c r="B1705" s="177" t="s">
        <v>7</v>
      </c>
      <c r="C1705" s="177" t="s">
        <v>3091</v>
      </c>
      <c r="D1705" s="177" t="s">
        <v>134</v>
      </c>
      <c r="E1705" s="177" t="s">
        <v>135</v>
      </c>
      <c r="F1705" s="177" t="s">
        <v>136</v>
      </c>
      <c r="G1705" s="177" t="s">
        <v>137</v>
      </c>
      <c r="H1705" s="177" t="s">
        <v>3020</v>
      </c>
      <c r="L1705" s="17" t="s">
        <v>254</v>
      </c>
    </row>
    <row r="1706">
      <c r="A1706" s="175">
        <v>193.0</v>
      </c>
      <c r="B1706" s="177" t="s">
        <v>6</v>
      </c>
      <c r="C1706" s="177" t="s">
        <v>3092</v>
      </c>
      <c r="D1706" s="177" t="s">
        <v>134</v>
      </c>
      <c r="E1706" s="177" t="s">
        <v>135</v>
      </c>
      <c r="F1706" s="177" t="s">
        <v>136</v>
      </c>
      <c r="G1706" s="177" t="s">
        <v>3027</v>
      </c>
      <c r="H1706" s="177" t="s">
        <v>3020</v>
      </c>
      <c r="L1706" s="17" t="s">
        <v>254</v>
      </c>
    </row>
    <row r="1707">
      <c r="A1707" s="175">
        <v>213.0</v>
      </c>
      <c r="B1707" s="176" t="s">
        <v>7</v>
      </c>
      <c r="C1707" s="176" t="s">
        <v>149</v>
      </c>
      <c r="D1707" s="176" t="s">
        <v>134</v>
      </c>
      <c r="E1707" s="176" t="s">
        <v>136</v>
      </c>
      <c r="F1707" s="176" t="s">
        <v>136</v>
      </c>
      <c r="G1707" s="176" t="s">
        <v>137</v>
      </c>
      <c r="H1707" s="176" t="s">
        <v>3026</v>
      </c>
      <c r="L1707" s="17" t="s">
        <v>254</v>
      </c>
    </row>
    <row r="1708">
      <c r="A1708" s="175">
        <v>214.0</v>
      </c>
      <c r="B1708" s="177" t="s">
        <v>7</v>
      </c>
      <c r="C1708" s="177" t="s">
        <v>3093</v>
      </c>
      <c r="D1708" s="177" t="s">
        <v>134</v>
      </c>
      <c r="E1708" s="177" t="s">
        <v>136</v>
      </c>
      <c r="F1708" s="177" t="s">
        <v>136</v>
      </c>
      <c r="G1708" s="177" t="s">
        <v>137</v>
      </c>
      <c r="H1708" s="177" t="s">
        <v>3022</v>
      </c>
      <c r="L1708" s="17" t="s">
        <v>254</v>
      </c>
    </row>
    <row r="1709">
      <c r="A1709" s="175">
        <v>215.0</v>
      </c>
      <c r="B1709" s="176" t="s">
        <v>7</v>
      </c>
      <c r="C1709" s="176" t="s">
        <v>3094</v>
      </c>
      <c r="D1709" s="176" t="s">
        <v>134</v>
      </c>
      <c r="E1709" s="176" t="s">
        <v>136</v>
      </c>
      <c r="F1709" s="176" t="s">
        <v>136</v>
      </c>
      <c r="G1709" s="176" t="s">
        <v>137</v>
      </c>
      <c r="H1709" s="176" t="s">
        <v>3055</v>
      </c>
      <c r="L1709" s="17" t="s">
        <v>254</v>
      </c>
    </row>
    <row r="1710">
      <c r="A1710" s="175">
        <v>219.0</v>
      </c>
      <c r="B1710" s="176" t="s">
        <v>7</v>
      </c>
      <c r="C1710" s="176" t="s">
        <v>3095</v>
      </c>
      <c r="D1710" s="176" t="s">
        <v>134</v>
      </c>
      <c r="E1710" s="176" t="s">
        <v>136</v>
      </c>
      <c r="F1710" s="176" t="s">
        <v>136</v>
      </c>
      <c r="G1710" s="176" t="s">
        <v>3081</v>
      </c>
      <c r="H1710" s="176" t="s">
        <v>3055</v>
      </c>
      <c r="L1710" s="17" t="s">
        <v>254</v>
      </c>
    </row>
    <row r="1711">
      <c r="A1711" s="175">
        <v>223.0</v>
      </c>
      <c r="B1711" s="177" t="s">
        <v>6</v>
      </c>
      <c r="C1711" s="177" t="s">
        <v>3096</v>
      </c>
      <c r="D1711" s="177" t="s">
        <v>134</v>
      </c>
      <c r="E1711" s="177" t="s">
        <v>135</v>
      </c>
      <c r="F1711" s="177" t="s">
        <v>136</v>
      </c>
      <c r="G1711" s="177" t="s">
        <v>137</v>
      </c>
      <c r="H1711" s="177" t="s">
        <v>3020</v>
      </c>
      <c r="L1711" s="17" t="s">
        <v>254</v>
      </c>
    </row>
    <row r="1712">
      <c r="A1712" s="175">
        <v>231.0</v>
      </c>
      <c r="B1712" s="177" t="s">
        <v>7</v>
      </c>
      <c r="C1712" s="177" t="s">
        <v>3097</v>
      </c>
      <c r="D1712" s="177" t="s">
        <v>134</v>
      </c>
      <c r="E1712" s="177" t="s">
        <v>135</v>
      </c>
      <c r="F1712" s="177" t="s">
        <v>136</v>
      </c>
      <c r="G1712" s="177" t="s">
        <v>137</v>
      </c>
      <c r="H1712" s="177" t="s">
        <v>3055</v>
      </c>
      <c r="L1712" s="17" t="s">
        <v>254</v>
      </c>
    </row>
    <row r="1713">
      <c r="A1713" s="175">
        <v>261.0</v>
      </c>
      <c r="B1713" s="177" t="s">
        <v>7</v>
      </c>
      <c r="C1713" s="177" t="s">
        <v>149</v>
      </c>
      <c r="D1713" s="177" t="s">
        <v>134</v>
      </c>
      <c r="E1713" s="177" t="s">
        <v>136</v>
      </c>
      <c r="F1713" s="177" t="s">
        <v>136</v>
      </c>
      <c r="G1713" s="177" t="s">
        <v>137</v>
      </c>
      <c r="H1713" s="177" t="s">
        <v>3055</v>
      </c>
      <c r="L1713" s="17" t="s">
        <v>254</v>
      </c>
    </row>
    <row r="1714">
      <c r="A1714" s="175">
        <v>262.0</v>
      </c>
      <c r="B1714" s="177" t="s">
        <v>7</v>
      </c>
      <c r="C1714" s="177" t="s">
        <v>3098</v>
      </c>
      <c r="D1714" s="177" t="s">
        <v>134</v>
      </c>
      <c r="E1714" s="177" t="s">
        <v>136</v>
      </c>
      <c r="F1714" s="177" t="s">
        <v>136</v>
      </c>
      <c r="G1714" s="177" t="s">
        <v>137</v>
      </c>
      <c r="H1714" s="177" t="s">
        <v>3055</v>
      </c>
      <c r="L1714" s="17" t="s">
        <v>254</v>
      </c>
    </row>
    <row r="1715">
      <c r="A1715" s="175">
        <v>286.0</v>
      </c>
      <c r="B1715" s="176" t="s">
        <v>6</v>
      </c>
      <c r="C1715" s="176" t="s">
        <v>3099</v>
      </c>
      <c r="D1715" s="176" t="s">
        <v>134</v>
      </c>
      <c r="E1715" s="176" t="s">
        <v>136</v>
      </c>
      <c r="F1715" s="176" t="s">
        <v>135</v>
      </c>
      <c r="G1715" s="176" t="s">
        <v>3083</v>
      </c>
      <c r="H1715" s="176" t="s">
        <v>3022</v>
      </c>
      <c r="L1715" s="17" t="s">
        <v>254</v>
      </c>
    </row>
    <row r="1716">
      <c r="A1716" s="175">
        <v>291.0</v>
      </c>
      <c r="B1716" s="176" t="s">
        <v>6</v>
      </c>
      <c r="C1716" s="176" t="s">
        <v>1282</v>
      </c>
      <c r="D1716" s="176" t="s">
        <v>134</v>
      </c>
      <c r="E1716" s="176" t="s">
        <v>136</v>
      </c>
      <c r="F1716" s="176" t="s">
        <v>136</v>
      </c>
      <c r="G1716" s="176" t="s">
        <v>3100</v>
      </c>
      <c r="H1716" s="176" t="s">
        <v>3020</v>
      </c>
      <c r="L1716" s="17" t="s">
        <v>254</v>
      </c>
    </row>
    <row r="1717">
      <c r="A1717" s="175">
        <v>300.0</v>
      </c>
      <c r="B1717" s="176" t="s">
        <v>6</v>
      </c>
      <c r="C1717" s="176" t="s">
        <v>149</v>
      </c>
      <c r="D1717" s="176" t="s">
        <v>134</v>
      </c>
      <c r="E1717" s="176" t="s">
        <v>136</v>
      </c>
      <c r="F1717" s="176" t="s">
        <v>136</v>
      </c>
      <c r="G1717" s="176" t="s">
        <v>137</v>
      </c>
      <c r="H1717" s="176" t="s">
        <v>3022</v>
      </c>
      <c r="L1717" s="17" t="s">
        <v>254</v>
      </c>
    </row>
    <row r="1718">
      <c r="A1718" s="175">
        <v>301.0</v>
      </c>
      <c r="B1718" s="176" t="s">
        <v>6</v>
      </c>
      <c r="C1718" s="176" t="s">
        <v>149</v>
      </c>
      <c r="D1718" s="176" t="s">
        <v>134</v>
      </c>
      <c r="E1718" s="176" t="s">
        <v>136</v>
      </c>
      <c r="F1718" s="176" t="s">
        <v>136</v>
      </c>
      <c r="G1718" s="176" t="s">
        <v>137</v>
      </c>
      <c r="H1718" s="176" t="s">
        <v>3022</v>
      </c>
      <c r="L1718" s="17" t="s">
        <v>254</v>
      </c>
    </row>
    <row r="1719">
      <c r="A1719" s="175">
        <v>303.0</v>
      </c>
      <c r="B1719" s="176" t="s">
        <v>6</v>
      </c>
      <c r="C1719" s="176" t="s">
        <v>3101</v>
      </c>
      <c r="D1719" s="176" t="s">
        <v>134</v>
      </c>
      <c r="E1719" s="176" t="s">
        <v>136</v>
      </c>
      <c r="F1719" s="176" t="s">
        <v>136</v>
      </c>
      <c r="G1719" s="176" t="s">
        <v>3081</v>
      </c>
      <c r="H1719" s="176" t="s">
        <v>3022</v>
      </c>
      <c r="L1719" s="17" t="s">
        <v>254</v>
      </c>
    </row>
    <row r="1720">
      <c r="A1720" s="175">
        <v>3.0</v>
      </c>
      <c r="B1720" s="177" t="s">
        <v>7</v>
      </c>
      <c r="C1720" s="177" t="s">
        <v>973</v>
      </c>
      <c r="D1720" s="177" t="s">
        <v>164</v>
      </c>
      <c r="E1720" s="177" t="s">
        <v>135</v>
      </c>
      <c r="F1720" s="177" t="s">
        <v>136</v>
      </c>
      <c r="G1720" s="177" t="s">
        <v>137</v>
      </c>
      <c r="H1720" s="177" t="s">
        <v>3020</v>
      </c>
      <c r="L1720" s="17" t="s">
        <v>254</v>
      </c>
    </row>
    <row r="1721">
      <c r="A1721" s="175">
        <v>5.0</v>
      </c>
      <c r="B1721" s="176" t="s">
        <v>6</v>
      </c>
      <c r="C1721" s="176" t="s">
        <v>3102</v>
      </c>
      <c r="D1721" s="176" t="s">
        <v>164</v>
      </c>
      <c r="E1721" s="176" t="s">
        <v>136</v>
      </c>
      <c r="F1721" s="176" t="s">
        <v>136</v>
      </c>
      <c r="G1721" s="176" t="s">
        <v>137</v>
      </c>
      <c r="H1721" s="176" t="s">
        <v>3020</v>
      </c>
      <c r="L1721" s="17" t="s">
        <v>254</v>
      </c>
    </row>
    <row r="1722">
      <c r="A1722" s="175">
        <v>27.0</v>
      </c>
      <c r="B1722" s="176" t="s">
        <v>6</v>
      </c>
      <c r="C1722" s="176" t="s">
        <v>3103</v>
      </c>
      <c r="D1722" s="176" t="s">
        <v>164</v>
      </c>
      <c r="E1722" s="176" t="s">
        <v>136</v>
      </c>
      <c r="F1722" s="176" t="s">
        <v>136</v>
      </c>
      <c r="G1722" s="176" t="s">
        <v>137</v>
      </c>
      <c r="H1722" s="176" t="s">
        <v>3022</v>
      </c>
      <c r="L1722" s="17" t="s">
        <v>254</v>
      </c>
    </row>
    <row r="1723">
      <c r="A1723" s="175">
        <v>40.0</v>
      </c>
      <c r="B1723" s="177" t="s">
        <v>7</v>
      </c>
      <c r="C1723" s="177" t="s">
        <v>315</v>
      </c>
      <c r="D1723" s="177" t="s">
        <v>164</v>
      </c>
      <c r="E1723" s="177" t="s">
        <v>135</v>
      </c>
      <c r="F1723" s="177" t="s">
        <v>135</v>
      </c>
      <c r="G1723" s="177" t="s">
        <v>3104</v>
      </c>
      <c r="H1723" s="177" t="s">
        <v>3024</v>
      </c>
      <c r="L1723" s="17" t="s">
        <v>254</v>
      </c>
    </row>
    <row r="1724">
      <c r="A1724" s="175">
        <v>50.0</v>
      </c>
      <c r="B1724" s="177" t="s">
        <v>7</v>
      </c>
      <c r="C1724" s="177" t="s">
        <v>973</v>
      </c>
      <c r="D1724" s="177" t="s">
        <v>164</v>
      </c>
      <c r="E1724" s="177" t="s">
        <v>136</v>
      </c>
      <c r="F1724" s="177" t="s">
        <v>136</v>
      </c>
      <c r="G1724" s="177" t="s">
        <v>3021</v>
      </c>
      <c r="H1724" s="177" t="s">
        <v>3026</v>
      </c>
      <c r="L1724" s="17" t="s">
        <v>254</v>
      </c>
    </row>
    <row r="1725">
      <c r="A1725" s="175">
        <v>51.0</v>
      </c>
      <c r="B1725" s="177" t="s">
        <v>7</v>
      </c>
      <c r="C1725" s="177" t="s">
        <v>315</v>
      </c>
      <c r="D1725" s="177" t="s">
        <v>164</v>
      </c>
      <c r="E1725" s="177" t="s">
        <v>135</v>
      </c>
      <c r="F1725" s="177" t="s">
        <v>135</v>
      </c>
      <c r="G1725" s="177" t="s">
        <v>3105</v>
      </c>
      <c r="H1725" s="177" t="s">
        <v>3024</v>
      </c>
      <c r="L1725" s="17" t="s">
        <v>254</v>
      </c>
    </row>
    <row r="1726">
      <c r="A1726" s="175">
        <v>77.0</v>
      </c>
      <c r="B1726" s="176" t="s">
        <v>6</v>
      </c>
      <c r="C1726" s="176" t="s">
        <v>3106</v>
      </c>
      <c r="D1726" s="176" t="s">
        <v>164</v>
      </c>
      <c r="E1726" s="176" t="s">
        <v>135</v>
      </c>
      <c r="F1726" s="176" t="s">
        <v>136</v>
      </c>
      <c r="G1726" s="176" t="s">
        <v>137</v>
      </c>
      <c r="H1726" s="176" t="s">
        <v>3024</v>
      </c>
      <c r="L1726" s="17" t="s">
        <v>254</v>
      </c>
    </row>
    <row r="1727">
      <c r="A1727" s="175">
        <v>79.0</v>
      </c>
      <c r="B1727" s="177" t="s">
        <v>6</v>
      </c>
      <c r="C1727" s="177" t="s">
        <v>3107</v>
      </c>
      <c r="D1727" s="177" t="s">
        <v>164</v>
      </c>
      <c r="E1727" s="177" t="s">
        <v>135</v>
      </c>
      <c r="F1727" s="177" t="s">
        <v>136</v>
      </c>
      <c r="G1727" s="177" t="s">
        <v>137</v>
      </c>
      <c r="H1727" s="177" t="s">
        <v>3020</v>
      </c>
      <c r="L1727" s="17" t="s">
        <v>254</v>
      </c>
    </row>
    <row r="1728">
      <c r="A1728" s="175">
        <v>85.0</v>
      </c>
      <c r="B1728" s="177" t="s">
        <v>7</v>
      </c>
      <c r="C1728" s="177" t="s">
        <v>3108</v>
      </c>
      <c r="D1728" s="177" t="s">
        <v>164</v>
      </c>
      <c r="E1728" s="177" t="s">
        <v>135</v>
      </c>
      <c r="F1728" s="177" t="s">
        <v>136</v>
      </c>
      <c r="G1728" s="177" t="s">
        <v>3109</v>
      </c>
      <c r="H1728" s="177" t="s">
        <v>3067</v>
      </c>
      <c r="L1728" s="17" t="s">
        <v>254</v>
      </c>
    </row>
    <row r="1729">
      <c r="A1729" s="175">
        <v>89.0</v>
      </c>
      <c r="B1729" s="177" t="s">
        <v>6</v>
      </c>
      <c r="C1729" s="177" t="s">
        <v>3110</v>
      </c>
      <c r="D1729" s="177" t="s">
        <v>164</v>
      </c>
      <c r="E1729" s="177" t="s">
        <v>136</v>
      </c>
      <c r="F1729" s="177" t="s">
        <v>136</v>
      </c>
      <c r="G1729" s="177" t="s">
        <v>137</v>
      </c>
      <c r="H1729" s="177" t="s">
        <v>3022</v>
      </c>
      <c r="L1729" s="17" t="s">
        <v>254</v>
      </c>
    </row>
    <row r="1730">
      <c r="A1730" s="175">
        <v>99.0</v>
      </c>
      <c r="B1730" s="177" t="s">
        <v>3111</v>
      </c>
      <c r="C1730" s="177" t="s">
        <v>3112</v>
      </c>
      <c r="D1730" s="177" t="s">
        <v>164</v>
      </c>
      <c r="E1730" s="177" t="s">
        <v>136</v>
      </c>
      <c r="F1730" s="177" t="s">
        <v>136</v>
      </c>
      <c r="G1730" s="177" t="s">
        <v>3081</v>
      </c>
      <c r="H1730" s="177" t="s">
        <v>3022</v>
      </c>
      <c r="L1730" s="17" t="s">
        <v>254</v>
      </c>
    </row>
    <row r="1731">
      <c r="A1731" s="175">
        <v>111.0</v>
      </c>
      <c r="B1731" s="177" t="s">
        <v>7</v>
      </c>
      <c r="C1731" s="177" t="s">
        <v>235</v>
      </c>
      <c r="D1731" s="177" t="s">
        <v>164</v>
      </c>
      <c r="E1731" s="177" t="s">
        <v>135</v>
      </c>
      <c r="F1731" s="177" t="s">
        <v>136</v>
      </c>
      <c r="G1731" s="177" t="s">
        <v>137</v>
      </c>
      <c r="H1731" s="177" t="s">
        <v>3026</v>
      </c>
      <c r="L1731" s="17" t="s">
        <v>254</v>
      </c>
    </row>
    <row r="1732">
      <c r="A1732" s="175">
        <v>112.0</v>
      </c>
      <c r="B1732" s="176" t="s">
        <v>6</v>
      </c>
      <c r="C1732" s="176" t="s">
        <v>3113</v>
      </c>
      <c r="D1732" s="176" t="s">
        <v>164</v>
      </c>
      <c r="E1732" s="176" t="s">
        <v>136</v>
      </c>
      <c r="F1732" s="176" t="s">
        <v>136</v>
      </c>
      <c r="G1732" s="176" t="s">
        <v>3027</v>
      </c>
      <c r="H1732" s="176" t="s">
        <v>185</v>
      </c>
      <c r="L1732" s="17" t="s">
        <v>254</v>
      </c>
    </row>
    <row r="1733">
      <c r="A1733" s="175">
        <v>117.0</v>
      </c>
      <c r="B1733" s="176" t="s">
        <v>6</v>
      </c>
      <c r="C1733" s="176" t="s">
        <v>3114</v>
      </c>
      <c r="D1733" s="176" t="s">
        <v>164</v>
      </c>
      <c r="E1733" s="176" t="s">
        <v>135</v>
      </c>
      <c r="F1733" s="176" t="s">
        <v>136</v>
      </c>
      <c r="G1733" s="176" t="s">
        <v>3115</v>
      </c>
      <c r="H1733" s="176" t="s">
        <v>3020</v>
      </c>
      <c r="L1733" s="17" t="s">
        <v>254</v>
      </c>
    </row>
    <row r="1734">
      <c r="A1734" s="175">
        <v>119.0</v>
      </c>
      <c r="B1734" s="176" t="s">
        <v>6</v>
      </c>
      <c r="C1734" s="176" t="s">
        <v>235</v>
      </c>
      <c r="D1734" s="176" t="s">
        <v>164</v>
      </c>
      <c r="E1734" s="176" t="s">
        <v>135</v>
      </c>
      <c r="F1734" s="176" t="s">
        <v>136</v>
      </c>
      <c r="G1734" s="176" t="s">
        <v>3116</v>
      </c>
      <c r="H1734" s="176" t="s">
        <v>3020</v>
      </c>
      <c r="L1734" s="17" t="s">
        <v>254</v>
      </c>
    </row>
    <row r="1735">
      <c r="A1735" s="175">
        <v>127.0</v>
      </c>
      <c r="B1735" s="176" t="s">
        <v>7</v>
      </c>
      <c r="C1735" s="176" t="s">
        <v>315</v>
      </c>
      <c r="D1735" s="176" t="s">
        <v>164</v>
      </c>
      <c r="E1735" s="176" t="s">
        <v>136</v>
      </c>
      <c r="F1735" s="176" t="s">
        <v>136</v>
      </c>
      <c r="G1735" s="176" t="s">
        <v>3117</v>
      </c>
      <c r="H1735" s="176" t="s">
        <v>3026</v>
      </c>
      <c r="L1735" s="17" t="s">
        <v>254</v>
      </c>
    </row>
    <row r="1736">
      <c r="A1736" s="175">
        <v>156.0</v>
      </c>
      <c r="B1736" s="176" t="s">
        <v>7</v>
      </c>
      <c r="C1736" s="176" t="s">
        <v>315</v>
      </c>
      <c r="D1736" s="176" t="s">
        <v>164</v>
      </c>
      <c r="E1736" s="176" t="s">
        <v>135</v>
      </c>
      <c r="F1736" s="176" t="s">
        <v>136</v>
      </c>
      <c r="G1736" s="176" t="s">
        <v>3057</v>
      </c>
      <c r="H1736" s="176" t="s">
        <v>3020</v>
      </c>
      <c r="L1736" s="17" t="s">
        <v>254</v>
      </c>
    </row>
    <row r="1737">
      <c r="A1737" s="175">
        <v>181.0</v>
      </c>
      <c r="B1737" s="177" t="s">
        <v>3111</v>
      </c>
      <c r="C1737" s="177" t="s">
        <v>3118</v>
      </c>
      <c r="D1737" s="177" t="s">
        <v>164</v>
      </c>
      <c r="E1737" s="177" t="s">
        <v>136</v>
      </c>
      <c r="F1737" s="177" t="s">
        <v>136</v>
      </c>
      <c r="G1737" s="177" t="s">
        <v>3027</v>
      </c>
      <c r="H1737" s="177" t="s">
        <v>3020</v>
      </c>
      <c r="L1737" s="17" t="s">
        <v>254</v>
      </c>
    </row>
    <row r="1738">
      <c r="A1738" s="175">
        <v>229.0</v>
      </c>
      <c r="B1738" s="176" t="s">
        <v>7</v>
      </c>
      <c r="C1738" s="176" t="s">
        <v>3119</v>
      </c>
      <c r="D1738" s="176" t="s">
        <v>164</v>
      </c>
      <c r="E1738" s="176" t="s">
        <v>136</v>
      </c>
      <c r="F1738" s="176" t="s">
        <v>136</v>
      </c>
      <c r="G1738" s="176" t="s">
        <v>137</v>
      </c>
      <c r="H1738" s="176" t="s">
        <v>3020</v>
      </c>
      <c r="L1738" s="17" t="s">
        <v>254</v>
      </c>
    </row>
    <row r="1739">
      <c r="A1739" s="175">
        <v>233.0</v>
      </c>
      <c r="B1739" s="176" t="s">
        <v>6</v>
      </c>
      <c r="C1739" s="176" t="s">
        <v>315</v>
      </c>
      <c r="D1739" s="176" t="s">
        <v>164</v>
      </c>
      <c r="E1739" s="176" t="s">
        <v>136</v>
      </c>
      <c r="F1739" s="176" t="s">
        <v>136</v>
      </c>
      <c r="G1739" s="176" t="s">
        <v>3027</v>
      </c>
      <c r="H1739" s="176" t="s">
        <v>3022</v>
      </c>
      <c r="L1739" s="17" t="s">
        <v>254</v>
      </c>
    </row>
    <row r="1740">
      <c r="A1740" s="175">
        <v>246.0</v>
      </c>
      <c r="B1740" s="177" t="s">
        <v>7</v>
      </c>
      <c r="C1740" s="177" t="s">
        <v>315</v>
      </c>
      <c r="D1740" s="177" t="s">
        <v>164</v>
      </c>
      <c r="E1740" s="177" t="s">
        <v>136</v>
      </c>
      <c r="F1740" s="177" t="s">
        <v>136</v>
      </c>
      <c r="G1740" s="177" t="s">
        <v>137</v>
      </c>
      <c r="H1740" s="177" t="s">
        <v>3020</v>
      </c>
      <c r="L1740" s="17" t="s">
        <v>254</v>
      </c>
    </row>
    <row r="1741">
      <c r="A1741" s="175">
        <v>253.0</v>
      </c>
      <c r="B1741" s="177" t="s">
        <v>3111</v>
      </c>
      <c r="C1741" s="177" t="s">
        <v>3120</v>
      </c>
      <c r="D1741" s="177" t="s">
        <v>164</v>
      </c>
      <c r="E1741" s="177" t="s">
        <v>135</v>
      </c>
      <c r="F1741" s="177" t="s">
        <v>136</v>
      </c>
      <c r="G1741" s="177" t="s">
        <v>137</v>
      </c>
      <c r="H1741" s="177" t="s">
        <v>3020</v>
      </c>
      <c r="L1741" s="17" t="s">
        <v>254</v>
      </c>
    </row>
    <row r="1742">
      <c r="A1742" s="175">
        <v>255.0</v>
      </c>
      <c r="B1742" s="176" t="s">
        <v>7</v>
      </c>
      <c r="C1742" s="176" t="s">
        <v>3121</v>
      </c>
      <c r="D1742" s="176" t="s">
        <v>164</v>
      </c>
      <c r="E1742" s="176" t="s">
        <v>136</v>
      </c>
      <c r="F1742" s="176" t="s">
        <v>136</v>
      </c>
      <c r="G1742" s="176" t="s">
        <v>3081</v>
      </c>
      <c r="H1742" s="176" t="s">
        <v>3022</v>
      </c>
      <c r="L1742" s="17" t="s">
        <v>254</v>
      </c>
    </row>
    <row r="1743">
      <c r="A1743" s="175">
        <v>274.0</v>
      </c>
      <c r="B1743" s="176" t="s">
        <v>3111</v>
      </c>
      <c r="C1743" s="176" t="s">
        <v>315</v>
      </c>
      <c r="D1743" s="176" t="s">
        <v>164</v>
      </c>
      <c r="E1743" s="176" t="s">
        <v>136</v>
      </c>
      <c r="F1743" s="176" t="s">
        <v>136</v>
      </c>
      <c r="G1743" s="176" t="s">
        <v>3027</v>
      </c>
      <c r="H1743" s="176" t="s">
        <v>3065</v>
      </c>
      <c r="L1743" s="17" t="s">
        <v>254</v>
      </c>
    </row>
    <row r="1744">
      <c r="A1744" s="175">
        <v>277.0</v>
      </c>
      <c r="B1744" s="176" t="s">
        <v>7</v>
      </c>
      <c r="C1744" s="176" t="s">
        <v>235</v>
      </c>
      <c r="D1744" s="176" t="s">
        <v>164</v>
      </c>
      <c r="E1744" s="176" t="s">
        <v>136</v>
      </c>
      <c r="F1744" s="176" t="s">
        <v>136</v>
      </c>
      <c r="G1744" s="176" t="s">
        <v>3027</v>
      </c>
      <c r="H1744" s="176" t="s">
        <v>3026</v>
      </c>
      <c r="L1744" s="17" t="s">
        <v>254</v>
      </c>
    </row>
    <row r="1745">
      <c r="A1745" s="175">
        <v>292.0</v>
      </c>
      <c r="B1745" s="177" t="s">
        <v>6</v>
      </c>
      <c r="C1745" s="177" t="s">
        <v>3122</v>
      </c>
      <c r="D1745" s="177" t="s">
        <v>164</v>
      </c>
      <c r="E1745" s="177" t="s">
        <v>136</v>
      </c>
      <c r="F1745" s="177" t="s">
        <v>136</v>
      </c>
      <c r="G1745" s="177" t="s">
        <v>3076</v>
      </c>
      <c r="H1745" s="177" t="s">
        <v>3055</v>
      </c>
      <c r="L1745" s="17" t="s">
        <v>254</v>
      </c>
    </row>
    <row r="1746">
      <c r="A1746" s="175">
        <v>304.0</v>
      </c>
      <c r="B1746" s="176" t="s">
        <v>6</v>
      </c>
      <c r="C1746" s="176" t="s">
        <v>315</v>
      </c>
      <c r="D1746" s="176" t="s">
        <v>164</v>
      </c>
      <c r="E1746" s="176" t="s">
        <v>136</v>
      </c>
      <c r="F1746" s="176" t="s">
        <v>136</v>
      </c>
      <c r="G1746" s="176" t="s">
        <v>3057</v>
      </c>
      <c r="H1746" s="176" t="s">
        <v>3022</v>
      </c>
      <c r="L1746" s="17" t="s">
        <v>254</v>
      </c>
    </row>
    <row r="1747">
      <c r="A1747" s="175">
        <v>305.0</v>
      </c>
      <c r="B1747" s="176" t="s">
        <v>6</v>
      </c>
      <c r="C1747" s="176" t="s">
        <v>3123</v>
      </c>
      <c r="D1747" s="176" t="s">
        <v>164</v>
      </c>
      <c r="E1747" s="176" t="s">
        <v>136</v>
      </c>
      <c r="F1747" s="176" t="s">
        <v>136</v>
      </c>
      <c r="G1747" s="176" t="s">
        <v>137</v>
      </c>
      <c r="H1747" s="176" t="s">
        <v>3022</v>
      </c>
      <c r="L1747" s="17" t="s">
        <v>254</v>
      </c>
    </row>
    <row r="1748">
      <c r="A1748" s="175">
        <v>309.0</v>
      </c>
      <c r="B1748" s="177" t="s">
        <v>6</v>
      </c>
      <c r="C1748" s="177" t="s">
        <v>315</v>
      </c>
      <c r="D1748" s="177" t="s">
        <v>164</v>
      </c>
      <c r="E1748" s="177" t="s">
        <v>135</v>
      </c>
      <c r="F1748" s="177" t="s">
        <v>136</v>
      </c>
      <c r="G1748" s="177" t="s">
        <v>3105</v>
      </c>
      <c r="H1748" s="177" t="s">
        <v>3024</v>
      </c>
      <c r="L1748" s="17" t="s">
        <v>254</v>
      </c>
    </row>
    <row r="1749">
      <c r="A1749" s="175">
        <v>311.0</v>
      </c>
      <c r="B1749" s="176" t="s">
        <v>6</v>
      </c>
      <c r="C1749" s="176" t="s">
        <v>3124</v>
      </c>
      <c r="D1749" s="176" t="s">
        <v>164</v>
      </c>
      <c r="E1749" s="176" t="s">
        <v>135</v>
      </c>
      <c r="F1749" s="176" t="s">
        <v>136</v>
      </c>
      <c r="G1749" s="176" t="s">
        <v>137</v>
      </c>
      <c r="H1749" s="176" t="s">
        <v>3020</v>
      </c>
      <c r="L1749" s="17" t="s">
        <v>254</v>
      </c>
    </row>
    <row r="1750">
      <c r="A1750" s="175">
        <v>11.0</v>
      </c>
      <c r="B1750" s="177" t="s">
        <v>7</v>
      </c>
      <c r="C1750" s="177" t="s">
        <v>3125</v>
      </c>
      <c r="D1750" s="176" t="s">
        <v>164</v>
      </c>
      <c r="E1750" s="177" t="s">
        <v>135</v>
      </c>
      <c r="F1750" s="177" t="s">
        <v>136</v>
      </c>
      <c r="G1750" s="177" t="s">
        <v>137</v>
      </c>
      <c r="H1750" s="177" t="s">
        <v>3020</v>
      </c>
      <c r="L1750" s="17" t="s">
        <v>254</v>
      </c>
    </row>
    <row r="1751">
      <c r="A1751" s="175">
        <v>16.0</v>
      </c>
      <c r="B1751" s="177" t="s">
        <v>6</v>
      </c>
      <c r="C1751" s="177" t="s">
        <v>513</v>
      </c>
      <c r="D1751" s="177" t="s">
        <v>213</v>
      </c>
      <c r="E1751" s="177" t="s">
        <v>135</v>
      </c>
      <c r="F1751" s="177" t="s">
        <v>136</v>
      </c>
      <c r="G1751" s="177" t="s">
        <v>137</v>
      </c>
      <c r="H1751" s="177" t="s">
        <v>3024</v>
      </c>
      <c r="L1751" s="17" t="s">
        <v>254</v>
      </c>
    </row>
    <row r="1752">
      <c r="A1752" s="175">
        <v>30.0</v>
      </c>
      <c r="B1752" s="177" t="s">
        <v>6</v>
      </c>
      <c r="C1752" s="177" t="s">
        <v>414</v>
      </c>
      <c r="D1752" s="177" t="s">
        <v>213</v>
      </c>
      <c r="E1752" s="177" t="s">
        <v>135</v>
      </c>
      <c r="F1752" s="177" t="s">
        <v>136</v>
      </c>
      <c r="G1752" s="177" t="s">
        <v>3027</v>
      </c>
      <c r="H1752" s="177" t="s">
        <v>3024</v>
      </c>
      <c r="L1752" s="17" t="s">
        <v>254</v>
      </c>
    </row>
    <row r="1753">
      <c r="A1753" s="175">
        <v>44.0</v>
      </c>
      <c r="B1753" s="176" t="s">
        <v>6</v>
      </c>
      <c r="C1753" s="176" t="s">
        <v>560</v>
      </c>
      <c r="D1753" s="176" t="s">
        <v>213</v>
      </c>
      <c r="E1753" s="176" t="s">
        <v>135</v>
      </c>
      <c r="F1753" s="176" t="s">
        <v>136</v>
      </c>
      <c r="G1753" s="176" t="s">
        <v>3057</v>
      </c>
      <c r="H1753" s="176" t="s">
        <v>3024</v>
      </c>
      <c r="L1753" s="17" t="s">
        <v>254</v>
      </c>
    </row>
    <row r="1754">
      <c r="A1754" s="175">
        <v>47.0</v>
      </c>
      <c r="B1754" s="176" t="s">
        <v>7</v>
      </c>
      <c r="C1754" s="176" t="s">
        <v>513</v>
      </c>
      <c r="D1754" s="176" t="s">
        <v>213</v>
      </c>
      <c r="E1754" s="176" t="s">
        <v>135</v>
      </c>
      <c r="F1754" s="176" t="s">
        <v>136</v>
      </c>
      <c r="G1754" s="176" t="s">
        <v>3057</v>
      </c>
      <c r="H1754" s="176" t="s">
        <v>3067</v>
      </c>
      <c r="L1754" s="17" t="s">
        <v>254</v>
      </c>
    </row>
    <row r="1755">
      <c r="A1755" s="175">
        <v>48.0</v>
      </c>
      <c r="B1755" s="176" t="s">
        <v>6</v>
      </c>
      <c r="C1755" s="176" t="s">
        <v>987</v>
      </c>
      <c r="D1755" s="176" t="s">
        <v>213</v>
      </c>
      <c r="E1755" s="176" t="s">
        <v>135</v>
      </c>
      <c r="F1755" s="176" t="s">
        <v>136</v>
      </c>
      <c r="G1755" s="176" t="s">
        <v>137</v>
      </c>
      <c r="H1755" s="176" t="s">
        <v>185</v>
      </c>
      <c r="L1755" s="17" t="s">
        <v>254</v>
      </c>
    </row>
    <row r="1756">
      <c r="A1756" s="175">
        <v>81.0</v>
      </c>
      <c r="B1756" s="176" t="s">
        <v>6</v>
      </c>
      <c r="C1756" s="176" t="s">
        <v>3126</v>
      </c>
      <c r="D1756" s="176" t="s">
        <v>213</v>
      </c>
      <c r="E1756" s="176" t="s">
        <v>136</v>
      </c>
      <c r="F1756" s="176" t="s">
        <v>136</v>
      </c>
      <c r="G1756" s="176" t="s">
        <v>3100</v>
      </c>
      <c r="H1756" s="176" t="s">
        <v>3022</v>
      </c>
      <c r="L1756" s="17" t="s">
        <v>254</v>
      </c>
    </row>
    <row r="1757">
      <c r="A1757" s="175">
        <v>91.0</v>
      </c>
      <c r="B1757" s="177" t="s">
        <v>6</v>
      </c>
      <c r="C1757" s="177" t="s">
        <v>2607</v>
      </c>
      <c r="D1757" s="177" t="s">
        <v>213</v>
      </c>
      <c r="E1757" s="177" t="s">
        <v>135</v>
      </c>
      <c r="F1757" s="177" t="s">
        <v>136</v>
      </c>
      <c r="G1757" s="177" t="s">
        <v>137</v>
      </c>
      <c r="H1757" s="177" t="s">
        <v>3020</v>
      </c>
      <c r="L1757" s="17" t="s">
        <v>254</v>
      </c>
    </row>
    <row r="1758">
      <c r="A1758" s="175">
        <v>92.0</v>
      </c>
      <c r="B1758" s="177" t="s">
        <v>7</v>
      </c>
      <c r="C1758" s="177" t="s">
        <v>1398</v>
      </c>
      <c r="D1758" s="177" t="s">
        <v>213</v>
      </c>
      <c r="E1758" s="177" t="s">
        <v>135</v>
      </c>
      <c r="F1758" s="177" t="s">
        <v>136</v>
      </c>
      <c r="G1758" s="177" t="s">
        <v>137</v>
      </c>
      <c r="H1758" s="177" t="s">
        <v>3067</v>
      </c>
      <c r="L1758" s="17" t="s">
        <v>254</v>
      </c>
    </row>
    <row r="1759">
      <c r="A1759" s="175">
        <v>96.0</v>
      </c>
      <c r="B1759" s="177" t="s">
        <v>6</v>
      </c>
      <c r="C1759" s="177" t="s">
        <v>260</v>
      </c>
      <c r="D1759" s="177" t="s">
        <v>213</v>
      </c>
      <c r="E1759" s="177" t="s">
        <v>136</v>
      </c>
      <c r="F1759" s="177" t="s">
        <v>136</v>
      </c>
      <c r="G1759" s="177" t="s">
        <v>137</v>
      </c>
      <c r="H1759" s="177" t="s">
        <v>3020</v>
      </c>
      <c r="L1759" s="17" t="s">
        <v>254</v>
      </c>
    </row>
    <row r="1760">
      <c r="A1760" s="175">
        <v>97.0</v>
      </c>
      <c r="B1760" s="176" t="s">
        <v>6</v>
      </c>
      <c r="C1760" s="176" t="s">
        <v>1398</v>
      </c>
      <c r="D1760" s="176" t="s">
        <v>213</v>
      </c>
      <c r="E1760" s="176" t="s">
        <v>136</v>
      </c>
      <c r="F1760" s="176" t="s">
        <v>136</v>
      </c>
      <c r="G1760" s="176" t="s">
        <v>137</v>
      </c>
      <c r="H1760" s="176" t="s">
        <v>3022</v>
      </c>
      <c r="L1760" s="17" t="s">
        <v>254</v>
      </c>
    </row>
    <row r="1761">
      <c r="A1761" s="175">
        <v>133.0</v>
      </c>
      <c r="B1761" s="177" t="s">
        <v>7</v>
      </c>
      <c r="C1761" s="177" t="s">
        <v>3127</v>
      </c>
      <c r="D1761" s="177" t="s">
        <v>213</v>
      </c>
      <c r="E1761" s="177" t="s">
        <v>136</v>
      </c>
      <c r="F1761" s="177" t="s">
        <v>136</v>
      </c>
      <c r="G1761" s="177" t="s">
        <v>137</v>
      </c>
      <c r="H1761" s="177" t="s">
        <v>3020</v>
      </c>
      <c r="L1761" s="17" t="s">
        <v>254</v>
      </c>
    </row>
    <row r="1762">
      <c r="A1762" s="175">
        <v>134.0</v>
      </c>
      <c r="B1762" s="176" t="s">
        <v>6</v>
      </c>
      <c r="C1762" s="176" t="s">
        <v>2097</v>
      </c>
      <c r="D1762" s="176" t="s">
        <v>213</v>
      </c>
      <c r="E1762" s="176" t="s">
        <v>136</v>
      </c>
      <c r="F1762" s="176" t="s">
        <v>136</v>
      </c>
      <c r="G1762" s="176" t="s">
        <v>3083</v>
      </c>
      <c r="H1762" s="176" t="s">
        <v>3022</v>
      </c>
      <c r="L1762" s="17" t="s">
        <v>254</v>
      </c>
    </row>
    <row r="1763">
      <c r="A1763" s="175">
        <v>139.0</v>
      </c>
      <c r="B1763" s="176" t="s">
        <v>7</v>
      </c>
      <c r="C1763" s="176" t="s">
        <v>513</v>
      </c>
      <c r="D1763" s="176" t="s">
        <v>213</v>
      </c>
      <c r="E1763" s="176" t="s">
        <v>136</v>
      </c>
      <c r="F1763" s="176" t="s">
        <v>136</v>
      </c>
      <c r="G1763" s="176" t="s">
        <v>3057</v>
      </c>
      <c r="H1763" s="176" t="s">
        <v>3055</v>
      </c>
      <c r="L1763" s="17" t="s">
        <v>254</v>
      </c>
    </row>
    <row r="1764">
      <c r="A1764" s="175">
        <v>144.0</v>
      </c>
      <c r="B1764" s="176" t="s">
        <v>7</v>
      </c>
      <c r="C1764" s="176" t="s">
        <v>1781</v>
      </c>
      <c r="D1764" s="176" t="s">
        <v>213</v>
      </c>
      <c r="E1764" s="176" t="s">
        <v>136</v>
      </c>
      <c r="F1764" s="176" t="s">
        <v>136</v>
      </c>
      <c r="G1764" s="176" t="s">
        <v>3021</v>
      </c>
      <c r="H1764" s="176" t="s">
        <v>3026</v>
      </c>
      <c r="L1764" s="17" t="s">
        <v>254</v>
      </c>
    </row>
    <row r="1765">
      <c r="A1765" s="175">
        <v>153.0</v>
      </c>
      <c r="B1765" s="176" t="s">
        <v>7</v>
      </c>
      <c r="C1765" s="176" t="s">
        <v>414</v>
      </c>
      <c r="D1765" s="176" t="s">
        <v>213</v>
      </c>
      <c r="E1765" s="176" t="s">
        <v>136</v>
      </c>
      <c r="F1765" s="176" t="s">
        <v>136</v>
      </c>
      <c r="G1765" s="176" t="s">
        <v>3083</v>
      </c>
      <c r="H1765" s="176" t="s">
        <v>3022</v>
      </c>
      <c r="L1765" s="17" t="s">
        <v>254</v>
      </c>
    </row>
    <row r="1766">
      <c r="A1766" s="175">
        <v>173.0</v>
      </c>
      <c r="B1766" s="176" t="s">
        <v>6</v>
      </c>
      <c r="C1766" s="176" t="s">
        <v>3128</v>
      </c>
      <c r="D1766" s="176" t="s">
        <v>213</v>
      </c>
      <c r="E1766" s="176" t="s">
        <v>136</v>
      </c>
      <c r="F1766" s="176" t="s">
        <v>136</v>
      </c>
      <c r="G1766" s="176" t="s">
        <v>3057</v>
      </c>
      <c r="H1766" s="176" t="s">
        <v>3022</v>
      </c>
      <c r="L1766" s="17" t="s">
        <v>254</v>
      </c>
    </row>
    <row r="1767">
      <c r="A1767" s="175">
        <v>179.0</v>
      </c>
      <c r="B1767" s="176" t="s">
        <v>6</v>
      </c>
      <c r="C1767" s="176" t="s">
        <v>3129</v>
      </c>
      <c r="D1767" s="176" t="s">
        <v>213</v>
      </c>
      <c r="E1767" s="176" t="s">
        <v>136</v>
      </c>
      <c r="F1767" s="176" t="s">
        <v>136</v>
      </c>
      <c r="G1767" s="176" t="s">
        <v>3021</v>
      </c>
      <c r="H1767" s="176" t="s">
        <v>3022</v>
      </c>
      <c r="L1767" s="17" t="s">
        <v>254</v>
      </c>
    </row>
    <row r="1768">
      <c r="A1768" s="175">
        <v>207.0</v>
      </c>
      <c r="B1768" s="176" t="s">
        <v>7</v>
      </c>
      <c r="C1768" s="176" t="s">
        <v>3130</v>
      </c>
      <c r="D1768" s="176" t="s">
        <v>213</v>
      </c>
      <c r="E1768" s="176" t="s">
        <v>135</v>
      </c>
      <c r="F1768" s="176" t="s">
        <v>136</v>
      </c>
      <c r="G1768" s="176" t="s">
        <v>3131</v>
      </c>
      <c r="H1768" s="176" t="s">
        <v>3024</v>
      </c>
      <c r="L1768" s="17" t="s">
        <v>254</v>
      </c>
    </row>
    <row r="1769">
      <c r="A1769" s="175">
        <v>208.0</v>
      </c>
      <c r="B1769" s="176" t="s">
        <v>6</v>
      </c>
      <c r="C1769" s="176" t="s">
        <v>319</v>
      </c>
      <c r="D1769" s="176" t="s">
        <v>213</v>
      </c>
      <c r="E1769" s="176" t="s">
        <v>136</v>
      </c>
      <c r="F1769" s="176" t="s">
        <v>136</v>
      </c>
      <c r="G1769" s="176" t="s">
        <v>3057</v>
      </c>
      <c r="H1769" s="176" t="s">
        <v>3022</v>
      </c>
      <c r="L1769" s="17" t="s">
        <v>254</v>
      </c>
    </row>
    <row r="1770">
      <c r="A1770" s="175">
        <v>210.0</v>
      </c>
      <c r="B1770" s="176" t="s">
        <v>7</v>
      </c>
      <c r="C1770" s="176" t="s">
        <v>3132</v>
      </c>
      <c r="D1770" s="176" t="s">
        <v>213</v>
      </c>
      <c r="E1770" s="176" t="s">
        <v>136</v>
      </c>
      <c r="F1770" s="176" t="s">
        <v>136</v>
      </c>
      <c r="G1770" s="176" t="s">
        <v>137</v>
      </c>
      <c r="H1770" s="176" t="s">
        <v>3022</v>
      </c>
      <c r="L1770" s="17" t="s">
        <v>254</v>
      </c>
    </row>
    <row r="1771">
      <c r="A1771" s="175">
        <v>216.0</v>
      </c>
      <c r="B1771" s="176" t="s">
        <v>7</v>
      </c>
      <c r="C1771" s="176" t="s">
        <v>3133</v>
      </c>
      <c r="D1771" s="176" t="s">
        <v>213</v>
      </c>
      <c r="E1771" s="176" t="s">
        <v>135</v>
      </c>
      <c r="F1771" s="176" t="s">
        <v>135</v>
      </c>
      <c r="G1771" s="176" t="s">
        <v>3134</v>
      </c>
      <c r="H1771" s="176" t="s">
        <v>3024</v>
      </c>
      <c r="L1771" s="17" t="s">
        <v>254</v>
      </c>
    </row>
    <row r="1772">
      <c r="A1772" s="175">
        <v>221.0</v>
      </c>
      <c r="B1772" s="176" t="s">
        <v>6</v>
      </c>
      <c r="C1772" s="176" t="s">
        <v>3135</v>
      </c>
      <c r="D1772" s="176" t="s">
        <v>213</v>
      </c>
      <c r="E1772" s="176" t="s">
        <v>135</v>
      </c>
      <c r="F1772" s="176" t="s">
        <v>136</v>
      </c>
      <c r="G1772" s="176" t="s">
        <v>3021</v>
      </c>
      <c r="H1772" s="176" t="s">
        <v>3020</v>
      </c>
      <c r="L1772" s="17" t="s">
        <v>254</v>
      </c>
    </row>
    <row r="1773">
      <c r="A1773" s="175">
        <v>239.0</v>
      </c>
      <c r="B1773" s="176" t="s">
        <v>7</v>
      </c>
      <c r="C1773" s="176" t="s">
        <v>853</v>
      </c>
      <c r="D1773" s="176" t="s">
        <v>213</v>
      </c>
      <c r="E1773" s="176" t="s">
        <v>136</v>
      </c>
      <c r="F1773" s="176" t="s">
        <v>136</v>
      </c>
      <c r="G1773" s="176" t="s">
        <v>3083</v>
      </c>
      <c r="H1773" s="176" t="s">
        <v>3020</v>
      </c>
      <c r="L1773" s="17" t="s">
        <v>254</v>
      </c>
    </row>
    <row r="1774">
      <c r="A1774" s="175">
        <v>245.0</v>
      </c>
      <c r="B1774" s="176" t="s">
        <v>7</v>
      </c>
      <c r="C1774" s="176" t="s">
        <v>3136</v>
      </c>
      <c r="D1774" s="176" t="s">
        <v>213</v>
      </c>
      <c r="E1774" s="176" t="s">
        <v>136</v>
      </c>
      <c r="F1774" s="176" t="s">
        <v>136</v>
      </c>
      <c r="G1774" s="176" t="s">
        <v>3071</v>
      </c>
      <c r="H1774" s="176" t="s">
        <v>3055</v>
      </c>
      <c r="L1774" s="17" t="s">
        <v>254</v>
      </c>
    </row>
    <row r="1775">
      <c r="A1775" s="175">
        <v>251.0</v>
      </c>
      <c r="B1775" s="176" t="s">
        <v>7</v>
      </c>
      <c r="C1775" s="176" t="s">
        <v>329</v>
      </c>
      <c r="D1775" s="176" t="s">
        <v>213</v>
      </c>
      <c r="E1775" s="176" t="s">
        <v>135</v>
      </c>
      <c r="F1775" s="176" t="s">
        <v>136</v>
      </c>
      <c r="G1775" s="176" t="s">
        <v>3057</v>
      </c>
      <c r="H1775" s="176" t="s">
        <v>3024</v>
      </c>
      <c r="L1775" s="17" t="s">
        <v>254</v>
      </c>
    </row>
    <row r="1776">
      <c r="A1776" s="175">
        <v>257.0</v>
      </c>
      <c r="B1776" s="177" t="s">
        <v>7</v>
      </c>
      <c r="C1776" s="177" t="s">
        <v>3136</v>
      </c>
      <c r="D1776" s="177" t="s">
        <v>213</v>
      </c>
      <c r="E1776" s="177" t="s">
        <v>136</v>
      </c>
      <c r="F1776" s="177" t="s">
        <v>136</v>
      </c>
      <c r="G1776" s="177" t="s">
        <v>3057</v>
      </c>
      <c r="H1776" s="177" t="s">
        <v>3020</v>
      </c>
      <c r="L1776" s="17" t="s">
        <v>254</v>
      </c>
    </row>
    <row r="1777">
      <c r="A1777" s="175">
        <v>284.0</v>
      </c>
      <c r="B1777" s="176" t="s">
        <v>6</v>
      </c>
      <c r="C1777" s="176" t="s">
        <v>1781</v>
      </c>
      <c r="D1777" s="176" t="s">
        <v>213</v>
      </c>
      <c r="E1777" s="176" t="s">
        <v>136</v>
      </c>
      <c r="F1777" s="176" t="s">
        <v>136</v>
      </c>
      <c r="G1777" s="176" t="s">
        <v>3057</v>
      </c>
      <c r="H1777" s="176" t="s">
        <v>3022</v>
      </c>
      <c r="L1777" s="17" t="s">
        <v>254</v>
      </c>
    </row>
    <row r="1778">
      <c r="A1778" s="175">
        <v>296.0</v>
      </c>
      <c r="B1778" s="176" t="s">
        <v>6</v>
      </c>
      <c r="C1778" s="176" t="s">
        <v>513</v>
      </c>
      <c r="D1778" s="176" t="s">
        <v>213</v>
      </c>
      <c r="E1778" s="176" t="s">
        <v>135</v>
      </c>
      <c r="F1778" s="176" t="s">
        <v>136</v>
      </c>
      <c r="G1778" s="176" t="s">
        <v>137</v>
      </c>
      <c r="H1778" s="176" t="s">
        <v>3024</v>
      </c>
      <c r="L1778" s="17" t="s">
        <v>254</v>
      </c>
    </row>
    <row r="1779">
      <c r="A1779" s="175">
        <v>130.0</v>
      </c>
      <c r="B1779" s="177" t="s">
        <v>6</v>
      </c>
      <c r="C1779" s="177" t="s">
        <v>3137</v>
      </c>
      <c r="D1779" s="177" t="s">
        <v>352</v>
      </c>
      <c r="E1779" s="177" t="s">
        <v>135</v>
      </c>
      <c r="F1779" s="177" t="s">
        <v>136</v>
      </c>
      <c r="G1779" s="177" t="s">
        <v>137</v>
      </c>
      <c r="H1779" s="177" t="s">
        <v>3020</v>
      </c>
      <c r="L1779" s="17" t="s">
        <v>254</v>
      </c>
    </row>
    <row r="1780">
      <c r="A1780" s="175">
        <v>259.0</v>
      </c>
      <c r="B1780" s="177" t="s">
        <v>6</v>
      </c>
      <c r="C1780" s="177" t="s">
        <v>1979</v>
      </c>
      <c r="D1780" s="177" t="s">
        <v>290</v>
      </c>
      <c r="E1780" s="177" t="s">
        <v>135</v>
      </c>
      <c r="F1780" s="177" t="s">
        <v>136</v>
      </c>
      <c r="G1780" s="177" t="s">
        <v>3116</v>
      </c>
      <c r="H1780" s="177" t="s">
        <v>3024</v>
      </c>
      <c r="L1780" s="17" t="s">
        <v>254</v>
      </c>
    </row>
    <row r="1781">
      <c r="A1781" s="175">
        <v>107.0</v>
      </c>
      <c r="B1781" s="177" t="s">
        <v>6</v>
      </c>
      <c r="C1781" s="177" t="s">
        <v>3138</v>
      </c>
      <c r="D1781" s="177" t="s">
        <v>243</v>
      </c>
      <c r="E1781" s="177" t="s">
        <v>135</v>
      </c>
      <c r="F1781" s="177" t="s">
        <v>136</v>
      </c>
      <c r="G1781" s="177" t="s">
        <v>137</v>
      </c>
      <c r="H1781" s="177" t="s">
        <v>3020</v>
      </c>
      <c r="L1781" s="17" t="s">
        <v>254</v>
      </c>
    </row>
    <row r="1782">
      <c r="A1782" s="175">
        <v>249.0</v>
      </c>
      <c r="B1782" s="177" t="s">
        <v>6</v>
      </c>
      <c r="C1782" s="177" t="s">
        <v>3139</v>
      </c>
      <c r="D1782" s="177" t="s">
        <v>243</v>
      </c>
      <c r="E1782" s="177" t="s">
        <v>136</v>
      </c>
      <c r="F1782" s="177" t="s">
        <v>135</v>
      </c>
      <c r="G1782" s="177" t="s">
        <v>3140</v>
      </c>
      <c r="H1782" s="177" t="s">
        <v>185</v>
      </c>
      <c r="L1782" s="17" t="s">
        <v>254</v>
      </c>
    </row>
    <row r="1783">
      <c r="A1783" s="175">
        <v>10.0</v>
      </c>
      <c r="B1783" s="176" t="s">
        <v>6</v>
      </c>
      <c r="C1783" s="176" t="s">
        <v>3141</v>
      </c>
      <c r="D1783" s="176" t="s">
        <v>353</v>
      </c>
      <c r="E1783" s="176" t="s">
        <v>135</v>
      </c>
      <c r="F1783" s="176" t="s">
        <v>136</v>
      </c>
      <c r="G1783" s="176" t="s">
        <v>3083</v>
      </c>
      <c r="H1783" s="176" t="s">
        <v>3024</v>
      </c>
      <c r="L1783" s="17" t="s">
        <v>254</v>
      </c>
    </row>
    <row r="1784">
      <c r="A1784" s="175">
        <v>54.0</v>
      </c>
      <c r="B1784" s="177" t="s">
        <v>7</v>
      </c>
      <c r="C1784" s="177" t="s">
        <v>3142</v>
      </c>
      <c r="D1784" s="177" t="s">
        <v>353</v>
      </c>
      <c r="E1784" s="177" t="s">
        <v>136</v>
      </c>
      <c r="F1784" s="177" t="s">
        <v>136</v>
      </c>
      <c r="G1784" s="177" t="s">
        <v>3081</v>
      </c>
      <c r="H1784" s="177" t="s">
        <v>3026</v>
      </c>
      <c r="L1784" s="17" t="s">
        <v>254</v>
      </c>
    </row>
    <row r="1785">
      <c r="A1785" s="175">
        <v>59.0</v>
      </c>
      <c r="B1785" s="176" t="s">
        <v>6</v>
      </c>
      <c r="C1785" s="176" t="s">
        <v>3142</v>
      </c>
      <c r="D1785" s="176" t="s">
        <v>353</v>
      </c>
      <c r="E1785" s="176" t="s">
        <v>136</v>
      </c>
      <c r="F1785" s="176" t="s">
        <v>136</v>
      </c>
      <c r="G1785" s="176" t="s">
        <v>137</v>
      </c>
      <c r="H1785" s="176" t="s">
        <v>3026</v>
      </c>
      <c r="L1785" s="17" t="s">
        <v>254</v>
      </c>
    </row>
    <row r="1786">
      <c r="A1786" s="175">
        <v>190.0</v>
      </c>
      <c r="B1786" s="176" t="s">
        <v>6</v>
      </c>
      <c r="C1786" s="176" t="s">
        <v>3143</v>
      </c>
      <c r="D1786" s="176" t="s">
        <v>353</v>
      </c>
      <c r="E1786" s="176" t="s">
        <v>136</v>
      </c>
      <c r="F1786" s="176" t="s">
        <v>136</v>
      </c>
      <c r="G1786" s="176" t="s">
        <v>137</v>
      </c>
      <c r="H1786" s="176" t="s">
        <v>3022</v>
      </c>
      <c r="L1786" s="17" t="s">
        <v>254</v>
      </c>
    </row>
    <row r="1787">
      <c r="A1787" s="175">
        <v>282.0</v>
      </c>
      <c r="B1787" s="177" t="s">
        <v>7</v>
      </c>
      <c r="C1787" s="177" t="s">
        <v>3012</v>
      </c>
      <c r="D1787" s="177" t="s">
        <v>153</v>
      </c>
      <c r="E1787" s="177" t="s">
        <v>135</v>
      </c>
      <c r="F1787" s="177" t="s">
        <v>136</v>
      </c>
      <c r="G1787" s="177" t="s">
        <v>3057</v>
      </c>
      <c r="H1787" s="177" t="s">
        <v>3067</v>
      </c>
      <c r="L1787" s="17" t="s">
        <v>254</v>
      </c>
    </row>
    <row r="1788">
      <c r="A1788" s="175">
        <v>20.0</v>
      </c>
      <c r="B1788" s="177" t="s">
        <v>6</v>
      </c>
      <c r="C1788" s="177" t="s">
        <v>3144</v>
      </c>
      <c r="D1788" s="177" t="s">
        <v>143</v>
      </c>
      <c r="E1788" s="177" t="s">
        <v>136</v>
      </c>
      <c r="F1788" s="177" t="s">
        <v>136</v>
      </c>
      <c r="G1788" s="177" t="s">
        <v>3145</v>
      </c>
      <c r="H1788" s="177" t="s">
        <v>3055</v>
      </c>
      <c r="L1788" s="17" t="s">
        <v>254</v>
      </c>
    </row>
    <row r="1789">
      <c r="A1789" s="175">
        <v>171.0</v>
      </c>
      <c r="B1789" s="177" t="s">
        <v>6</v>
      </c>
      <c r="C1789" s="177" t="s">
        <v>338</v>
      </c>
      <c r="D1789" s="177" t="s">
        <v>143</v>
      </c>
      <c r="E1789" s="177" t="s">
        <v>136</v>
      </c>
      <c r="F1789" s="177" t="s">
        <v>136</v>
      </c>
      <c r="G1789" s="177" t="s">
        <v>3021</v>
      </c>
      <c r="H1789" s="177" t="s">
        <v>3026</v>
      </c>
      <c r="L1789" s="17" t="s">
        <v>254</v>
      </c>
    </row>
    <row r="1790">
      <c r="A1790" s="175">
        <v>2.0</v>
      </c>
      <c r="B1790" s="177" t="s">
        <v>7</v>
      </c>
      <c r="C1790" s="177" t="s">
        <v>1492</v>
      </c>
      <c r="D1790" s="177" t="s">
        <v>143</v>
      </c>
      <c r="E1790" s="177" t="s">
        <v>135</v>
      </c>
      <c r="F1790" s="177" t="s">
        <v>136</v>
      </c>
      <c r="G1790" s="177" t="s">
        <v>137</v>
      </c>
      <c r="H1790" s="177" t="s">
        <v>185</v>
      </c>
      <c r="L1790" s="17" t="s">
        <v>254</v>
      </c>
    </row>
    <row r="1791">
      <c r="A1791" s="175">
        <v>28.0</v>
      </c>
      <c r="B1791" s="177" t="s">
        <v>7</v>
      </c>
      <c r="C1791" s="177" t="s">
        <v>338</v>
      </c>
      <c r="D1791" s="177" t="s">
        <v>143</v>
      </c>
      <c r="E1791" s="177" t="s">
        <v>136</v>
      </c>
      <c r="F1791" s="177" t="s">
        <v>136</v>
      </c>
      <c r="G1791" s="177" t="s">
        <v>137</v>
      </c>
      <c r="H1791" s="177" t="s">
        <v>3020</v>
      </c>
      <c r="L1791" s="17" t="s">
        <v>254</v>
      </c>
    </row>
    <row r="1792">
      <c r="A1792" s="175">
        <v>36.0</v>
      </c>
      <c r="B1792" s="176" t="s">
        <v>6</v>
      </c>
      <c r="C1792" s="176" t="s">
        <v>463</v>
      </c>
      <c r="D1792" s="176" t="s">
        <v>143</v>
      </c>
      <c r="E1792" s="176" t="s">
        <v>136</v>
      </c>
      <c r="F1792" s="176" t="s">
        <v>136</v>
      </c>
      <c r="G1792" s="176" t="s">
        <v>3146</v>
      </c>
      <c r="H1792" s="176" t="s">
        <v>3026</v>
      </c>
      <c r="L1792" s="17" t="s">
        <v>254</v>
      </c>
    </row>
    <row r="1793">
      <c r="A1793" s="175">
        <v>37.0</v>
      </c>
      <c r="B1793" s="177" t="s">
        <v>6</v>
      </c>
      <c r="C1793" s="177" t="s">
        <v>338</v>
      </c>
      <c r="D1793" s="177" t="s">
        <v>143</v>
      </c>
      <c r="E1793" s="177" t="s">
        <v>136</v>
      </c>
      <c r="F1793" s="177" t="s">
        <v>136</v>
      </c>
      <c r="G1793" s="177" t="s">
        <v>3021</v>
      </c>
      <c r="H1793" s="177" t="s">
        <v>3026</v>
      </c>
      <c r="L1793" s="17" t="s">
        <v>254</v>
      </c>
    </row>
    <row r="1794">
      <c r="A1794" s="175">
        <v>41.0</v>
      </c>
      <c r="B1794" s="176" t="s">
        <v>7</v>
      </c>
      <c r="C1794" s="176" t="s">
        <v>2791</v>
      </c>
      <c r="D1794" s="176" t="s">
        <v>143</v>
      </c>
      <c r="E1794" s="176" t="s">
        <v>135</v>
      </c>
      <c r="F1794" s="176" t="s">
        <v>136</v>
      </c>
      <c r="G1794" s="176" t="s">
        <v>137</v>
      </c>
      <c r="H1794" s="176" t="s">
        <v>3020</v>
      </c>
      <c r="L1794" s="17" t="s">
        <v>254</v>
      </c>
    </row>
    <row r="1795">
      <c r="A1795" s="175">
        <v>49.0</v>
      </c>
      <c r="B1795" s="176" t="s">
        <v>6</v>
      </c>
      <c r="C1795" s="176" t="s">
        <v>3147</v>
      </c>
      <c r="D1795" s="176" t="s">
        <v>143</v>
      </c>
      <c r="E1795" s="176" t="s">
        <v>135</v>
      </c>
      <c r="F1795" s="176" t="s">
        <v>136</v>
      </c>
      <c r="G1795" s="176" t="s">
        <v>3145</v>
      </c>
      <c r="H1795" s="176" t="s">
        <v>3024</v>
      </c>
      <c r="L1795" s="17" t="s">
        <v>254</v>
      </c>
    </row>
    <row r="1796">
      <c r="A1796" s="175">
        <v>66.0</v>
      </c>
      <c r="B1796" s="176" t="s">
        <v>6</v>
      </c>
      <c r="C1796" s="176" t="s">
        <v>338</v>
      </c>
      <c r="D1796" s="176" t="s">
        <v>143</v>
      </c>
      <c r="E1796" s="176" t="s">
        <v>136</v>
      </c>
      <c r="F1796" s="176" t="s">
        <v>136</v>
      </c>
      <c r="G1796" s="176" t="s">
        <v>3148</v>
      </c>
      <c r="H1796" s="176" t="s">
        <v>3020</v>
      </c>
      <c r="L1796" s="17" t="s">
        <v>254</v>
      </c>
    </row>
    <row r="1797">
      <c r="A1797" s="175">
        <v>68.0</v>
      </c>
      <c r="B1797" s="177" t="s">
        <v>6</v>
      </c>
      <c r="C1797" s="177" t="s">
        <v>338</v>
      </c>
      <c r="D1797" s="176" t="s">
        <v>143</v>
      </c>
      <c r="E1797" s="177" t="s">
        <v>136</v>
      </c>
      <c r="F1797" s="177" t="s">
        <v>136</v>
      </c>
      <c r="G1797" s="177" t="s">
        <v>3021</v>
      </c>
      <c r="H1797" s="177" t="s">
        <v>3026</v>
      </c>
      <c r="L1797" s="17" t="s">
        <v>254</v>
      </c>
    </row>
    <row r="1798">
      <c r="A1798" s="175">
        <v>70.0</v>
      </c>
      <c r="B1798" s="176" t="s">
        <v>7</v>
      </c>
      <c r="C1798" s="176" t="s">
        <v>338</v>
      </c>
      <c r="D1798" s="176" t="s">
        <v>143</v>
      </c>
      <c r="E1798" s="176" t="s">
        <v>136</v>
      </c>
      <c r="F1798" s="176" t="s">
        <v>136</v>
      </c>
      <c r="G1798" s="176" t="s">
        <v>137</v>
      </c>
      <c r="H1798" s="176" t="s">
        <v>3020</v>
      </c>
      <c r="L1798" s="17" t="s">
        <v>254</v>
      </c>
    </row>
    <row r="1799">
      <c r="A1799" s="175">
        <v>83.0</v>
      </c>
      <c r="B1799" s="176" t="s">
        <v>7</v>
      </c>
      <c r="C1799" s="176" t="s">
        <v>338</v>
      </c>
      <c r="D1799" s="176" t="s">
        <v>143</v>
      </c>
      <c r="E1799" s="176" t="s">
        <v>136</v>
      </c>
      <c r="F1799" s="176" t="s">
        <v>136</v>
      </c>
      <c r="G1799" s="176" t="s">
        <v>137</v>
      </c>
      <c r="H1799" s="176" t="s">
        <v>3022</v>
      </c>
      <c r="L1799" s="17" t="s">
        <v>254</v>
      </c>
    </row>
    <row r="1800">
      <c r="A1800" s="175">
        <v>93.0</v>
      </c>
      <c r="B1800" s="177" t="s">
        <v>3111</v>
      </c>
      <c r="C1800" s="177" t="s">
        <v>338</v>
      </c>
      <c r="D1800" s="177" t="s">
        <v>143</v>
      </c>
      <c r="E1800" s="177" t="s">
        <v>136</v>
      </c>
      <c r="F1800" s="177" t="s">
        <v>136</v>
      </c>
      <c r="G1800" s="177" t="s">
        <v>3117</v>
      </c>
      <c r="H1800" s="177" t="s">
        <v>3026</v>
      </c>
      <c r="L1800" s="17" t="s">
        <v>254</v>
      </c>
    </row>
    <row r="1801">
      <c r="A1801" s="175">
        <v>102.0</v>
      </c>
      <c r="B1801" s="177" t="s">
        <v>6</v>
      </c>
      <c r="C1801" s="177" t="s">
        <v>3149</v>
      </c>
      <c r="D1801" s="177" t="s">
        <v>143</v>
      </c>
      <c r="E1801" s="177" t="s">
        <v>136</v>
      </c>
      <c r="F1801" s="177" t="s">
        <v>136</v>
      </c>
      <c r="G1801" s="177" t="s">
        <v>137</v>
      </c>
      <c r="H1801" s="177" t="s">
        <v>3022</v>
      </c>
      <c r="L1801" s="17" t="s">
        <v>254</v>
      </c>
    </row>
    <row r="1802">
      <c r="A1802" s="175">
        <v>106.0</v>
      </c>
      <c r="B1802" s="177" t="s">
        <v>6</v>
      </c>
      <c r="C1802" s="177" t="s">
        <v>338</v>
      </c>
      <c r="D1802" s="177" t="s">
        <v>143</v>
      </c>
      <c r="E1802" s="177" t="s">
        <v>136</v>
      </c>
      <c r="F1802" s="177" t="s">
        <v>136</v>
      </c>
      <c r="G1802" s="177" t="s">
        <v>3083</v>
      </c>
      <c r="H1802" s="177" t="s">
        <v>3020</v>
      </c>
      <c r="L1802" s="17" t="s">
        <v>254</v>
      </c>
    </row>
    <row r="1803">
      <c r="A1803" s="175">
        <v>167.0</v>
      </c>
      <c r="B1803" s="176" t="s">
        <v>7</v>
      </c>
      <c r="C1803" s="176" t="s">
        <v>338</v>
      </c>
      <c r="D1803" s="176" t="s">
        <v>143</v>
      </c>
      <c r="E1803" s="176" t="s">
        <v>136</v>
      </c>
      <c r="F1803" s="176" t="s">
        <v>136</v>
      </c>
      <c r="G1803" s="176" t="s">
        <v>3057</v>
      </c>
      <c r="H1803" s="176" t="s">
        <v>3022</v>
      </c>
      <c r="L1803" s="17" t="s">
        <v>254</v>
      </c>
    </row>
    <row r="1804">
      <c r="A1804" s="175">
        <v>170.0</v>
      </c>
      <c r="B1804" s="176" t="s">
        <v>6</v>
      </c>
      <c r="C1804" s="176" t="s">
        <v>338</v>
      </c>
      <c r="D1804" s="176" t="s">
        <v>143</v>
      </c>
      <c r="E1804" s="176" t="s">
        <v>136</v>
      </c>
      <c r="F1804" s="176" t="s">
        <v>136</v>
      </c>
      <c r="G1804" s="176" t="s">
        <v>3027</v>
      </c>
      <c r="H1804" s="176" t="s">
        <v>3065</v>
      </c>
      <c r="L1804" s="17" t="s">
        <v>254</v>
      </c>
    </row>
    <row r="1805">
      <c r="A1805" s="175">
        <v>174.0</v>
      </c>
      <c r="B1805" s="176" t="s">
        <v>7</v>
      </c>
      <c r="C1805" s="176" t="s">
        <v>338</v>
      </c>
      <c r="D1805" s="176" t="s">
        <v>143</v>
      </c>
      <c r="E1805" s="176" t="s">
        <v>136</v>
      </c>
      <c r="F1805" s="176" t="s">
        <v>136</v>
      </c>
      <c r="G1805" s="176" t="s">
        <v>137</v>
      </c>
      <c r="H1805" s="176" t="s">
        <v>3022</v>
      </c>
      <c r="L1805" s="17" t="s">
        <v>254</v>
      </c>
    </row>
    <row r="1806">
      <c r="A1806" s="175">
        <v>176.0</v>
      </c>
      <c r="B1806" s="177" t="s">
        <v>7</v>
      </c>
      <c r="C1806" s="177" t="s">
        <v>338</v>
      </c>
      <c r="D1806" s="177" t="s">
        <v>143</v>
      </c>
      <c r="E1806" s="177" t="s">
        <v>135</v>
      </c>
      <c r="F1806" s="177" t="s">
        <v>136</v>
      </c>
      <c r="G1806" s="177" t="s">
        <v>3083</v>
      </c>
      <c r="H1806" s="177" t="s">
        <v>3020</v>
      </c>
      <c r="L1806" s="17" t="s">
        <v>254</v>
      </c>
    </row>
    <row r="1807">
      <c r="A1807" s="175">
        <v>189.0</v>
      </c>
      <c r="B1807" s="177" t="s">
        <v>7</v>
      </c>
      <c r="C1807" s="177" t="s">
        <v>3150</v>
      </c>
      <c r="D1807" s="177" t="s">
        <v>143</v>
      </c>
      <c r="E1807" s="177" t="s">
        <v>136</v>
      </c>
      <c r="F1807" s="177" t="s">
        <v>136</v>
      </c>
      <c r="G1807" s="177" t="s">
        <v>137</v>
      </c>
      <c r="H1807" s="177" t="s">
        <v>3020</v>
      </c>
      <c r="L1807" s="17" t="s">
        <v>254</v>
      </c>
    </row>
    <row r="1808">
      <c r="A1808" s="175">
        <v>196.0</v>
      </c>
      <c r="B1808" s="176" t="s">
        <v>7</v>
      </c>
      <c r="C1808" s="176" t="s">
        <v>1910</v>
      </c>
      <c r="D1808" s="176" t="s">
        <v>143</v>
      </c>
      <c r="E1808" s="176" t="s">
        <v>136</v>
      </c>
      <c r="F1808" s="176" t="s">
        <v>135</v>
      </c>
      <c r="G1808" s="176" t="s">
        <v>3037</v>
      </c>
      <c r="H1808" s="176" t="s">
        <v>3020</v>
      </c>
      <c r="L1808" s="17" t="s">
        <v>254</v>
      </c>
    </row>
    <row r="1809">
      <c r="A1809" s="175">
        <v>204.0</v>
      </c>
      <c r="B1809" s="176" t="s">
        <v>7</v>
      </c>
      <c r="C1809" s="176" t="s">
        <v>338</v>
      </c>
      <c r="D1809" s="176" t="s">
        <v>143</v>
      </c>
      <c r="E1809" s="176" t="s">
        <v>135</v>
      </c>
      <c r="F1809" s="176" t="s">
        <v>136</v>
      </c>
      <c r="G1809" s="176" t="s">
        <v>137</v>
      </c>
      <c r="H1809" s="176" t="s">
        <v>3020</v>
      </c>
      <c r="L1809" s="17" t="s">
        <v>254</v>
      </c>
    </row>
    <row r="1810">
      <c r="A1810" s="175">
        <v>212.0</v>
      </c>
      <c r="B1810" s="177" t="s">
        <v>6</v>
      </c>
      <c r="C1810" s="177" t="s">
        <v>2982</v>
      </c>
      <c r="D1810" s="177" t="s">
        <v>143</v>
      </c>
      <c r="E1810" s="177" t="s">
        <v>135</v>
      </c>
      <c r="F1810" s="177" t="s">
        <v>136</v>
      </c>
      <c r="G1810" s="177" t="s">
        <v>3151</v>
      </c>
      <c r="H1810" s="177" t="s">
        <v>3020</v>
      </c>
      <c r="L1810" s="17" t="s">
        <v>254</v>
      </c>
    </row>
    <row r="1811">
      <c r="A1811" s="175">
        <v>220.0</v>
      </c>
      <c r="B1811" s="177" t="s">
        <v>6</v>
      </c>
      <c r="C1811" s="177" t="s">
        <v>2791</v>
      </c>
      <c r="D1811" s="177" t="s">
        <v>143</v>
      </c>
      <c r="E1811" s="177" t="s">
        <v>136</v>
      </c>
      <c r="F1811" s="177" t="s">
        <v>136</v>
      </c>
      <c r="G1811" s="177" t="s">
        <v>137</v>
      </c>
      <c r="H1811" s="177" t="s">
        <v>3022</v>
      </c>
      <c r="L1811" s="17" t="s">
        <v>254</v>
      </c>
    </row>
    <row r="1812">
      <c r="A1812" s="175">
        <v>224.0</v>
      </c>
      <c r="B1812" s="177" t="s">
        <v>7</v>
      </c>
      <c r="C1812" s="177" t="s">
        <v>338</v>
      </c>
      <c r="D1812" s="177" t="s">
        <v>143</v>
      </c>
      <c r="E1812" s="177" t="s">
        <v>136</v>
      </c>
      <c r="F1812" s="177" t="s">
        <v>136</v>
      </c>
      <c r="G1812" s="177" t="s">
        <v>137</v>
      </c>
      <c r="H1812" s="177" t="s">
        <v>3022</v>
      </c>
      <c r="L1812" s="17" t="s">
        <v>254</v>
      </c>
    </row>
    <row r="1813">
      <c r="A1813" s="175">
        <v>225.0</v>
      </c>
      <c r="B1813" s="177" t="s">
        <v>6</v>
      </c>
      <c r="C1813" s="177" t="s">
        <v>463</v>
      </c>
      <c r="D1813" s="177" t="s">
        <v>143</v>
      </c>
      <c r="E1813" s="177" t="s">
        <v>136</v>
      </c>
      <c r="F1813" s="177" t="s">
        <v>136</v>
      </c>
      <c r="G1813" s="177" t="s">
        <v>3057</v>
      </c>
      <c r="H1813" s="177" t="s">
        <v>3022</v>
      </c>
      <c r="L1813" s="17" t="s">
        <v>254</v>
      </c>
    </row>
    <row r="1814">
      <c r="A1814" s="175">
        <v>227.0</v>
      </c>
      <c r="B1814" s="177" t="s">
        <v>7</v>
      </c>
      <c r="C1814" s="177" t="s">
        <v>3152</v>
      </c>
      <c r="D1814" s="177" t="s">
        <v>143</v>
      </c>
      <c r="E1814" s="177" t="s">
        <v>136</v>
      </c>
      <c r="F1814" s="177" t="s">
        <v>136</v>
      </c>
      <c r="G1814" s="177" t="s">
        <v>137</v>
      </c>
      <c r="H1814" s="177" t="s">
        <v>3022</v>
      </c>
      <c r="L1814" s="17" t="s">
        <v>254</v>
      </c>
    </row>
    <row r="1815">
      <c r="A1815" s="175">
        <v>230.0</v>
      </c>
      <c r="B1815" s="177" t="s">
        <v>7</v>
      </c>
      <c r="C1815" s="177" t="s">
        <v>142</v>
      </c>
      <c r="D1815" s="177" t="s">
        <v>143</v>
      </c>
      <c r="E1815" s="177" t="s">
        <v>136</v>
      </c>
      <c r="F1815" s="177" t="s">
        <v>136</v>
      </c>
      <c r="G1815" s="177" t="s">
        <v>3145</v>
      </c>
      <c r="H1815" s="177" t="s">
        <v>185</v>
      </c>
      <c r="L1815" s="17" t="s">
        <v>254</v>
      </c>
    </row>
    <row r="1816">
      <c r="A1816" s="175">
        <v>242.0</v>
      </c>
      <c r="B1816" s="176" t="s">
        <v>6</v>
      </c>
      <c r="C1816" s="176" t="s">
        <v>338</v>
      </c>
      <c r="D1816" s="176" t="s">
        <v>143</v>
      </c>
      <c r="E1816" s="176" t="s">
        <v>136</v>
      </c>
      <c r="F1816" s="176" t="s">
        <v>136</v>
      </c>
      <c r="G1816" s="176" t="s">
        <v>3153</v>
      </c>
      <c r="H1816" s="176" t="s">
        <v>3020</v>
      </c>
      <c r="L1816" s="17" t="s">
        <v>254</v>
      </c>
    </row>
    <row r="1817">
      <c r="A1817" s="175">
        <v>243.0</v>
      </c>
      <c r="B1817" s="177" t="s">
        <v>7</v>
      </c>
      <c r="C1817" s="177" t="s">
        <v>623</v>
      </c>
      <c r="D1817" s="177" t="s">
        <v>143</v>
      </c>
      <c r="E1817" s="177" t="s">
        <v>136</v>
      </c>
      <c r="F1817" s="177" t="s">
        <v>136</v>
      </c>
      <c r="G1817" s="177" t="s">
        <v>137</v>
      </c>
      <c r="H1817" s="177" t="s">
        <v>3022</v>
      </c>
      <c r="L1817" s="17" t="s">
        <v>254</v>
      </c>
    </row>
    <row r="1818">
      <c r="A1818" s="175">
        <v>250.0</v>
      </c>
      <c r="B1818" s="177" t="s">
        <v>7</v>
      </c>
      <c r="C1818" s="177" t="s">
        <v>1492</v>
      </c>
      <c r="D1818" s="177" t="s">
        <v>143</v>
      </c>
      <c r="E1818" s="177" t="s">
        <v>136</v>
      </c>
      <c r="F1818" s="177" t="s">
        <v>136</v>
      </c>
      <c r="G1818" s="177" t="s">
        <v>137</v>
      </c>
      <c r="H1818" s="177" t="s">
        <v>3022</v>
      </c>
      <c r="L1818" s="17" t="s">
        <v>254</v>
      </c>
    </row>
    <row r="1819">
      <c r="A1819" s="175">
        <v>252.0</v>
      </c>
      <c r="B1819" s="176" t="s">
        <v>6</v>
      </c>
      <c r="C1819" s="176" t="s">
        <v>3154</v>
      </c>
      <c r="D1819" s="176" t="s">
        <v>143</v>
      </c>
      <c r="E1819" s="176" t="s">
        <v>136</v>
      </c>
      <c r="F1819" s="176" t="s">
        <v>136</v>
      </c>
      <c r="G1819" s="176" t="s">
        <v>137</v>
      </c>
      <c r="H1819" s="176" t="s">
        <v>3026</v>
      </c>
      <c r="L1819" s="17" t="s">
        <v>254</v>
      </c>
    </row>
    <row r="1820">
      <c r="A1820" s="175">
        <v>269.0</v>
      </c>
      <c r="B1820" s="177" t="s">
        <v>6</v>
      </c>
      <c r="C1820" s="177" t="s">
        <v>3155</v>
      </c>
      <c r="D1820" s="177" t="s">
        <v>143</v>
      </c>
      <c r="E1820" s="177" t="s">
        <v>135</v>
      </c>
      <c r="F1820" s="177" t="s">
        <v>136</v>
      </c>
      <c r="G1820" s="177" t="s">
        <v>3153</v>
      </c>
      <c r="H1820" s="177" t="s">
        <v>3020</v>
      </c>
      <c r="L1820" s="17" t="s">
        <v>254</v>
      </c>
    </row>
    <row r="1821">
      <c r="A1821" s="175">
        <v>270.0</v>
      </c>
      <c r="B1821" s="176" t="s">
        <v>6</v>
      </c>
      <c r="C1821" s="176" t="s">
        <v>1094</v>
      </c>
      <c r="D1821" s="176" t="s">
        <v>143</v>
      </c>
      <c r="E1821" s="176" t="s">
        <v>135</v>
      </c>
      <c r="F1821" s="176" t="s">
        <v>136</v>
      </c>
      <c r="G1821" s="176" t="s">
        <v>3153</v>
      </c>
      <c r="H1821" s="176" t="s">
        <v>3020</v>
      </c>
      <c r="L1821" s="17" t="s">
        <v>254</v>
      </c>
    </row>
    <row r="1822">
      <c r="A1822" s="175">
        <v>281.0</v>
      </c>
      <c r="B1822" s="177" t="s">
        <v>7</v>
      </c>
      <c r="C1822" s="177" t="s">
        <v>338</v>
      </c>
      <c r="D1822" s="177" t="s">
        <v>143</v>
      </c>
      <c r="E1822" s="177" t="s">
        <v>136</v>
      </c>
      <c r="F1822" s="177" t="s">
        <v>136</v>
      </c>
      <c r="G1822" s="177" t="s">
        <v>3027</v>
      </c>
      <c r="H1822" s="177" t="s">
        <v>3020</v>
      </c>
      <c r="L1822" s="17" t="s">
        <v>254</v>
      </c>
    </row>
    <row r="1823">
      <c r="A1823" s="175">
        <v>299.0</v>
      </c>
      <c r="B1823" s="176" t="s">
        <v>6</v>
      </c>
      <c r="C1823" s="176" t="s">
        <v>338</v>
      </c>
      <c r="D1823" s="176" t="s">
        <v>143</v>
      </c>
      <c r="E1823" s="176" t="s">
        <v>135</v>
      </c>
      <c r="F1823" s="176" t="s">
        <v>136</v>
      </c>
      <c r="G1823" s="176" t="s">
        <v>3156</v>
      </c>
      <c r="H1823" s="176" t="s">
        <v>185</v>
      </c>
      <c r="L1823" s="17" t="s">
        <v>254</v>
      </c>
    </row>
    <row r="1824">
      <c r="A1824" s="175">
        <v>308.0</v>
      </c>
      <c r="B1824" s="177" t="s">
        <v>7</v>
      </c>
      <c r="C1824" s="177" t="s">
        <v>2139</v>
      </c>
      <c r="D1824" s="177" t="s">
        <v>143</v>
      </c>
      <c r="E1824" s="177" t="s">
        <v>135</v>
      </c>
      <c r="F1824" s="177" t="s">
        <v>135</v>
      </c>
      <c r="G1824" s="177" t="s">
        <v>3157</v>
      </c>
      <c r="H1824" s="177" t="s">
        <v>185</v>
      </c>
      <c r="L1824" s="17" t="s">
        <v>254</v>
      </c>
    </row>
    <row r="1825">
      <c r="A1825" s="175">
        <v>14.0</v>
      </c>
      <c r="B1825" s="176" t="s">
        <v>7</v>
      </c>
      <c r="C1825" s="176" t="s">
        <v>3158</v>
      </c>
      <c r="D1825" s="176" t="s">
        <v>164</v>
      </c>
      <c r="E1825" s="176" t="s">
        <v>136</v>
      </c>
      <c r="F1825" s="176" t="s">
        <v>136</v>
      </c>
      <c r="G1825" s="176" t="s">
        <v>137</v>
      </c>
      <c r="H1825" s="176" t="s">
        <v>185</v>
      </c>
      <c r="L1825" s="17" t="s">
        <v>254</v>
      </c>
    </row>
    <row r="1826">
      <c r="A1826" s="175">
        <v>205.0</v>
      </c>
      <c r="B1826" s="177" t="s">
        <v>6</v>
      </c>
      <c r="C1826" s="177" t="s">
        <v>3159</v>
      </c>
      <c r="D1826" s="177" t="s">
        <v>359</v>
      </c>
      <c r="E1826" s="177" t="s">
        <v>136</v>
      </c>
      <c r="F1826" s="177" t="s">
        <v>136</v>
      </c>
      <c r="G1826" s="177" t="s">
        <v>3037</v>
      </c>
      <c r="H1826" s="177" t="s">
        <v>3022</v>
      </c>
      <c r="L1826" s="17" t="s">
        <v>254</v>
      </c>
    </row>
    <row r="1827">
      <c r="A1827" s="175">
        <v>75.0</v>
      </c>
      <c r="B1827" s="176" t="s">
        <v>7</v>
      </c>
      <c r="C1827" s="176" t="s">
        <v>3160</v>
      </c>
      <c r="D1827" s="176" t="s">
        <v>302</v>
      </c>
      <c r="E1827" s="176" t="s">
        <v>136</v>
      </c>
      <c r="F1827" s="176" t="s">
        <v>136</v>
      </c>
      <c r="G1827" s="176" t="s">
        <v>137</v>
      </c>
      <c r="H1827" s="176" t="s">
        <v>3055</v>
      </c>
      <c r="L1827" s="17" t="s">
        <v>254</v>
      </c>
    </row>
    <row r="1828">
      <c r="A1828" s="175">
        <v>4.0</v>
      </c>
      <c r="B1828" s="177" t="s">
        <v>3111</v>
      </c>
      <c r="C1828" s="177" t="s">
        <v>3161</v>
      </c>
      <c r="D1828" s="177" t="s">
        <v>274</v>
      </c>
      <c r="E1828" s="177" t="s">
        <v>136</v>
      </c>
      <c r="F1828" s="177" t="s">
        <v>136</v>
      </c>
      <c r="G1828" s="177" t="s">
        <v>137</v>
      </c>
      <c r="H1828" s="177" t="s">
        <v>3020</v>
      </c>
      <c r="L1828" s="17" t="s">
        <v>254</v>
      </c>
    </row>
    <row r="1829">
      <c r="A1829" s="175">
        <v>64.0</v>
      </c>
      <c r="B1829" s="176" t="s">
        <v>6</v>
      </c>
      <c r="C1829" s="176" t="s">
        <v>3161</v>
      </c>
      <c r="D1829" s="176" t="s">
        <v>274</v>
      </c>
      <c r="E1829" s="176" t="s">
        <v>136</v>
      </c>
      <c r="F1829" s="176" t="s">
        <v>136</v>
      </c>
      <c r="G1829" s="176" t="s">
        <v>3057</v>
      </c>
      <c r="H1829" s="176" t="s">
        <v>3055</v>
      </c>
      <c r="L1829" s="17" t="s">
        <v>254</v>
      </c>
    </row>
    <row r="1830">
      <c r="A1830" s="175">
        <v>217.0</v>
      </c>
      <c r="B1830" s="177" t="s">
        <v>7</v>
      </c>
      <c r="C1830" s="177" t="s">
        <v>3162</v>
      </c>
      <c r="D1830" s="177" t="s">
        <v>313</v>
      </c>
      <c r="E1830" s="177" t="s">
        <v>136</v>
      </c>
      <c r="F1830" s="177" t="s">
        <v>136</v>
      </c>
      <c r="G1830" s="177" t="s">
        <v>3163</v>
      </c>
      <c r="H1830" s="177" t="s">
        <v>3026</v>
      </c>
      <c r="L1830" s="17" t="s">
        <v>254</v>
      </c>
    </row>
    <row r="1831">
      <c r="A1831" s="175">
        <v>158.0</v>
      </c>
      <c r="B1831" s="176" t="s">
        <v>7</v>
      </c>
      <c r="C1831" s="176" t="s">
        <v>3162</v>
      </c>
      <c r="D1831" s="176" t="s">
        <v>313</v>
      </c>
      <c r="E1831" s="176" t="s">
        <v>135</v>
      </c>
      <c r="F1831" s="176" t="s">
        <v>136</v>
      </c>
      <c r="G1831" s="176" t="s">
        <v>3164</v>
      </c>
      <c r="H1831" s="176" t="s">
        <v>3026</v>
      </c>
      <c r="L1831" s="17" t="s">
        <v>254</v>
      </c>
    </row>
    <row r="1832">
      <c r="A1832" s="175">
        <v>122.0</v>
      </c>
      <c r="B1832" s="177" t="s">
        <v>7</v>
      </c>
      <c r="C1832" s="177" t="s">
        <v>1791</v>
      </c>
      <c r="D1832" s="177" t="s">
        <v>291</v>
      </c>
      <c r="E1832" s="177" t="s">
        <v>136</v>
      </c>
      <c r="F1832" s="177" t="s">
        <v>136</v>
      </c>
      <c r="G1832" s="177" t="s">
        <v>3083</v>
      </c>
      <c r="H1832" s="177" t="s">
        <v>185</v>
      </c>
      <c r="L1832" s="17" t="s">
        <v>254</v>
      </c>
    </row>
    <row r="1833">
      <c r="A1833" s="175">
        <v>131.0</v>
      </c>
      <c r="B1833" s="177" t="s">
        <v>185</v>
      </c>
      <c r="C1833" s="177" t="s">
        <v>3165</v>
      </c>
      <c r="D1833" s="177" t="s">
        <v>291</v>
      </c>
      <c r="E1833" s="177" t="s">
        <v>136</v>
      </c>
      <c r="F1833" s="177" t="s">
        <v>136</v>
      </c>
      <c r="G1833" s="177" t="s">
        <v>3166</v>
      </c>
      <c r="H1833" s="177" t="s">
        <v>3020</v>
      </c>
      <c r="L1833" s="17" t="s">
        <v>254</v>
      </c>
    </row>
    <row r="1834">
      <c r="A1834" s="175">
        <v>184.0</v>
      </c>
      <c r="B1834" s="177" t="s">
        <v>7</v>
      </c>
      <c r="C1834" s="177" t="s">
        <v>1791</v>
      </c>
      <c r="D1834" s="177" t="s">
        <v>291</v>
      </c>
      <c r="E1834" s="177" t="s">
        <v>136</v>
      </c>
      <c r="F1834" s="177" t="s">
        <v>136</v>
      </c>
      <c r="G1834" s="177" t="s">
        <v>3083</v>
      </c>
      <c r="H1834" s="177" t="s">
        <v>3043</v>
      </c>
      <c r="L1834" s="17" t="s">
        <v>254</v>
      </c>
    </row>
    <row r="1835">
      <c r="A1835" s="175">
        <v>78.0</v>
      </c>
      <c r="B1835" s="177" t="s">
        <v>6</v>
      </c>
      <c r="C1835" s="177" t="s">
        <v>2953</v>
      </c>
      <c r="D1835" s="177" t="s">
        <v>177</v>
      </c>
      <c r="E1835" s="177" t="s">
        <v>135</v>
      </c>
      <c r="F1835" s="177" t="s">
        <v>136</v>
      </c>
      <c r="G1835" s="177" t="s">
        <v>3156</v>
      </c>
      <c r="H1835" s="177" t="s">
        <v>3055</v>
      </c>
      <c r="L1835" s="17" t="s">
        <v>254</v>
      </c>
    </row>
    <row r="1836">
      <c r="A1836" s="175">
        <v>266.0</v>
      </c>
      <c r="B1836" s="177" t="s">
        <v>6</v>
      </c>
      <c r="C1836" s="177" t="s">
        <v>3167</v>
      </c>
      <c r="D1836" s="177" t="s">
        <v>248</v>
      </c>
      <c r="E1836" s="177" t="s">
        <v>136</v>
      </c>
      <c r="F1836" s="177" t="s">
        <v>136</v>
      </c>
      <c r="G1836" s="177" t="s">
        <v>137</v>
      </c>
      <c r="H1836" s="177" t="s">
        <v>3022</v>
      </c>
      <c r="L1836" s="17" t="s">
        <v>254</v>
      </c>
    </row>
    <row r="1837">
      <c r="A1837" s="175">
        <v>149.0</v>
      </c>
      <c r="B1837" s="177" t="s">
        <v>6</v>
      </c>
      <c r="C1837" s="177" t="s">
        <v>1766</v>
      </c>
      <c r="D1837" s="177" t="s">
        <v>248</v>
      </c>
      <c r="E1837" s="177" t="s">
        <v>135</v>
      </c>
      <c r="F1837" s="177" t="s">
        <v>136</v>
      </c>
      <c r="G1837" s="177" t="s">
        <v>3116</v>
      </c>
      <c r="H1837" s="177" t="s">
        <v>3026</v>
      </c>
      <c r="L1837" s="17" t="s">
        <v>254</v>
      </c>
    </row>
    <row r="1838">
      <c r="A1838" s="175">
        <v>265.0</v>
      </c>
      <c r="B1838" s="177" t="s">
        <v>6</v>
      </c>
      <c r="C1838" s="177" t="s">
        <v>1766</v>
      </c>
      <c r="D1838" s="177" t="s">
        <v>248</v>
      </c>
      <c r="E1838" s="177" t="s">
        <v>136</v>
      </c>
      <c r="F1838" s="177" t="s">
        <v>136</v>
      </c>
      <c r="G1838" s="177" t="s">
        <v>137</v>
      </c>
      <c r="H1838" s="177" t="s">
        <v>3020</v>
      </c>
      <c r="L1838" s="17" t="s">
        <v>254</v>
      </c>
    </row>
    <row r="1839">
      <c r="A1839" s="175">
        <v>194.0</v>
      </c>
      <c r="B1839" s="176" t="s">
        <v>7</v>
      </c>
      <c r="C1839" s="176" t="s">
        <v>1524</v>
      </c>
      <c r="D1839" s="176" t="s">
        <v>159</v>
      </c>
      <c r="E1839" s="176" t="s">
        <v>135</v>
      </c>
      <c r="F1839" s="176" t="s">
        <v>136</v>
      </c>
      <c r="G1839" s="176" t="s">
        <v>3083</v>
      </c>
      <c r="H1839" s="176" t="s">
        <v>3020</v>
      </c>
      <c r="L1839" s="17" t="s">
        <v>254</v>
      </c>
    </row>
    <row r="1840">
      <c r="A1840" s="175">
        <v>312.0</v>
      </c>
      <c r="B1840" s="176" t="s">
        <v>6</v>
      </c>
      <c r="C1840" s="176" t="s">
        <v>3168</v>
      </c>
      <c r="D1840" s="176" t="s">
        <v>159</v>
      </c>
      <c r="E1840" s="176" t="s">
        <v>135</v>
      </c>
      <c r="F1840" s="176" t="s">
        <v>136</v>
      </c>
      <c r="G1840" s="176" t="s">
        <v>3083</v>
      </c>
      <c r="H1840" s="176" t="s">
        <v>3020</v>
      </c>
      <c r="L1840" s="17" t="s">
        <v>254</v>
      </c>
    </row>
    <row r="1841">
      <c r="A1841" s="175">
        <v>195.0</v>
      </c>
      <c r="B1841" s="176" t="s">
        <v>7</v>
      </c>
      <c r="C1841" s="176" t="s">
        <v>2940</v>
      </c>
      <c r="D1841" s="176" t="s">
        <v>302</v>
      </c>
      <c r="E1841" s="176" t="s">
        <v>136</v>
      </c>
      <c r="F1841" s="176" t="s">
        <v>136</v>
      </c>
      <c r="G1841" s="176" t="s">
        <v>137</v>
      </c>
      <c r="H1841" s="176" t="s">
        <v>3055</v>
      </c>
      <c r="L1841" s="17" t="s">
        <v>254</v>
      </c>
    </row>
    <row r="1842">
      <c r="A1842" s="175">
        <v>201.0</v>
      </c>
      <c r="B1842" s="176" t="s">
        <v>6</v>
      </c>
      <c r="C1842" s="176" t="s">
        <v>1732</v>
      </c>
      <c r="D1842" s="176" t="s">
        <v>302</v>
      </c>
      <c r="E1842" s="176" t="s">
        <v>135</v>
      </c>
      <c r="F1842" s="176" t="s">
        <v>136</v>
      </c>
      <c r="G1842" s="176" t="s">
        <v>3169</v>
      </c>
      <c r="H1842" s="176" t="s">
        <v>3024</v>
      </c>
      <c r="L1842" s="17" t="s">
        <v>254</v>
      </c>
    </row>
    <row r="1843">
      <c r="A1843" s="175">
        <v>74.0</v>
      </c>
      <c r="B1843" s="177" t="s">
        <v>6</v>
      </c>
      <c r="C1843" s="177" t="s">
        <v>3170</v>
      </c>
      <c r="D1843" s="177" t="s">
        <v>218</v>
      </c>
      <c r="E1843" s="177" t="s">
        <v>136</v>
      </c>
      <c r="F1843" s="177" t="s">
        <v>136</v>
      </c>
      <c r="G1843" s="177" t="s">
        <v>3076</v>
      </c>
      <c r="H1843" s="177" t="s">
        <v>3055</v>
      </c>
      <c r="L1843" s="17" t="s">
        <v>254</v>
      </c>
    </row>
    <row r="1844">
      <c r="A1844" s="175">
        <v>129.0</v>
      </c>
      <c r="B1844" s="177" t="s">
        <v>6</v>
      </c>
      <c r="C1844" s="177" t="s">
        <v>3171</v>
      </c>
      <c r="D1844" s="177" t="s">
        <v>218</v>
      </c>
      <c r="E1844" s="177" t="s">
        <v>135</v>
      </c>
      <c r="F1844" s="177" t="s">
        <v>136</v>
      </c>
      <c r="G1844" s="177" t="s">
        <v>137</v>
      </c>
      <c r="H1844" s="177" t="s">
        <v>3024</v>
      </c>
      <c r="L1844" s="17" t="s">
        <v>254</v>
      </c>
    </row>
    <row r="1845">
      <c r="A1845" s="175">
        <v>182.0</v>
      </c>
      <c r="B1845" s="177" t="s">
        <v>6</v>
      </c>
      <c r="C1845" s="177" t="s">
        <v>366</v>
      </c>
      <c r="D1845" s="177" t="s">
        <v>218</v>
      </c>
      <c r="E1845" s="177" t="s">
        <v>136</v>
      </c>
      <c r="F1845" s="177" t="s">
        <v>136</v>
      </c>
      <c r="G1845" s="177" t="s">
        <v>3069</v>
      </c>
      <c r="H1845" s="177" t="s">
        <v>3022</v>
      </c>
      <c r="L1845" s="17" t="s">
        <v>254</v>
      </c>
    </row>
    <row r="1846">
      <c r="A1846" s="175">
        <v>237.0</v>
      </c>
      <c r="B1846" s="177" t="s">
        <v>6</v>
      </c>
      <c r="C1846" s="177" t="s">
        <v>366</v>
      </c>
      <c r="D1846" s="177" t="s">
        <v>218</v>
      </c>
      <c r="E1846" s="177" t="s">
        <v>136</v>
      </c>
      <c r="F1846" s="177" t="s">
        <v>136</v>
      </c>
      <c r="G1846" s="177" t="s">
        <v>3172</v>
      </c>
      <c r="H1846" s="177" t="s">
        <v>3020</v>
      </c>
      <c r="L1846" s="17" t="s">
        <v>254</v>
      </c>
    </row>
    <row r="1847">
      <c r="A1847" s="175">
        <v>295.0</v>
      </c>
      <c r="B1847" s="176" t="s">
        <v>6</v>
      </c>
      <c r="C1847" s="176" t="s">
        <v>276</v>
      </c>
      <c r="D1847" s="176" t="s">
        <v>218</v>
      </c>
      <c r="E1847" s="176" t="s">
        <v>136</v>
      </c>
      <c r="F1847" s="176" t="s">
        <v>135</v>
      </c>
      <c r="G1847" s="176" t="s">
        <v>3076</v>
      </c>
      <c r="H1847" s="176" t="s">
        <v>185</v>
      </c>
      <c r="L1847" s="17" t="s">
        <v>254</v>
      </c>
    </row>
    <row r="1848">
      <c r="A1848" s="175">
        <v>136.0</v>
      </c>
      <c r="B1848" s="177" t="s">
        <v>6</v>
      </c>
      <c r="C1848" s="177" t="s">
        <v>3173</v>
      </c>
      <c r="D1848" s="177" t="s">
        <v>284</v>
      </c>
      <c r="E1848" s="177" t="s">
        <v>135</v>
      </c>
      <c r="F1848" s="177" t="s">
        <v>135</v>
      </c>
      <c r="G1848" s="177" t="s">
        <v>137</v>
      </c>
      <c r="H1848" s="177" t="s">
        <v>3024</v>
      </c>
      <c r="L1848" s="17" t="s">
        <v>254</v>
      </c>
    </row>
    <row r="1849">
      <c r="A1849" s="175">
        <v>12.0</v>
      </c>
      <c r="B1849" s="177" t="s">
        <v>6</v>
      </c>
      <c r="C1849" s="177" t="s">
        <v>3174</v>
      </c>
      <c r="D1849" s="140" t="s">
        <v>394</v>
      </c>
      <c r="E1849" s="177" t="s">
        <v>135</v>
      </c>
      <c r="F1849" s="177" t="s">
        <v>136</v>
      </c>
      <c r="G1849" s="177" t="s">
        <v>3083</v>
      </c>
      <c r="H1849" s="177" t="s">
        <v>3020</v>
      </c>
      <c r="L1849" s="17" t="s">
        <v>254</v>
      </c>
    </row>
    <row r="1850">
      <c r="A1850" s="175">
        <v>63.0</v>
      </c>
      <c r="B1850" s="177" t="s">
        <v>6</v>
      </c>
      <c r="C1850" s="177" t="s">
        <v>334</v>
      </c>
      <c r="D1850" s="177" t="s">
        <v>228</v>
      </c>
      <c r="E1850" s="177" t="s">
        <v>136</v>
      </c>
      <c r="F1850" s="177" t="s">
        <v>136</v>
      </c>
      <c r="G1850" s="177" t="s">
        <v>137</v>
      </c>
      <c r="H1850" s="177" t="s">
        <v>3022</v>
      </c>
      <c r="L1850" s="17" t="s">
        <v>254</v>
      </c>
    </row>
    <row r="1851">
      <c r="A1851" s="175">
        <v>123.0</v>
      </c>
      <c r="B1851" s="177" t="s">
        <v>6</v>
      </c>
      <c r="C1851" s="177" t="s">
        <v>356</v>
      </c>
      <c r="D1851" s="177" t="s">
        <v>228</v>
      </c>
      <c r="E1851" s="177" t="s">
        <v>136</v>
      </c>
      <c r="F1851" s="177" t="s">
        <v>136</v>
      </c>
      <c r="G1851" s="177" t="s">
        <v>3076</v>
      </c>
      <c r="H1851" s="177" t="s">
        <v>3055</v>
      </c>
      <c r="L1851" s="17" t="s">
        <v>254</v>
      </c>
    </row>
    <row r="1852">
      <c r="A1852" s="175">
        <v>180.0</v>
      </c>
      <c r="B1852" s="177" t="s">
        <v>6</v>
      </c>
      <c r="C1852" s="177" t="s">
        <v>3175</v>
      </c>
      <c r="D1852" s="177" t="s">
        <v>228</v>
      </c>
      <c r="E1852" s="177" t="s">
        <v>136</v>
      </c>
      <c r="F1852" s="177" t="s">
        <v>135</v>
      </c>
      <c r="G1852" s="177" t="s">
        <v>3076</v>
      </c>
      <c r="H1852" s="177" t="s">
        <v>3055</v>
      </c>
      <c r="L1852" s="17" t="s">
        <v>254</v>
      </c>
    </row>
    <row r="1853">
      <c r="A1853" s="175">
        <v>183.0</v>
      </c>
      <c r="B1853" s="177" t="s">
        <v>6</v>
      </c>
      <c r="C1853" s="177" t="s">
        <v>3176</v>
      </c>
      <c r="D1853" s="177" t="s">
        <v>228</v>
      </c>
      <c r="E1853" s="177" t="s">
        <v>136</v>
      </c>
      <c r="F1853" s="177" t="s">
        <v>136</v>
      </c>
      <c r="G1853" s="177" t="s">
        <v>137</v>
      </c>
      <c r="H1853" s="177" t="s">
        <v>3026</v>
      </c>
      <c r="L1853" s="17" t="s">
        <v>254</v>
      </c>
    </row>
    <row r="1854">
      <c r="A1854" s="175">
        <v>238.0</v>
      </c>
      <c r="B1854" s="177" t="s">
        <v>7</v>
      </c>
      <c r="C1854" s="177" t="s">
        <v>1319</v>
      </c>
      <c r="D1854" s="177" t="s">
        <v>228</v>
      </c>
      <c r="E1854" s="177" t="s">
        <v>135</v>
      </c>
      <c r="F1854" s="177" t="s">
        <v>136</v>
      </c>
      <c r="G1854" s="177" t="s">
        <v>137</v>
      </c>
      <c r="H1854" s="177" t="s">
        <v>3020</v>
      </c>
      <c r="L1854" s="17" t="s">
        <v>254</v>
      </c>
    </row>
    <row r="1855">
      <c r="A1855" s="175">
        <v>272.0</v>
      </c>
      <c r="B1855" s="177" t="s">
        <v>6</v>
      </c>
      <c r="C1855" s="177" t="s">
        <v>1319</v>
      </c>
      <c r="D1855" s="177" t="s">
        <v>228</v>
      </c>
      <c r="E1855" s="177" t="s">
        <v>136</v>
      </c>
      <c r="F1855" s="177" t="s">
        <v>136</v>
      </c>
      <c r="G1855" s="177" t="s">
        <v>137</v>
      </c>
      <c r="H1855" s="177" t="s">
        <v>3055</v>
      </c>
      <c r="L1855" s="17" t="s">
        <v>254</v>
      </c>
    </row>
    <row r="1856">
      <c r="A1856" s="175">
        <v>307.0</v>
      </c>
      <c r="B1856" s="177" t="s">
        <v>6</v>
      </c>
      <c r="C1856" s="177" t="s">
        <v>3177</v>
      </c>
      <c r="D1856" s="177" t="s">
        <v>228</v>
      </c>
      <c r="E1856" s="177" t="s">
        <v>136</v>
      </c>
      <c r="F1856" s="177" t="s">
        <v>136</v>
      </c>
      <c r="G1856" s="177" t="s">
        <v>137</v>
      </c>
      <c r="H1856" s="177" t="s">
        <v>3022</v>
      </c>
      <c r="L1856" s="17" t="s">
        <v>254</v>
      </c>
    </row>
    <row r="1857">
      <c r="A1857" s="175">
        <v>39.0</v>
      </c>
      <c r="B1857" s="176" t="s">
        <v>6</v>
      </c>
      <c r="C1857" s="176" t="s">
        <v>589</v>
      </c>
      <c r="D1857" s="176" t="s">
        <v>233</v>
      </c>
      <c r="E1857" s="176" t="s">
        <v>136</v>
      </c>
      <c r="F1857" s="176" t="s">
        <v>136</v>
      </c>
      <c r="G1857" s="176" t="s">
        <v>3153</v>
      </c>
      <c r="H1857" s="176" t="s">
        <v>185</v>
      </c>
      <c r="L1857" s="17" t="s">
        <v>254</v>
      </c>
    </row>
    <row r="1858">
      <c r="A1858" s="175">
        <v>57.0</v>
      </c>
      <c r="B1858" s="177" t="s">
        <v>6</v>
      </c>
      <c r="C1858" s="177" t="s">
        <v>3178</v>
      </c>
      <c r="D1858" s="177" t="s">
        <v>233</v>
      </c>
      <c r="E1858" s="177" t="s">
        <v>136</v>
      </c>
      <c r="F1858" s="177" t="s">
        <v>136</v>
      </c>
      <c r="G1858" s="177" t="s">
        <v>3081</v>
      </c>
      <c r="H1858" s="177" t="s">
        <v>3022</v>
      </c>
      <c r="L1858" s="17" t="s">
        <v>254</v>
      </c>
    </row>
    <row r="1859">
      <c r="A1859" s="175">
        <v>62.0</v>
      </c>
      <c r="B1859" s="176" t="s">
        <v>7</v>
      </c>
      <c r="C1859" s="176" t="s">
        <v>3179</v>
      </c>
      <c r="D1859" s="176" t="s">
        <v>233</v>
      </c>
      <c r="E1859" s="176" t="s">
        <v>136</v>
      </c>
      <c r="F1859" s="176" t="s">
        <v>136</v>
      </c>
      <c r="G1859" s="176" t="s">
        <v>137</v>
      </c>
      <c r="H1859" s="176" t="s">
        <v>3055</v>
      </c>
      <c r="L1859" s="17" t="s">
        <v>254</v>
      </c>
    </row>
    <row r="1860">
      <c r="A1860" s="175">
        <v>90.0</v>
      </c>
      <c r="B1860" s="177" t="s">
        <v>6</v>
      </c>
      <c r="C1860" s="177" t="s">
        <v>3180</v>
      </c>
      <c r="D1860" s="177" t="s">
        <v>233</v>
      </c>
      <c r="E1860" s="177" t="s">
        <v>136</v>
      </c>
      <c r="F1860" s="177" t="s">
        <v>136</v>
      </c>
      <c r="G1860" s="177" t="s">
        <v>137</v>
      </c>
      <c r="H1860" s="177" t="s">
        <v>3020</v>
      </c>
      <c r="L1860" s="17" t="s">
        <v>254</v>
      </c>
    </row>
    <row r="1861">
      <c r="A1861" s="175">
        <v>161.0</v>
      </c>
      <c r="B1861" s="177" t="s">
        <v>6</v>
      </c>
      <c r="C1861" s="177" t="s">
        <v>2937</v>
      </c>
      <c r="D1861" s="177" t="s">
        <v>233</v>
      </c>
      <c r="E1861" s="177" t="s">
        <v>135</v>
      </c>
      <c r="F1861" s="177" t="s">
        <v>136</v>
      </c>
      <c r="G1861" s="177" t="s">
        <v>3145</v>
      </c>
      <c r="H1861" s="177" t="s">
        <v>3020</v>
      </c>
      <c r="L1861" s="17" t="s">
        <v>254</v>
      </c>
    </row>
    <row r="1862">
      <c r="A1862" s="175">
        <v>263.0</v>
      </c>
      <c r="B1862" s="177" t="s">
        <v>7</v>
      </c>
      <c r="C1862" s="177" t="s">
        <v>3181</v>
      </c>
      <c r="D1862" s="177" t="s">
        <v>233</v>
      </c>
      <c r="E1862" s="177" t="s">
        <v>136</v>
      </c>
      <c r="F1862" s="177" t="s">
        <v>136</v>
      </c>
      <c r="G1862" s="177" t="s">
        <v>137</v>
      </c>
      <c r="H1862" s="177" t="s">
        <v>3055</v>
      </c>
      <c r="L1862" s="17" t="s">
        <v>254</v>
      </c>
    </row>
    <row r="1863">
      <c r="A1863" s="175">
        <v>268.0</v>
      </c>
      <c r="B1863" s="177" t="s">
        <v>7</v>
      </c>
      <c r="C1863" s="177" t="s">
        <v>3182</v>
      </c>
      <c r="D1863" s="177" t="s">
        <v>233</v>
      </c>
      <c r="E1863" s="177" t="s">
        <v>135</v>
      </c>
      <c r="F1863" s="177" t="s">
        <v>136</v>
      </c>
      <c r="G1863" s="177" t="s">
        <v>137</v>
      </c>
      <c r="H1863" s="177" t="s">
        <v>3024</v>
      </c>
      <c r="L1863" s="17" t="s">
        <v>254</v>
      </c>
    </row>
    <row r="1864">
      <c r="A1864" s="175">
        <v>294.0</v>
      </c>
      <c r="B1864" s="177" t="s">
        <v>7</v>
      </c>
      <c r="C1864" s="177" t="s">
        <v>589</v>
      </c>
      <c r="D1864" s="177" t="s">
        <v>233</v>
      </c>
      <c r="E1864" s="177" t="s">
        <v>135</v>
      </c>
      <c r="F1864" s="177" t="s">
        <v>136</v>
      </c>
      <c r="G1864" s="177" t="s">
        <v>137</v>
      </c>
      <c r="H1864" s="177" t="s">
        <v>3024</v>
      </c>
      <c r="L1864" s="17" t="s">
        <v>254</v>
      </c>
    </row>
    <row r="1865">
      <c r="A1865" s="175">
        <v>228.0</v>
      </c>
      <c r="B1865" s="176" t="s">
        <v>7</v>
      </c>
      <c r="C1865" s="176" t="s">
        <v>3183</v>
      </c>
      <c r="D1865" s="176" t="s">
        <v>302</v>
      </c>
      <c r="E1865" s="176" t="s">
        <v>135</v>
      </c>
      <c r="F1865" s="176" t="s">
        <v>136</v>
      </c>
      <c r="G1865" s="176" t="s">
        <v>3163</v>
      </c>
      <c r="H1865" s="176" t="s">
        <v>3024</v>
      </c>
      <c r="L1865" s="17" t="s">
        <v>254</v>
      </c>
    </row>
    <row r="1866">
      <c r="A1866" s="175">
        <v>7.0</v>
      </c>
      <c r="B1866" s="176" t="s">
        <v>6</v>
      </c>
      <c r="C1866" s="176" t="s">
        <v>3184</v>
      </c>
      <c r="D1866" s="176" t="s">
        <v>176</v>
      </c>
      <c r="E1866" s="176" t="s">
        <v>136</v>
      </c>
      <c r="F1866" s="176" t="s">
        <v>136</v>
      </c>
      <c r="G1866" s="176" t="s">
        <v>137</v>
      </c>
      <c r="H1866" s="176" t="s">
        <v>3022</v>
      </c>
      <c r="L1866" s="17" t="s">
        <v>254</v>
      </c>
    </row>
    <row r="1867">
      <c r="A1867" s="175">
        <v>13.0</v>
      </c>
      <c r="B1867" s="177" t="s">
        <v>7</v>
      </c>
      <c r="C1867" s="177" t="s">
        <v>211</v>
      </c>
      <c r="D1867" s="177" t="s">
        <v>176</v>
      </c>
      <c r="E1867" s="177" t="s">
        <v>136</v>
      </c>
      <c r="F1867" s="177" t="s">
        <v>136</v>
      </c>
      <c r="G1867" s="177" t="s">
        <v>137</v>
      </c>
      <c r="H1867" s="177" t="s">
        <v>3020</v>
      </c>
      <c r="L1867" s="17" t="s">
        <v>254</v>
      </c>
    </row>
    <row r="1868">
      <c r="A1868" s="175">
        <v>15.0</v>
      </c>
      <c r="B1868" s="176" t="s">
        <v>7</v>
      </c>
      <c r="C1868" s="176" t="s">
        <v>211</v>
      </c>
      <c r="D1868" s="176" t="s">
        <v>176</v>
      </c>
      <c r="E1868" s="176" t="s">
        <v>136</v>
      </c>
      <c r="F1868" s="176" t="s">
        <v>136</v>
      </c>
      <c r="G1868" s="176" t="s">
        <v>137</v>
      </c>
      <c r="H1868" s="176" t="s">
        <v>3026</v>
      </c>
      <c r="L1868" s="17" t="s">
        <v>254</v>
      </c>
    </row>
    <row r="1869">
      <c r="A1869" s="175">
        <v>29.0</v>
      </c>
      <c r="B1869" s="177" t="s">
        <v>6</v>
      </c>
      <c r="C1869" s="177" t="s">
        <v>211</v>
      </c>
      <c r="D1869" s="177" t="s">
        <v>176</v>
      </c>
      <c r="E1869" s="177" t="s">
        <v>136</v>
      </c>
      <c r="F1869" s="177" t="s">
        <v>136</v>
      </c>
      <c r="G1869" s="177" t="s">
        <v>137</v>
      </c>
      <c r="H1869" s="177" t="s">
        <v>3022</v>
      </c>
      <c r="L1869" s="17" t="s">
        <v>254</v>
      </c>
    </row>
    <row r="1870">
      <c r="A1870" s="175">
        <v>38.0</v>
      </c>
      <c r="B1870" s="177" t="s">
        <v>7</v>
      </c>
      <c r="C1870" s="177" t="s">
        <v>211</v>
      </c>
      <c r="D1870" s="177" t="s">
        <v>176</v>
      </c>
      <c r="E1870" s="177" t="s">
        <v>136</v>
      </c>
      <c r="F1870" s="177" t="s">
        <v>136</v>
      </c>
      <c r="G1870" s="177" t="s">
        <v>3083</v>
      </c>
      <c r="H1870" s="177" t="s">
        <v>3065</v>
      </c>
      <c r="L1870" s="17" t="s">
        <v>254</v>
      </c>
    </row>
    <row r="1871">
      <c r="A1871" s="175">
        <v>42.0</v>
      </c>
      <c r="B1871" s="177" t="s">
        <v>7</v>
      </c>
      <c r="C1871" s="177" t="s">
        <v>375</v>
      </c>
      <c r="D1871" s="177" t="s">
        <v>176</v>
      </c>
      <c r="E1871" s="177" t="s">
        <v>135</v>
      </c>
      <c r="F1871" s="177" t="s">
        <v>136</v>
      </c>
      <c r="G1871" s="177" t="s">
        <v>3185</v>
      </c>
      <c r="H1871" s="177" t="s">
        <v>3024</v>
      </c>
      <c r="L1871" s="17" t="s">
        <v>254</v>
      </c>
    </row>
    <row r="1872">
      <c r="A1872" s="175">
        <v>52.0</v>
      </c>
      <c r="B1872" s="176" t="s">
        <v>7</v>
      </c>
      <c r="C1872" s="176" t="s">
        <v>211</v>
      </c>
      <c r="D1872" s="176" t="s">
        <v>176</v>
      </c>
      <c r="E1872" s="176" t="s">
        <v>136</v>
      </c>
      <c r="F1872" s="176" t="s">
        <v>136</v>
      </c>
      <c r="G1872" s="176" t="s">
        <v>3083</v>
      </c>
      <c r="H1872" s="176" t="s">
        <v>3022</v>
      </c>
      <c r="L1872" s="17" t="s">
        <v>254</v>
      </c>
    </row>
    <row r="1873">
      <c r="A1873" s="175">
        <v>55.0</v>
      </c>
      <c r="B1873" s="177" t="s">
        <v>7</v>
      </c>
      <c r="C1873" s="177" t="s">
        <v>211</v>
      </c>
      <c r="D1873" s="177" t="s">
        <v>176</v>
      </c>
      <c r="E1873" s="177" t="s">
        <v>135</v>
      </c>
      <c r="F1873" s="177" t="s">
        <v>136</v>
      </c>
      <c r="G1873" s="177" t="s">
        <v>137</v>
      </c>
      <c r="H1873" s="177" t="s">
        <v>3020</v>
      </c>
      <c r="L1873" s="17" t="s">
        <v>254</v>
      </c>
    </row>
    <row r="1874">
      <c r="A1874" s="175">
        <v>60.0</v>
      </c>
      <c r="B1874" s="176" t="s">
        <v>7</v>
      </c>
      <c r="C1874" s="176" t="s">
        <v>211</v>
      </c>
      <c r="D1874" s="176" t="s">
        <v>176</v>
      </c>
      <c r="E1874" s="176" t="s">
        <v>136</v>
      </c>
      <c r="F1874" s="176" t="s">
        <v>136</v>
      </c>
      <c r="G1874" s="176" t="s">
        <v>137</v>
      </c>
      <c r="H1874" s="176" t="s">
        <v>3020</v>
      </c>
      <c r="L1874" s="17" t="s">
        <v>254</v>
      </c>
    </row>
    <row r="1875">
      <c r="A1875" s="175">
        <v>172.0</v>
      </c>
      <c r="B1875" s="176" t="s">
        <v>6</v>
      </c>
      <c r="C1875" s="176" t="s">
        <v>3184</v>
      </c>
      <c r="D1875" s="176" t="s">
        <v>176</v>
      </c>
      <c r="E1875" s="176" t="s">
        <v>136</v>
      </c>
      <c r="F1875" s="176" t="s">
        <v>136</v>
      </c>
      <c r="G1875" s="176" t="s">
        <v>137</v>
      </c>
      <c r="H1875" s="176" t="s">
        <v>3022</v>
      </c>
      <c r="L1875" s="17" t="s">
        <v>254</v>
      </c>
    </row>
    <row r="1876">
      <c r="A1876" s="175">
        <v>175.0</v>
      </c>
      <c r="B1876" s="177" t="s">
        <v>6</v>
      </c>
      <c r="C1876" s="177" t="s">
        <v>375</v>
      </c>
      <c r="D1876" s="177" t="s">
        <v>176</v>
      </c>
      <c r="E1876" s="177" t="s">
        <v>135</v>
      </c>
      <c r="F1876" s="177" t="s">
        <v>136</v>
      </c>
      <c r="G1876" s="177" t="s">
        <v>137</v>
      </c>
      <c r="H1876" s="177" t="s">
        <v>3024</v>
      </c>
      <c r="L1876" s="17" t="s">
        <v>254</v>
      </c>
    </row>
    <row r="1877">
      <c r="A1877" s="175">
        <v>185.0</v>
      </c>
      <c r="B1877" s="177" t="s">
        <v>6</v>
      </c>
      <c r="C1877" s="177" t="s">
        <v>211</v>
      </c>
      <c r="D1877" s="177" t="s">
        <v>176</v>
      </c>
      <c r="E1877" s="177" t="s">
        <v>136</v>
      </c>
      <c r="F1877" s="177" t="s">
        <v>136</v>
      </c>
      <c r="G1877" s="177" t="s">
        <v>137</v>
      </c>
      <c r="H1877" s="177" t="s">
        <v>3022</v>
      </c>
      <c r="L1877" s="17" t="s">
        <v>254</v>
      </c>
    </row>
    <row r="1878">
      <c r="A1878" s="175">
        <v>198.0</v>
      </c>
      <c r="B1878" s="176" t="s">
        <v>6</v>
      </c>
      <c r="C1878" s="176" t="s">
        <v>211</v>
      </c>
      <c r="D1878" s="176" t="s">
        <v>176</v>
      </c>
      <c r="E1878" s="176" t="s">
        <v>136</v>
      </c>
      <c r="F1878" s="176" t="s">
        <v>136</v>
      </c>
      <c r="G1878" s="176" t="s">
        <v>3027</v>
      </c>
      <c r="H1878" s="176" t="s">
        <v>3020</v>
      </c>
      <c r="L1878" s="17" t="s">
        <v>254</v>
      </c>
    </row>
    <row r="1879">
      <c r="A1879" s="175">
        <v>226.0</v>
      </c>
      <c r="B1879" s="177" t="s">
        <v>7</v>
      </c>
      <c r="C1879" s="177" t="s">
        <v>375</v>
      </c>
      <c r="D1879" s="177" t="s">
        <v>176</v>
      </c>
      <c r="E1879" s="177" t="s">
        <v>136</v>
      </c>
      <c r="F1879" s="177" t="s">
        <v>136</v>
      </c>
      <c r="G1879" s="177" t="s">
        <v>137</v>
      </c>
      <c r="H1879" s="177" t="s">
        <v>3020</v>
      </c>
      <c r="L1879" s="17" t="s">
        <v>254</v>
      </c>
    </row>
    <row r="1880">
      <c r="A1880" s="175">
        <v>188.0</v>
      </c>
      <c r="B1880" s="177" t="s">
        <v>7</v>
      </c>
      <c r="C1880" s="177" t="s">
        <v>211</v>
      </c>
      <c r="D1880" s="177" t="s">
        <v>176</v>
      </c>
      <c r="E1880" s="177" t="s">
        <v>136</v>
      </c>
      <c r="F1880" s="177" t="s">
        <v>136</v>
      </c>
      <c r="G1880" s="177" t="s">
        <v>137</v>
      </c>
      <c r="H1880" s="177" t="s">
        <v>3022</v>
      </c>
      <c r="L1880" s="17" t="s">
        <v>254</v>
      </c>
    </row>
    <row r="1881">
      <c r="A1881" s="175">
        <v>32.0</v>
      </c>
      <c r="B1881" s="176" t="s">
        <v>6</v>
      </c>
      <c r="C1881" s="176" t="s">
        <v>3186</v>
      </c>
      <c r="D1881" s="176" t="s">
        <v>309</v>
      </c>
      <c r="E1881" s="176" t="s">
        <v>136</v>
      </c>
      <c r="F1881" s="176" t="s">
        <v>136</v>
      </c>
      <c r="G1881" s="176" t="s">
        <v>3083</v>
      </c>
      <c r="H1881" s="176" t="s">
        <v>3055</v>
      </c>
      <c r="L1881" s="17" t="s">
        <v>254</v>
      </c>
    </row>
    <row r="1882">
      <c r="A1882" s="175">
        <v>222.0</v>
      </c>
      <c r="B1882" s="176" t="s">
        <v>6</v>
      </c>
      <c r="C1882" s="176" t="s">
        <v>137</v>
      </c>
      <c r="D1882" s="176" t="s">
        <v>309</v>
      </c>
      <c r="E1882" s="176" t="s">
        <v>136</v>
      </c>
      <c r="F1882" s="176" t="s">
        <v>135</v>
      </c>
      <c r="G1882" s="176" t="s">
        <v>3057</v>
      </c>
      <c r="H1882" s="176" t="s">
        <v>185</v>
      </c>
      <c r="L1882" s="17" t="s">
        <v>254</v>
      </c>
    </row>
    <row r="1883">
      <c r="A1883" s="175">
        <v>234.0</v>
      </c>
      <c r="B1883" s="176" t="s">
        <v>7</v>
      </c>
      <c r="C1883" s="176" t="s">
        <v>3187</v>
      </c>
      <c r="D1883" s="176" t="s">
        <v>309</v>
      </c>
      <c r="E1883" s="176" t="s">
        <v>136</v>
      </c>
      <c r="F1883" s="176" t="s">
        <v>135</v>
      </c>
      <c r="G1883" s="176" t="s">
        <v>3057</v>
      </c>
      <c r="H1883" s="176" t="s">
        <v>3065</v>
      </c>
      <c r="L1883" s="17" t="s">
        <v>254</v>
      </c>
    </row>
    <row r="1884">
      <c r="A1884" s="175">
        <v>293.0</v>
      </c>
      <c r="B1884" s="177" t="s">
        <v>6</v>
      </c>
      <c r="C1884" s="177" t="s">
        <v>3188</v>
      </c>
      <c r="D1884" s="177" t="s">
        <v>309</v>
      </c>
      <c r="E1884" s="177" t="s">
        <v>136</v>
      </c>
      <c r="F1884" s="177" t="s">
        <v>136</v>
      </c>
      <c r="G1884" s="177" t="s">
        <v>3163</v>
      </c>
      <c r="H1884" s="177" t="s">
        <v>3020</v>
      </c>
      <c r="L1884" s="17" t="s">
        <v>254</v>
      </c>
    </row>
    <row r="1885">
      <c r="A1885" s="175">
        <v>105.0</v>
      </c>
      <c r="B1885" s="177" t="s">
        <v>6</v>
      </c>
      <c r="C1885" s="177" t="s">
        <v>3189</v>
      </c>
      <c r="D1885" s="177" t="s">
        <v>398</v>
      </c>
      <c r="E1885" s="177" t="s">
        <v>136</v>
      </c>
      <c r="F1885" s="177" t="s">
        <v>136</v>
      </c>
      <c r="G1885" s="177" t="s">
        <v>137</v>
      </c>
      <c r="H1885" s="177" t="s">
        <v>3020</v>
      </c>
      <c r="L1885" s="17" t="s">
        <v>254</v>
      </c>
    </row>
    <row r="1886">
      <c r="A1886" s="175">
        <v>125.0</v>
      </c>
      <c r="B1886" s="176" t="s">
        <v>7</v>
      </c>
      <c r="C1886" s="176" t="s">
        <v>2941</v>
      </c>
      <c r="D1886" s="176" t="s">
        <v>398</v>
      </c>
      <c r="E1886" s="176" t="s">
        <v>136</v>
      </c>
      <c r="F1886" s="176" t="s">
        <v>136</v>
      </c>
      <c r="G1886" s="176" t="s">
        <v>137</v>
      </c>
      <c r="H1886" s="176" t="s">
        <v>3020</v>
      </c>
      <c r="L1886" s="17" t="s">
        <v>254</v>
      </c>
    </row>
    <row r="1887">
      <c r="A1887" s="175">
        <v>162.0</v>
      </c>
      <c r="B1887" s="177" t="s">
        <v>3111</v>
      </c>
      <c r="C1887" s="177" t="s">
        <v>2941</v>
      </c>
      <c r="D1887" s="177" t="s">
        <v>398</v>
      </c>
      <c r="E1887" s="177" t="s">
        <v>136</v>
      </c>
      <c r="F1887" s="177" t="s">
        <v>136</v>
      </c>
      <c r="G1887" s="177" t="s">
        <v>137</v>
      </c>
      <c r="H1887" s="177" t="s">
        <v>185</v>
      </c>
      <c r="L1887" s="17" t="s">
        <v>254</v>
      </c>
    </row>
    <row r="1888">
      <c r="A1888" s="175">
        <v>163.0</v>
      </c>
      <c r="B1888" s="177" t="s">
        <v>7</v>
      </c>
      <c r="C1888" s="177" t="s">
        <v>2941</v>
      </c>
      <c r="D1888" s="177" t="s">
        <v>398</v>
      </c>
      <c r="E1888" s="177" t="s">
        <v>136</v>
      </c>
      <c r="F1888" s="177" t="s">
        <v>136</v>
      </c>
      <c r="G1888" s="177" t="s">
        <v>137</v>
      </c>
      <c r="H1888" s="177" t="s">
        <v>185</v>
      </c>
      <c r="L1888" s="17" t="s">
        <v>254</v>
      </c>
    </row>
    <row r="1889">
      <c r="A1889" s="175">
        <v>206.0</v>
      </c>
      <c r="B1889" s="176" t="s">
        <v>6</v>
      </c>
      <c r="C1889" s="176" t="s">
        <v>3190</v>
      </c>
      <c r="D1889" s="176" t="s">
        <v>398</v>
      </c>
      <c r="E1889" s="176" t="s">
        <v>136</v>
      </c>
      <c r="F1889" s="176" t="s">
        <v>136</v>
      </c>
      <c r="G1889" s="176" t="s">
        <v>137</v>
      </c>
      <c r="H1889" s="176" t="s">
        <v>3043</v>
      </c>
      <c r="L1889" s="17" t="s">
        <v>254</v>
      </c>
    </row>
    <row r="1890">
      <c r="A1890" s="175">
        <v>235.0</v>
      </c>
      <c r="B1890" s="177" t="s">
        <v>6</v>
      </c>
      <c r="C1890" s="177" t="s">
        <v>2941</v>
      </c>
      <c r="D1890" s="177" t="s">
        <v>398</v>
      </c>
      <c r="E1890" s="177" t="s">
        <v>135</v>
      </c>
      <c r="F1890" s="177" t="s">
        <v>136</v>
      </c>
      <c r="G1890" s="177" t="s">
        <v>137</v>
      </c>
      <c r="H1890" s="177" t="s">
        <v>3020</v>
      </c>
      <c r="L1890" s="17" t="s">
        <v>254</v>
      </c>
    </row>
    <row r="1891">
      <c r="A1891" s="175">
        <v>280.0</v>
      </c>
      <c r="B1891" s="177" t="s">
        <v>6</v>
      </c>
      <c r="C1891" s="177" t="s">
        <v>3190</v>
      </c>
      <c r="D1891" s="177" t="s">
        <v>398</v>
      </c>
      <c r="E1891" s="177" t="s">
        <v>136</v>
      </c>
      <c r="F1891" s="177" t="s">
        <v>136</v>
      </c>
      <c r="G1891" s="177" t="s">
        <v>137</v>
      </c>
      <c r="H1891" s="177" t="s">
        <v>185</v>
      </c>
      <c r="L1891" s="17" t="s">
        <v>254</v>
      </c>
    </row>
    <row r="1892">
      <c r="A1892" s="175">
        <v>315.0</v>
      </c>
      <c r="B1892" s="176" t="s">
        <v>7</v>
      </c>
      <c r="C1892" s="176" t="s">
        <v>3190</v>
      </c>
      <c r="D1892" s="176" t="s">
        <v>398</v>
      </c>
      <c r="E1892" s="176" t="s">
        <v>136</v>
      </c>
      <c r="F1892" s="176" t="s">
        <v>136</v>
      </c>
      <c r="G1892" s="176" t="s">
        <v>137</v>
      </c>
      <c r="H1892" s="176" t="s">
        <v>3022</v>
      </c>
      <c r="L1892" s="17" t="s">
        <v>254</v>
      </c>
    </row>
    <row r="1893">
      <c r="A1893" s="175">
        <v>168.0</v>
      </c>
      <c r="B1893" s="177" t="s">
        <v>6</v>
      </c>
      <c r="C1893" s="177" t="s">
        <v>3190</v>
      </c>
      <c r="D1893" s="176" t="s">
        <v>398</v>
      </c>
      <c r="E1893" s="177" t="s">
        <v>136</v>
      </c>
      <c r="F1893" s="177" t="s">
        <v>136</v>
      </c>
      <c r="G1893" s="177" t="s">
        <v>137</v>
      </c>
      <c r="H1893" s="177" t="s">
        <v>3026</v>
      </c>
      <c r="L1893" s="17" t="s">
        <v>254</v>
      </c>
    </row>
    <row r="1894">
      <c r="A1894" s="175">
        <v>199.0</v>
      </c>
      <c r="B1894" s="177" t="s">
        <v>6</v>
      </c>
      <c r="C1894" s="177" t="s">
        <v>2941</v>
      </c>
      <c r="D1894" s="176" t="s">
        <v>398</v>
      </c>
      <c r="E1894" s="177" t="s">
        <v>136</v>
      </c>
      <c r="F1894" s="177" t="s">
        <v>136</v>
      </c>
      <c r="G1894" s="177" t="s">
        <v>3069</v>
      </c>
      <c r="H1894" s="177" t="s">
        <v>185</v>
      </c>
      <c r="L1894" s="17" t="s">
        <v>254</v>
      </c>
    </row>
    <row r="1895">
      <c r="A1895" s="175">
        <v>1.0</v>
      </c>
      <c r="B1895" s="176" t="s">
        <v>6</v>
      </c>
      <c r="C1895" s="176" t="s">
        <v>1085</v>
      </c>
      <c r="D1895" s="176" t="s">
        <v>202</v>
      </c>
      <c r="E1895" s="176" t="s">
        <v>135</v>
      </c>
      <c r="F1895" s="176" t="s">
        <v>136</v>
      </c>
      <c r="G1895" s="176" t="s">
        <v>3021</v>
      </c>
      <c r="H1895" s="176" t="s">
        <v>3024</v>
      </c>
      <c r="L1895" s="17" t="s">
        <v>254</v>
      </c>
    </row>
    <row r="1896">
      <c r="A1896" s="175">
        <v>23.0</v>
      </c>
      <c r="B1896" s="176" t="s">
        <v>6</v>
      </c>
      <c r="C1896" s="176" t="s">
        <v>998</v>
      </c>
      <c r="D1896" s="176" t="s">
        <v>202</v>
      </c>
      <c r="E1896" s="176" t="s">
        <v>136</v>
      </c>
      <c r="F1896" s="176" t="s">
        <v>136</v>
      </c>
      <c r="G1896" s="176" t="s">
        <v>3027</v>
      </c>
      <c r="H1896" s="176" t="s">
        <v>3026</v>
      </c>
      <c r="L1896" s="17" t="s">
        <v>254</v>
      </c>
    </row>
    <row r="1897">
      <c r="A1897" s="175">
        <v>33.0</v>
      </c>
      <c r="B1897" s="176" t="s">
        <v>6</v>
      </c>
      <c r="C1897" s="176" t="s">
        <v>1087</v>
      </c>
      <c r="D1897" s="176" t="s">
        <v>202</v>
      </c>
      <c r="E1897" s="176" t="s">
        <v>136</v>
      </c>
      <c r="F1897" s="176" t="s">
        <v>136</v>
      </c>
      <c r="G1897" s="176" t="s">
        <v>3057</v>
      </c>
      <c r="H1897" s="176" t="s">
        <v>3026</v>
      </c>
      <c r="L1897" s="17" t="s">
        <v>254</v>
      </c>
    </row>
    <row r="1898">
      <c r="A1898" s="175">
        <v>35.0</v>
      </c>
      <c r="B1898" s="176" t="s">
        <v>6</v>
      </c>
      <c r="C1898" s="176" t="s">
        <v>2622</v>
      </c>
      <c r="D1898" s="176" t="s">
        <v>202</v>
      </c>
      <c r="E1898" s="176" t="s">
        <v>136</v>
      </c>
      <c r="F1898" s="176" t="s">
        <v>136</v>
      </c>
      <c r="G1898" s="176" t="s">
        <v>3153</v>
      </c>
      <c r="H1898" s="176" t="s">
        <v>3043</v>
      </c>
      <c r="L1898" s="17" t="s">
        <v>254</v>
      </c>
    </row>
    <row r="1899">
      <c r="A1899" s="175">
        <v>69.0</v>
      </c>
      <c r="B1899" s="176" t="s">
        <v>6</v>
      </c>
      <c r="C1899" s="176" t="s">
        <v>362</v>
      </c>
      <c r="D1899" s="176" t="s">
        <v>202</v>
      </c>
      <c r="E1899" s="176" t="s">
        <v>136</v>
      </c>
      <c r="F1899" s="176" t="s">
        <v>136</v>
      </c>
      <c r="G1899" s="176" t="s">
        <v>3076</v>
      </c>
      <c r="H1899" s="176" t="s">
        <v>3022</v>
      </c>
      <c r="L1899" s="17" t="s">
        <v>254</v>
      </c>
    </row>
    <row r="1900">
      <c r="A1900" s="175">
        <v>71.0</v>
      </c>
      <c r="B1900" s="176" t="s">
        <v>6</v>
      </c>
      <c r="C1900" s="176" t="s">
        <v>3191</v>
      </c>
      <c r="D1900" s="176" t="s">
        <v>202</v>
      </c>
      <c r="E1900" s="176" t="s">
        <v>136</v>
      </c>
      <c r="F1900" s="176" t="s">
        <v>136</v>
      </c>
      <c r="G1900" s="176" t="s">
        <v>137</v>
      </c>
      <c r="H1900" s="176" t="s">
        <v>3020</v>
      </c>
      <c r="L1900" s="17" t="s">
        <v>254</v>
      </c>
    </row>
    <row r="1901">
      <c r="A1901" s="175">
        <v>95.0</v>
      </c>
      <c r="B1901" s="176" t="s">
        <v>7</v>
      </c>
      <c r="C1901" s="176" t="s">
        <v>2622</v>
      </c>
      <c r="D1901" s="176" t="s">
        <v>202</v>
      </c>
      <c r="E1901" s="176" t="s">
        <v>136</v>
      </c>
      <c r="F1901" s="176" t="s">
        <v>136</v>
      </c>
      <c r="G1901" s="176" t="s">
        <v>3153</v>
      </c>
      <c r="H1901" s="176" t="s">
        <v>3026</v>
      </c>
      <c r="L1901" s="17" t="s">
        <v>254</v>
      </c>
    </row>
    <row r="1902">
      <c r="A1902" s="175">
        <v>104.0</v>
      </c>
      <c r="B1902" s="176" t="s">
        <v>6</v>
      </c>
      <c r="C1902" s="176" t="s">
        <v>3192</v>
      </c>
      <c r="D1902" s="176" t="s">
        <v>202</v>
      </c>
      <c r="E1902" s="176" t="s">
        <v>136</v>
      </c>
      <c r="F1902" s="176" t="s">
        <v>136</v>
      </c>
      <c r="G1902" s="176" t="s">
        <v>3153</v>
      </c>
      <c r="H1902" s="176" t="s">
        <v>3026</v>
      </c>
      <c r="L1902" s="17" t="s">
        <v>254</v>
      </c>
    </row>
    <row r="1903">
      <c r="A1903" s="175">
        <v>191.0</v>
      </c>
      <c r="B1903" s="176" t="s">
        <v>6</v>
      </c>
      <c r="C1903" s="176" t="s">
        <v>3193</v>
      </c>
      <c r="D1903" s="176" t="s">
        <v>202</v>
      </c>
      <c r="E1903" s="176" t="s">
        <v>135</v>
      </c>
      <c r="F1903" s="176" t="s">
        <v>136</v>
      </c>
      <c r="G1903" s="176" t="s">
        <v>3145</v>
      </c>
      <c r="H1903" s="176" t="s">
        <v>3024</v>
      </c>
      <c r="L1903" s="17" t="s">
        <v>254</v>
      </c>
    </row>
    <row r="1904">
      <c r="A1904" s="175">
        <v>200.0</v>
      </c>
      <c r="B1904" s="176" t="s">
        <v>7</v>
      </c>
      <c r="C1904" s="176" t="s">
        <v>3194</v>
      </c>
      <c r="D1904" s="176" t="s">
        <v>202</v>
      </c>
      <c r="E1904" s="176" t="s">
        <v>135</v>
      </c>
      <c r="F1904" s="176" t="s">
        <v>136</v>
      </c>
      <c r="G1904" s="176" t="s">
        <v>137</v>
      </c>
      <c r="H1904" s="176" t="s">
        <v>3024</v>
      </c>
      <c r="L1904" s="17" t="s">
        <v>254</v>
      </c>
    </row>
    <row r="1905">
      <c r="A1905" s="175">
        <v>247.0</v>
      </c>
      <c r="B1905" s="176" t="s">
        <v>6</v>
      </c>
      <c r="C1905" s="176" t="s">
        <v>1448</v>
      </c>
      <c r="D1905" s="176" t="s">
        <v>202</v>
      </c>
      <c r="E1905" s="176" t="s">
        <v>136</v>
      </c>
      <c r="F1905" s="176" t="s">
        <v>136</v>
      </c>
      <c r="G1905" s="176" t="s">
        <v>137</v>
      </c>
      <c r="H1905" s="176" t="s">
        <v>3026</v>
      </c>
      <c r="L1905" s="17" t="s">
        <v>254</v>
      </c>
    </row>
    <row r="1906">
      <c r="A1906" s="175">
        <v>258.0</v>
      </c>
      <c r="B1906" s="177" t="s">
        <v>6</v>
      </c>
      <c r="C1906" s="177" t="s">
        <v>1448</v>
      </c>
      <c r="D1906" s="177" t="s">
        <v>202</v>
      </c>
      <c r="E1906" s="177" t="s">
        <v>135</v>
      </c>
      <c r="F1906" s="177" t="s">
        <v>136</v>
      </c>
      <c r="G1906" s="177" t="s">
        <v>3195</v>
      </c>
      <c r="H1906" s="177" t="s">
        <v>3024</v>
      </c>
      <c r="L1906" s="17" t="s">
        <v>254</v>
      </c>
    </row>
    <row r="1907">
      <c r="A1907" s="175">
        <v>279.0</v>
      </c>
      <c r="B1907" s="176" t="s">
        <v>7</v>
      </c>
      <c r="C1907" s="176" t="s">
        <v>3196</v>
      </c>
      <c r="D1907" s="176" t="s">
        <v>202</v>
      </c>
      <c r="E1907" s="176" t="s">
        <v>136</v>
      </c>
      <c r="F1907" s="176" t="s">
        <v>136</v>
      </c>
      <c r="G1907" s="176" t="s">
        <v>3057</v>
      </c>
      <c r="H1907" s="176" t="s">
        <v>3020</v>
      </c>
      <c r="L1907" s="17" t="s">
        <v>254</v>
      </c>
    </row>
    <row r="1908">
      <c r="A1908" s="175">
        <v>310.0</v>
      </c>
      <c r="B1908" s="176" t="s">
        <v>7</v>
      </c>
      <c r="C1908" s="176" t="s">
        <v>469</v>
      </c>
      <c r="D1908" s="176" t="s">
        <v>202</v>
      </c>
      <c r="E1908" s="176" t="s">
        <v>136</v>
      </c>
      <c r="F1908" s="176" t="s">
        <v>136</v>
      </c>
      <c r="G1908" s="176" t="s">
        <v>3197</v>
      </c>
      <c r="H1908" s="176" t="s">
        <v>3020</v>
      </c>
      <c r="L1908" s="17" t="s">
        <v>254</v>
      </c>
    </row>
    <row r="1909">
      <c r="A1909" s="175">
        <v>25.0</v>
      </c>
      <c r="B1909" s="176" t="s">
        <v>7</v>
      </c>
      <c r="C1909" s="176" t="s">
        <v>3198</v>
      </c>
      <c r="D1909" s="176" t="s">
        <v>374</v>
      </c>
      <c r="E1909" s="176" t="s">
        <v>135</v>
      </c>
      <c r="F1909" s="176" t="s">
        <v>136</v>
      </c>
      <c r="G1909" s="176" t="s">
        <v>3064</v>
      </c>
      <c r="H1909" s="176" t="s">
        <v>3020</v>
      </c>
      <c r="L1909" s="17" t="s">
        <v>254</v>
      </c>
    </row>
    <row r="1910">
      <c r="A1910" s="175">
        <v>160.0</v>
      </c>
      <c r="B1910" s="176" t="s">
        <v>7</v>
      </c>
      <c r="C1910" s="176" t="s">
        <v>3198</v>
      </c>
      <c r="D1910" s="176" t="s">
        <v>374</v>
      </c>
      <c r="E1910" s="176" t="s">
        <v>136</v>
      </c>
      <c r="F1910" s="176" t="s">
        <v>136</v>
      </c>
      <c r="G1910" s="176" t="s">
        <v>137</v>
      </c>
      <c r="H1910" s="176" t="s">
        <v>3020</v>
      </c>
      <c r="L1910" s="17" t="s">
        <v>254</v>
      </c>
    </row>
    <row r="1911">
      <c r="A1911" s="175">
        <v>166.0</v>
      </c>
      <c r="B1911" s="176" t="s">
        <v>6</v>
      </c>
      <c r="C1911" s="176" t="s">
        <v>3198</v>
      </c>
      <c r="D1911" s="176" t="s">
        <v>374</v>
      </c>
      <c r="E1911" s="176" t="s">
        <v>136</v>
      </c>
      <c r="F1911" s="176" t="s">
        <v>136</v>
      </c>
      <c r="G1911" s="176" t="s">
        <v>137</v>
      </c>
      <c r="H1911" s="176" t="s">
        <v>3055</v>
      </c>
      <c r="L1911" s="17" t="s">
        <v>254</v>
      </c>
    </row>
    <row r="1912">
      <c r="A1912" s="175">
        <v>244.0</v>
      </c>
      <c r="B1912" s="176" t="s">
        <v>6</v>
      </c>
      <c r="C1912" s="176" t="s">
        <v>3198</v>
      </c>
      <c r="D1912" s="176" t="s">
        <v>374</v>
      </c>
      <c r="E1912" s="176" t="s">
        <v>136</v>
      </c>
      <c r="F1912" s="176" t="s">
        <v>136</v>
      </c>
      <c r="G1912" s="176" t="s">
        <v>137</v>
      </c>
      <c r="H1912" s="176" t="s">
        <v>3022</v>
      </c>
      <c r="L1912" s="17" t="s">
        <v>254</v>
      </c>
    </row>
    <row r="1913">
      <c r="A1913" s="175">
        <v>273.0</v>
      </c>
      <c r="B1913" s="177" t="s">
        <v>7</v>
      </c>
      <c r="C1913" s="177" t="s">
        <v>3199</v>
      </c>
      <c r="D1913" s="177" t="s">
        <v>374</v>
      </c>
      <c r="E1913" s="177" t="s">
        <v>136</v>
      </c>
      <c r="F1913" s="177" t="s">
        <v>136</v>
      </c>
      <c r="G1913" s="177" t="s">
        <v>3200</v>
      </c>
      <c r="H1913" s="177" t="s">
        <v>3020</v>
      </c>
      <c r="L1913" s="17" t="s">
        <v>254</v>
      </c>
    </row>
    <row r="1914">
      <c r="A1914" s="175">
        <v>19.0</v>
      </c>
      <c r="B1914" s="177" t="s">
        <v>6</v>
      </c>
      <c r="C1914" s="177" t="s">
        <v>3201</v>
      </c>
      <c r="D1914" s="177" t="s">
        <v>187</v>
      </c>
      <c r="E1914" s="177" t="s">
        <v>135</v>
      </c>
      <c r="F1914" s="177" t="s">
        <v>136</v>
      </c>
      <c r="G1914" s="177" t="s">
        <v>137</v>
      </c>
      <c r="H1914" s="177" t="s">
        <v>3024</v>
      </c>
      <c r="L1914" s="17" t="s">
        <v>254</v>
      </c>
    </row>
    <row r="1915">
      <c r="A1915" s="175">
        <v>43.0</v>
      </c>
      <c r="B1915" s="176" t="s">
        <v>6</v>
      </c>
      <c r="C1915" s="176" t="s">
        <v>3202</v>
      </c>
      <c r="D1915" s="176" t="s">
        <v>187</v>
      </c>
      <c r="E1915" s="176" t="s">
        <v>136</v>
      </c>
      <c r="F1915" s="176" t="s">
        <v>136</v>
      </c>
      <c r="G1915" s="176" t="s">
        <v>3057</v>
      </c>
      <c r="H1915" s="176" t="s">
        <v>3022</v>
      </c>
      <c r="L1915" s="17" t="s">
        <v>254</v>
      </c>
    </row>
    <row r="1916">
      <c r="A1916" s="175">
        <v>46.0</v>
      </c>
      <c r="B1916" s="176" t="s">
        <v>6</v>
      </c>
      <c r="C1916" s="176" t="s">
        <v>220</v>
      </c>
      <c r="D1916" s="176" t="s">
        <v>187</v>
      </c>
      <c r="E1916" s="176" t="s">
        <v>136</v>
      </c>
      <c r="F1916" s="176" t="s">
        <v>136</v>
      </c>
      <c r="G1916" s="176" t="s">
        <v>3027</v>
      </c>
      <c r="H1916" s="176" t="s">
        <v>185</v>
      </c>
      <c r="L1916" s="17" t="s">
        <v>254</v>
      </c>
    </row>
    <row r="1917">
      <c r="A1917" s="175">
        <v>53.0</v>
      </c>
      <c r="B1917" s="176" t="s">
        <v>6</v>
      </c>
      <c r="C1917" s="176" t="s">
        <v>436</v>
      </c>
      <c r="D1917" s="176" t="s">
        <v>187</v>
      </c>
      <c r="E1917" s="176" t="s">
        <v>136</v>
      </c>
      <c r="F1917" s="176" t="s">
        <v>136</v>
      </c>
      <c r="G1917" s="176" t="s">
        <v>137</v>
      </c>
      <c r="H1917" s="176" t="s">
        <v>3065</v>
      </c>
      <c r="L1917" s="17" t="s">
        <v>254</v>
      </c>
    </row>
    <row r="1918">
      <c r="A1918" s="175">
        <v>65.0</v>
      </c>
      <c r="B1918" s="176" t="s">
        <v>7</v>
      </c>
      <c r="C1918" s="176" t="s">
        <v>220</v>
      </c>
      <c r="D1918" s="176" t="s">
        <v>187</v>
      </c>
      <c r="E1918" s="176" t="s">
        <v>135</v>
      </c>
      <c r="F1918" s="176" t="s">
        <v>136</v>
      </c>
      <c r="G1918" s="176" t="s">
        <v>3076</v>
      </c>
      <c r="H1918" s="176" t="s">
        <v>3020</v>
      </c>
      <c r="L1918" s="17" t="s">
        <v>254</v>
      </c>
    </row>
    <row r="1919">
      <c r="A1919" s="175">
        <v>94.0</v>
      </c>
      <c r="B1919" s="177" t="s">
        <v>6</v>
      </c>
      <c r="C1919" s="177" t="s">
        <v>3203</v>
      </c>
      <c r="D1919" s="177" t="s">
        <v>187</v>
      </c>
      <c r="E1919" s="177" t="s">
        <v>136</v>
      </c>
      <c r="F1919" s="177" t="s">
        <v>136</v>
      </c>
      <c r="G1919" s="177" t="s">
        <v>3100</v>
      </c>
      <c r="H1919" s="177" t="s">
        <v>3020</v>
      </c>
      <c r="L1919" s="17" t="s">
        <v>254</v>
      </c>
    </row>
    <row r="1920">
      <c r="A1920" s="175">
        <v>177.0</v>
      </c>
      <c r="B1920" s="176" t="s">
        <v>6</v>
      </c>
      <c r="C1920" s="176" t="s">
        <v>436</v>
      </c>
      <c r="D1920" s="176" t="s">
        <v>187</v>
      </c>
      <c r="E1920" s="176" t="s">
        <v>136</v>
      </c>
      <c r="F1920" s="176" t="s">
        <v>136</v>
      </c>
      <c r="G1920" s="176" t="s">
        <v>3100</v>
      </c>
      <c r="H1920" s="176" t="s">
        <v>3020</v>
      </c>
      <c r="L1920" s="17" t="s">
        <v>254</v>
      </c>
    </row>
    <row r="1921">
      <c r="A1921" s="175">
        <v>202.0</v>
      </c>
      <c r="B1921" s="176" t="s">
        <v>7</v>
      </c>
      <c r="C1921" s="176" t="s">
        <v>3204</v>
      </c>
      <c r="D1921" s="176" t="s">
        <v>187</v>
      </c>
      <c r="E1921" s="176" t="s">
        <v>136</v>
      </c>
      <c r="F1921" s="176" t="s">
        <v>136</v>
      </c>
      <c r="G1921" s="176" t="s">
        <v>137</v>
      </c>
      <c r="H1921" s="176" t="s">
        <v>3022</v>
      </c>
      <c r="L1921" s="17" t="s">
        <v>254</v>
      </c>
    </row>
    <row r="1922">
      <c r="A1922" s="175">
        <v>260.0</v>
      </c>
      <c r="B1922" s="176" t="s">
        <v>7</v>
      </c>
      <c r="C1922" s="176" t="s">
        <v>3205</v>
      </c>
      <c r="D1922" s="176" t="s">
        <v>187</v>
      </c>
      <c r="E1922" s="176" t="s">
        <v>135</v>
      </c>
      <c r="F1922" s="176" t="s">
        <v>136</v>
      </c>
      <c r="G1922" s="176" t="s">
        <v>3206</v>
      </c>
      <c r="H1922" s="176" t="s">
        <v>3020</v>
      </c>
      <c r="L1922" s="17" t="s">
        <v>254</v>
      </c>
    </row>
    <row r="1923">
      <c r="A1923" s="175">
        <v>140.0</v>
      </c>
      <c r="B1923" s="176" t="s">
        <v>6</v>
      </c>
      <c r="C1923" s="176" t="s">
        <v>3207</v>
      </c>
      <c r="D1923" s="176" t="s">
        <v>153</v>
      </c>
      <c r="E1923" s="176" t="s">
        <v>135</v>
      </c>
      <c r="F1923" s="176" t="s">
        <v>135</v>
      </c>
      <c r="G1923" s="176" t="s">
        <v>3057</v>
      </c>
      <c r="H1923" s="176" t="s">
        <v>3022</v>
      </c>
      <c r="L1923" s="17" t="s">
        <v>254</v>
      </c>
    </row>
    <row r="1924">
      <c r="A1924" s="175">
        <v>138.0</v>
      </c>
      <c r="B1924" s="177" t="s">
        <v>6</v>
      </c>
      <c r="C1924" s="177" t="s">
        <v>3208</v>
      </c>
      <c r="D1924" s="177" t="s">
        <v>153</v>
      </c>
      <c r="E1924" s="177" t="s">
        <v>136</v>
      </c>
      <c r="F1924" s="177" t="s">
        <v>135</v>
      </c>
      <c r="G1924" s="177" t="s">
        <v>137</v>
      </c>
      <c r="H1924" s="177" t="s">
        <v>3020</v>
      </c>
      <c r="L1924" s="17" t="s">
        <v>254</v>
      </c>
    </row>
    <row r="1925">
      <c r="A1925" s="175">
        <v>276.0</v>
      </c>
      <c r="B1925" s="176" t="s">
        <v>6</v>
      </c>
      <c r="C1925" s="176" t="s">
        <v>3024</v>
      </c>
      <c r="D1925" s="176" t="s">
        <v>153</v>
      </c>
      <c r="E1925" s="176" t="s">
        <v>135</v>
      </c>
      <c r="F1925" s="176" t="s">
        <v>136</v>
      </c>
      <c r="G1925" s="176" t="s">
        <v>3083</v>
      </c>
      <c r="H1925" s="176" t="s">
        <v>3024</v>
      </c>
      <c r="L1925" s="17" t="s">
        <v>254</v>
      </c>
    </row>
    <row r="1926">
      <c r="A1926" s="175">
        <v>278.0</v>
      </c>
      <c r="B1926" s="176" t="s">
        <v>7</v>
      </c>
      <c r="C1926" s="176" t="s">
        <v>3209</v>
      </c>
      <c r="D1926" s="176" t="s">
        <v>153</v>
      </c>
      <c r="E1926" s="176" t="s">
        <v>135</v>
      </c>
      <c r="F1926" s="176" t="s">
        <v>136</v>
      </c>
      <c r="G1926" s="176" t="s">
        <v>137</v>
      </c>
      <c r="H1926" s="176" t="s">
        <v>3020</v>
      </c>
      <c r="L1926" s="17" t="s">
        <v>254</v>
      </c>
    </row>
    <row r="1927">
      <c r="A1927" s="175">
        <v>283.0</v>
      </c>
      <c r="B1927" s="177" t="s">
        <v>6</v>
      </c>
      <c r="C1927" s="177" t="s">
        <v>3210</v>
      </c>
      <c r="D1927" s="176" t="s">
        <v>153</v>
      </c>
      <c r="E1927" s="177" t="s">
        <v>136</v>
      </c>
      <c r="F1927" s="177" t="s">
        <v>136</v>
      </c>
      <c r="G1927" s="177" t="s">
        <v>137</v>
      </c>
      <c r="H1927" s="177" t="s">
        <v>3020</v>
      </c>
      <c r="L1927" s="17" t="s">
        <v>254</v>
      </c>
    </row>
    <row r="1928">
      <c r="A1928" s="175">
        <v>9.0</v>
      </c>
      <c r="B1928" s="177" t="s">
        <v>7</v>
      </c>
      <c r="C1928" s="177" t="s">
        <v>3211</v>
      </c>
      <c r="D1928" s="176" t="s">
        <v>153</v>
      </c>
      <c r="E1928" s="177" t="s">
        <v>136</v>
      </c>
      <c r="F1928" s="177" t="s">
        <v>136</v>
      </c>
      <c r="G1928" s="177" t="s">
        <v>137</v>
      </c>
      <c r="H1928" s="177" t="s">
        <v>3055</v>
      </c>
      <c r="L1928" s="17" t="s">
        <v>254</v>
      </c>
    </row>
    <row r="1929">
      <c r="A1929" s="175">
        <v>290.0</v>
      </c>
      <c r="B1929" s="176" t="s">
        <v>6</v>
      </c>
      <c r="C1929" s="176" t="s">
        <v>1096</v>
      </c>
      <c r="D1929" s="176" t="s">
        <v>153</v>
      </c>
      <c r="E1929" s="176" t="s">
        <v>135</v>
      </c>
      <c r="F1929" s="176" t="s">
        <v>136</v>
      </c>
      <c r="G1929" s="176" t="s">
        <v>137</v>
      </c>
      <c r="H1929" s="176" t="s">
        <v>3020</v>
      </c>
      <c r="L1929" s="17" t="s">
        <v>254</v>
      </c>
    </row>
    <row r="1930">
      <c r="A1930" s="175">
        <v>6.0</v>
      </c>
      <c r="B1930" s="177" t="s">
        <v>7</v>
      </c>
      <c r="C1930" s="177" t="s">
        <v>808</v>
      </c>
      <c r="D1930" s="176" t="s">
        <v>153</v>
      </c>
      <c r="E1930" s="177" t="s">
        <v>136</v>
      </c>
      <c r="F1930" s="177" t="s">
        <v>136</v>
      </c>
      <c r="G1930" s="177" t="s">
        <v>3212</v>
      </c>
      <c r="H1930" s="177" t="s">
        <v>3020</v>
      </c>
      <c r="L1930" s="17" t="s">
        <v>254</v>
      </c>
    </row>
    <row r="1931">
      <c r="A1931" s="175">
        <v>34.0</v>
      </c>
      <c r="B1931" s="177" t="s">
        <v>7</v>
      </c>
      <c r="C1931" s="177" t="s">
        <v>1096</v>
      </c>
      <c r="D1931" s="176" t="s">
        <v>153</v>
      </c>
      <c r="E1931" s="177" t="s">
        <v>136</v>
      </c>
      <c r="F1931" s="177" t="s">
        <v>136</v>
      </c>
      <c r="G1931" s="177" t="s">
        <v>137</v>
      </c>
      <c r="H1931" s="177" t="s">
        <v>3065</v>
      </c>
      <c r="L1931" s="17" t="s">
        <v>254</v>
      </c>
    </row>
    <row r="1932">
      <c r="A1932" s="175">
        <v>108.0</v>
      </c>
      <c r="B1932" s="176" t="s">
        <v>6</v>
      </c>
      <c r="C1932" s="176" t="s">
        <v>3213</v>
      </c>
      <c r="D1932" s="176" t="s">
        <v>153</v>
      </c>
      <c r="E1932" s="176" t="s">
        <v>136</v>
      </c>
      <c r="F1932" s="176" t="s">
        <v>136</v>
      </c>
      <c r="G1932" s="176" t="s">
        <v>3214</v>
      </c>
      <c r="H1932" s="176" t="s">
        <v>3055</v>
      </c>
      <c r="L1932" s="17" t="s">
        <v>254</v>
      </c>
    </row>
    <row r="1933">
      <c r="A1933" s="175">
        <v>218.0</v>
      </c>
      <c r="B1933" s="176" t="s">
        <v>7</v>
      </c>
      <c r="C1933" s="176" t="s">
        <v>3215</v>
      </c>
      <c r="D1933" s="176" t="s">
        <v>153</v>
      </c>
      <c r="E1933" s="176" t="s">
        <v>135</v>
      </c>
      <c r="F1933" s="176" t="s">
        <v>136</v>
      </c>
      <c r="G1933" s="176" t="s">
        <v>137</v>
      </c>
      <c r="H1933" s="176" t="s">
        <v>3022</v>
      </c>
      <c r="L1933" s="17" t="s">
        <v>254</v>
      </c>
    </row>
    <row r="1934">
      <c r="A1934" s="175">
        <v>88.0</v>
      </c>
      <c r="B1934" s="176" t="s">
        <v>7</v>
      </c>
      <c r="C1934" s="176" t="s">
        <v>3216</v>
      </c>
      <c r="D1934" s="176" t="s">
        <v>193</v>
      </c>
      <c r="E1934" s="176" t="s">
        <v>136</v>
      </c>
      <c r="F1934" s="176" t="s">
        <v>136</v>
      </c>
      <c r="G1934" s="176" t="s">
        <v>3064</v>
      </c>
      <c r="H1934" s="176" t="s">
        <v>3020</v>
      </c>
      <c r="L1934" s="17" t="s">
        <v>254</v>
      </c>
    </row>
    <row r="1935">
      <c r="A1935" s="175">
        <v>115.0</v>
      </c>
      <c r="B1935" s="177" t="s">
        <v>6</v>
      </c>
      <c r="C1935" s="177" t="s">
        <v>515</v>
      </c>
      <c r="D1935" s="177" t="s">
        <v>193</v>
      </c>
      <c r="E1935" s="177" t="s">
        <v>136</v>
      </c>
      <c r="F1935" s="177" t="s">
        <v>135</v>
      </c>
      <c r="G1935" s="177" t="s">
        <v>3027</v>
      </c>
      <c r="H1935" s="177" t="s">
        <v>3022</v>
      </c>
      <c r="L1935" s="17" t="s">
        <v>254</v>
      </c>
    </row>
    <row r="1936">
      <c r="A1936" s="175">
        <v>157.0</v>
      </c>
      <c r="B1936" s="177" t="s">
        <v>7</v>
      </c>
      <c r="C1936" s="177" t="s">
        <v>3216</v>
      </c>
      <c r="D1936" s="177" t="s">
        <v>193</v>
      </c>
      <c r="E1936" s="177" t="s">
        <v>136</v>
      </c>
      <c r="F1936" s="177" t="s">
        <v>136</v>
      </c>
      <c r="G1936" s="177" t="s">
        <v>3027</v>
      </c>
      <c r="H1936" s="177" t="s">
        <v>3065</v>
      </c>
      <c r="L1936" s="17" t="s">
        <v>254</v>
      </c>
    </row>
    <row r="1937">
      <c r="A1937" s="175">
        <v>256.0</v>
      </c>
      <c r="B1937" s="176" t="s">
        <v>7</v>
      </c>
      <c r="C1937" s="176" t="s">
        <v>3217</v>
      </c>
      <c r="D1937" s="176" t="s">
        <v>193</v>
      </c>
      <c r="E1937" s="176" t="s">
        <v>136</v>
      </c>
      <c r="F1937" s="176" t="s">
        <v>136</v>
      </c>
      <c r="G1937" s="176" t="s">
        <v>137</v>
      </c>
      <c r="H1937" s="176" t="s">
        <v>3022</v>
      </c>
      <c r="L1937" s="17" t="s">
        <v>254</v>
      </c>
    </row>
    <row r="1938">
      <c r="A1938" s="175">
        <v>289.0</v>
      </c>
      <c r="B1938" s="177" t="s">
        <v>7</v>
      </c>
      <c r="C1938" s="177" t="s">
        <v>3218</v>
      </c>
      <c r="D1938" s="177" t="s">
        <v>193</v>
      </c>
      <c r="E1938" s="177" t="s">
        <v>135</v>
      </c>
      <c r="F1938" s="177" t="s">
        <v>136</v>
      </c>
      <c r="G1938" s="177" t="s">
        <v>3219</v>
      </c>
      <c r="H1938" s="177" t="s">
        <v>3020</v>
      </c>
      <c r="L1938" s="17" t="s">
        <v>254</v>
      </c>
    </row>
    <row r="1939">
      <c r="A1939" s="175">
        <v>84.0</v>
      </c>
      <c r="B1939" s="177" t="s">
        <v>7</v>
      </c>
      <c r="C1939" s="177" t="s">
        <v>3220</v>
      </c>
      <c r="D1939" s="177" t="s">
        <v>322</v>
      </c>
      <c r="E1939" s="177" t="s">
        <v>136</v>
      </c>
      <c r="F1939" s="177" t="s">
        <v>136</v>
      </c>
      <c r="G1939" s="177" t="s">
        <v>137</v>
      </c>
      <c r="H1939" s="177" t="s">
        <v>3022</v>
      </c>
      <c r="L1939" s="17" t="s">
        <v>254</v>
      </c>
    </row>
    <row r="1940">
      <c r="A1940" s="175">
        <v>135.0</v>
      </c>
      <c r="B1940" s="179" t="s">
        <v>6</v>
      </c>
      <c r="C1940" s="179" t="s">
        <v>3221</v>
      </c>
      <c r="D1940" s="179" t="s">
        <v>322</v>
      </c>
      <c r="E1940" s="179" t="s">
        <v>135</v>
      </c>
      <c r="F1940" s="179" t="s">
        <v>136</v>
      </c>
      <c r="G1940" s="179" t="s">
        <v>3057</v>
      </c>
      <c r="H1940" s="179" t="s">
        <v>3022</v>
      </c>
      <c r="L1940" s="17" t="s">
        <v>254</v>
      </c>
    </row>
    <row r="1941">
      <c r="A1941" s="175">
        <v>159.0</v>
      </c>
      <c r="B1941" s="176" t="s">
        <v>6</v>
      </c>
      <c r="C1941" s="176" t="s">
        <v>3222</v>
      </c>
      <c r="D1941" s="176" t="s">
        <v>322</v>
      </c>
      <c r="E1941" s="176" t="s">
        <v>135</v>
      </c>
      <c r="F1941" s="176" t="s">
        <v>136</v>
      </c>
      <c r="G1941" s="176" t="s">
        <v>137</v>
      </c>
      <c r="H1941" s="176" t="s">
        <v>3067</v>
      </c>
      <c r="L1941" s="17" t="s">
        <v>254</v>
      </c>
    </row>
    <row r="1942">
      <c r="A1942" s="175">
        <v>86.0</v>
      </c>
      <c r="B1942" s="176" t="s">
        <v>7</v>
      </c>
      <c r="C1942" s="176" t="s">
        <v>536</v>
      </c>
      <c r="D1942" s="176" t="s">
        <v>193</v>
      </c>
      <c r="E1942" s="176" t="s">
        <v>136</v>
      </c>
      <c r="F1942" s="176" t="s">
        <v>136</v>
      </c>
      <c r="G1942" s="176" t="s">
        <v>137</v>
      </c>
      <c r="H1942" s="176" t="s">
        <v>3055</v>
      </c>
      <c r="L1942" s="17" t="s">
        <v>254</v>
      </c>
    </row>
    <row r="1943">
      <c r="A1943" s="175">
        <v>254.0</v>
      </c>
      <c r="B1943" s="176" t="s">
        <v>7</v>
      </c>
      <c r="C1943" s="176" t="s">
        <v>1795</v>
      </c>
      <c r="D1943" s="176" t="s">
        <v>263</v>
      </c>
      <c r="E1943" s="176" t="s">
        <v>136</v>
      </c>
      <c r="F1943" s="176" t="s">
        <v>136</v>
      </c>
      <c r="G1943" s="176" t="s">
        <v>3223</v>
      </c>
      <c r="H1943" s="176" t="s">
        <v>3043</v>
      </c>
      <c r="L1943" s="17" t="s">
        <v>254</v>
      </c>
    </row>
    <row r="1944">
      <c r="A1944" s="175">
        <v>271.0</v>
      </c>
      <c r="B1944" s="177" t="s">
        <v>6</v>
      </c>
      <c r="C1944" s="177" t="s">
        <v>3224</v>
      </c>
      <c r="D1944" s="176" t="s">
        <v>263</v>
      </c>
      <c r="E1944" s="177" t="s">
        <v>136</v>
      </c>
      <c r="F1944" s="177" t="s">
        <v>136</v>
      </c>
      <c r="G1944" s="177" t="s">
        <v>3225</v>
      </c>
      <c r="H1944" s="177" t="s">
        <v>185</v>
      </c>
      <c r="L1944" s="17" t="s">
        <v>254</v>
      </c>
    </row>
    <row r="1945">
      <c r="A1945" s="175">
        <v>137.0</v>
      </c>
      <c r="B1945" s="176" t="s">
        <v>6</v>
      </c>
      <c r="C1945" s="176" t="s">
        <v>3226</v>
      </c>
      <c r="D1945" s="140" t="s">
        <v>160</v>
      </c>
      <c r="E1945" s="176" t="s">
        <v>135</v>
      </c>
      <c r="F1945" s="176" t="s">
        <v>136</v>
      </c>
      <c r="G1945" s="176" t="s">
        <v>137</v>
      </c>
      <c r="H1945" s="176" t="s">
        <v>3020</v>
      </c>
      <c r="L1945" s="17" t="s">
        <v>254</v>
      </c>
    </row>
    <row r="1946">
      <c r="A1946" s="153">
        <v>6.0</v>
      </c>
      <c r="B1946" s="156" t="s">
        <v>8</v>
      </c>
      <c r="C1946" s="154" t="s">
        <v>3227</v>
      </c>
      <c r="D1946" s="154" t="s">
        <v>263</v>
      </c>
      <c r="E1946" s="154"/>
      <c r="F1946" s="154" t="s">
        <v>3228</v>
      </c>
      <c r="G1946" s="154" t="s">
        <v>3229</v>
      </c>
      <c r="H1946" s="154" t="s">
        <v>3230</v>
      </c>
      <c r="I1946" s="154" t="s">
        <v>136</v>
      </c>
      <c r="J1946" s="154" t="s">
        <v>3231</v>
      </c>
      <c r="K1946" s="154" t="s">
        <v>2513</v>
      </c>
      <c r="L1946" s="156" t="s">
        <v>54</v>
      </c>
    </row>
    <row r="1947">
      <c r="A1947" s="153">
        <v>101.0</v>
      </c>
      <c r="B1947" s="154" t="s">
        <v>6</v>
      </c>
      <c r="C1947" s="154" t="s">
        <v>3232</v>
      </c>
      <c r="D1947" s="154" t="s">
        <v>188</v>
      </c>
      <c r="E1947" s="154"/>
      <c r="F1947" s="154" t="s">
        <v>136</v>
      </c>
      <c r="G1947" s="154" t="s">
        <v>3233</v>
      </c>
      <c r="H1947" s="154" t="s">
        <v>3234</v>
      </c>
      <c r="I1947" s="154" t="s">
        <v>136</v>
      </c>
      <c r="J1947" s="154" t="s">
        <v>3235</v>
      </c>
      <c r="K1947" s="154" t="s">
        <v>3236</v>
      </c>
      <c r="L1947" s="156" t="s">
        <v>54</v>
      </c>
    </row>
    <row r="1948">
      <c r="A1948" s="153">
        <v>64.0</v>
      </c>
      <c r="B1948" s="154" t="s">
        <v>6</v>
      </c>
      <c r="C1948" s="154" t="s">
        <v>696</v>
      </c>
      <c r="D1948" s="154" t="s">
        <v>301</v>
      </c>
      <c r="E1948" s="154"/>
      <c r="F1948" s="154" t="s">
        <v>136</v>
      </c>
      <c r="G1948" s="154" t="s">
        <v>3237</v>
      </c>
      <c r="H1948" s="154" t="s">
        <v>3238</v>
      </c>
      <c r="I1948" s="154" t="s">
        <v>136</v>
      </c>
      <c r="J1948" s="154" t="s">
        <v>3239</v>
      </c>
      <c r="K1948" s="154" t="s">
        <v>3240</v>
      </c>
      <c r="L1948" s="156" t="s">
        <v>54</v>
      </c>
    </row>
    <row r="1949">
      <c r="A1949" s="153">
        <v>25.0</v>
      </c>
      <c r="B1949" s="154" t="s">
        <v>6</v>
      </c>
      <c r="C1949" s="154" t="s">
        <v>491</v>
      </c>
      <c r="D1949" s="154" t="s">
        <v>193</v>
      </c>
      <c r="E1949" s="154"/>
      <c r="F1949" s="154" t="s">
        <v>136</v>
      </c>
      <c r="G1949" s="154" t="s">
        <v>137</v>
      </c>
      <c r="H1949" s="154" t="s">
        <v>3241</v>
      </c>
      <c r="I1949" s="154" t="s">
        <v>136</v>
      </c>
      <c r="J1949" s="154" t="s">
        <v>3242</v>
      </c>
      <c r="K1949" s="154" t="s">
        <v>2513</v>
      </c>
      <c r="L1949" s="156" t="s">
        <v>54</v>
      </c>
    </row>
    <row r="1950">
      <c r="A1950" s="153">
        <v>81.0</v>
      </c>
      <c r="B1950" s="154" t="s">
        <v>6</v>
      </c>
      <c r="C1950" s="154" t="s">
        <v>3243</v>
      </c>
      <c r="D1950" s="154" t="s">
        <v>263</v>
      </c>
      <c r="E1950" s="154"/>
      <c r="F1950" s="154" t="s">
        <v>136</v>
      </c>
      <c r="G1950" s="154" t="s">
        <v>137</v>
      </c>
      <c r="H1950" s="155"/>
      <c r="I1950" s="154" t="s">
        <v>136</v>
      </c>
      <c r="J1950" s="154" t="s">
        <v>3244</v>
      </c>
      <c r="K1950" s="154" t="s">
        <v>3236</v>
      </c>
      <c r="L1950" s="156" t="s">
        <v>54</v>
      </c>
    </row>
    <row r="1951">
      <c r="A1951" s="153">
        <v>95.0</v>
      </c>
      <c r="B1951" s="154" t="s">
        <v>6</v>
      </c>
      <c r="C1951" s="154" t="s">
        <v>3245</v>
      </c>
      <c r="D1951" s="154" t="s">
        <v>214</v>
      </c>
      <c r="E1951" s="154"/>
      <c r="F1951" s="154" t="s">
        <v>136</v>
      </c>
      <c r="G1951" s="154" t="s">
        <v>320</v>
      </c>
      <c r="H1951" s="155"/>
      <c r="I1951" s="154" t="s">
        <v>136</v>
      </c>
      <c r="J1951" s="154" t="s">
        <v>3246</v>
      </c>
      <c r="K1951" s="154" t="s">
        <v>3247</v>
      </c>
      <c r="L1951" s="156" t="s">
        <v>54</v>
      </c>
    </row>
    <row r="1952">
      <c r="A1952" s="153">
        <v>79.0</v>
      </c>
      <c r="B1952" s="154" t="s">
        <v>6</v>
      </c>
      <c r="C1952" s="154" t="s">
        <v>3248</v>
      </c>
      <c r="D1952" s="154" t="s">
        <v>432</v>
      </c>
      <c r="E1952" s="154"/>
      <c r="F1952" s="154" t="s">
        <v>136</v>
      </c>
      <c r="G1952" s="154" t="s">
        <v>297</v>
      </c>
      <c r="H1952" s="155"/>
      <c r="I1952" s="154" t="s">
        <v>136</v>
      </c>
      <c r="J1952" s="154" t="s">
        <v>3249</v>
      </c>
      <c r="K1952" s="154" t="s">
        <v>185</v>
      </c>
      <c r="L1952" s="156" t="s">
        <v>54</v>
      </c>
    </row>
    <row r="1953">
      <c r="A1953" s="153">
        <v>109.0</v>
      </c>
      <c r="B1953" s="154" t="s">
        <v>6</v>
      </c>
      <c r="C1953" s="154" t="s">
        <v>3250</v>
      </c>
      <c r="D1953" s="154" t="s">
        <v>214</v>
      </c>
      <c r="E1953" s="154"/>
      <c r="F1953" s="154" t="s">
        <v>136</v>
      </c>
      <c r="G1953" s="154" t="s">
        <v>137</v>
      </c>
      <c r="H1953" s="155"/>
      <c r="I1953" s="154" t="s">
        <v>136</v>
      </c>
      <c r="J1953" s="154" t="s">
        <v>3251</v>
      </c>
      <c r="K1953" s="154" t="s">
        <v>3252</v>
      </c>
      <c r="L1953" s="156" t="s">
        <v>54</v>
      </c>
    </row>
    <row r="1954">
      <c r="A1954" s="153">
        <v>97.0</v>
      </c>
      <c r="B1954" s="154" t="s">
        <v>6</v>
      </c>
      <c r="C1954" s="154" t="s">
        <v>513</v>
      </c>
      <c r="D1954" s="154" t="s">
        <v>213</v>
      </c>
      <c r="E1954" s="154"/>
      <c r="F1954" s="154" t="s">
        <v>136</v>
      </c>
      <c r="G1954" s="154" t="s">
        <v>137</v>
      </c>
      <c r="H1954" s="155"/>
      <c r="I1954" s="154" t="s">
        <v>136</v>
      </c>
      <c r="J1954" s="154" t="s">
        <v>3253</v>
      </c>
      <c r="K1954" s="154" t="s">
        <v>3252</v>
      </c>
      <c r="L1954" s="156" t="s">
        <v>54</v>
      </c>
    </row>
    <row r="1955">
      <c r="A1955" s="153">
        <v>145.0</v>
      </c>
      <c r="B1955" s="154" t="s">
        <v>7</v>
      </c>
      <c r="C1955" s="154" t="s">
        <v>3254</v>
      </c>
      <c r="D1955" s="154" t="s">
        <v>140</v>
      </c>
      <c r="E1955" s="154"/>
      <c r="F1955" s="154" t="s">
        <v>185</v>
      </c>
      <c r="G1955" s="154" t="s">
        <v>3255</v>
      </c>
      <c r="H1955" s="154" t="s">
        <v>3256</v>
      </c>
      <c r="I1955" s="154" t="s">
        <v>136</v>
      </c>
      <c r="J1955" s="157">
        <v>45659.106944444444</v>
      </c>
      <c r="K1955" s="154" t="s">
        <v>185</v>
      </c>
      <c r="L1955" s="156" t="s">
        <v>54</v>
      </c>
    </row>
    <row r="1956">
      <c r="A1956" s="153">
        <v>21.0</v>
      </c>
      <c r="B1956" s="154" t="s">
        <v>6</v>
      </c>
      <c r="C1956" s="154" t="s">
        <v>1504</v>
      </c>
      <c r="D1956" s="154" t="s">
        <v>358</v>
      </c>
      <c r="E1956" s="154"/>
      <c r="F1956" s="154" t="s">
        <v>136</v>
      </c>
      <c r="G1956" s="154" t="s">
        <v>191</v>
      </c>
      <c r="H1956" s="155"/>
      <c r="I1956" s="154" t="s">
        <v>136</v>
      </c>
      <c r="J1956" s="154" t="s">
        <v>3257</v>
      </c>
      <c r="K1956" s="154" t="s">
        <v>3247</v>
      </c>
      <c r="L1956" s="156" t="s">
        <v>54</v>
      </c>
    </row>
    <row r="1957">
      <c r="A1957" s="153">
        <v>106.0</v>
      </c>
      <c r="B1957" s="154" t="s">
        <v>6</v>
      </c>
      <c r="C1957" s="154" t="s">
        <v>3258</v>
      </c>
      <c r="D1957" s="154" t="s">
        <v>290</v>
      </c>
      <c r="E1957" s="154"/>
      <c r="F1957" s="154" t="s">
        <v>136</v>
      </c>
      <c r="G1957" s="154" t="s">
        <v>271</v>
      </c>
      <c r="H1957" s="154" t="s">
        <v>3259</v>
      </c>
      <c r="I1957" s="154" t="s">
        <v>136</v>
      </c>
      <c r="J1957" s="154" t="s">
        <v>3260</v>
      </c>
      <c r="K1957" s="154" t="s">
        <v>185</v>
      </c>
      <c r="L1957" s="156" t="s">
        <v>54</v>
      </c>
    </row>
    <row r="1958">
      <c r="A1958" s="153">
        <v>90.0</v>
      </c>
      <c r="B1958" s="154" t="s">
        <v>6</v>
      </c>
      <c r="C1958" s="154" t="s">
        <v>3261</v>
      </c>
      <c r="D1958" s="154" t="s">
        <v>202</v>
      </c>
      <c r="E1958" s="154"/>
      <c r="F1958" s="154" t="s">
        <v>136</v>
      </c>
      <c r="G1958" s="154" t="s">
        <v>618</v>
      </c>
      <c r="H1958" s="155"/>
      <c r="I1958" s="154" t="s">
        <v>136</v>
      </c>
      <c r="J1958" s="154" t="s">
        <v>3262</v>
      </c>
      <c r="K1958" s="154" t="s">
        <v>3263</v>
      </c>
      <c r="L1958" s="156" t="s">
        <v>54</v>
      </c>
    </row>
    <row r="1959">
      <c r="A1959" s="153">
        <v>63.0</v>
      </c>
      <c r="B1959" s="154" t="s">
        <v>6</v>
      </c>
      <c r="C1959" s="154" t="s">
        <v>3264</v>
      </c>
      <c r="D1959" s="154" t="s">
        <v>318</v>
      </c>
      <c r="E1959" s="154"/>
      <c r="F1959" s="154" t="s">
        <v>136</v>
      </c>
      <c r="G1959" s="154" t="s">
        <v>3265</v>
      </c>
      <c r="H1959" s="155"/>
      <c r="I1959" s="154" t="s">
        <v>136</v>
      </c>
      <c r="J1959" s="154" t="s">
        <v>3266</v>
      </c>
      <c r="K1959" s="154" t="s">
        <v>3267</v>
      </c>
      <c r="L1959" s="156" t="s">
        <v>54</v>
      </c>
    </row>
    <row r="1960">
      <c r="A1960" s="153">
        <v>45.0</v>
      </c>
      <c r="B1960" s="154" t="s">
        <v>7</v>
      </c>
      <c r="C1960" s="154" t="s">
        <v>3268</v>
      </c>
      <c r="D1960" s="154" t="s">
        <v>263</v>
      </c>
      <c r="E1960" s="154"/>
      <c r="F1960" s="154" t="s">
        <v>136</v>
      </c>
      <c r="G1960" s="154" t="s">
        <v>3269</v>
      </c>
      <c r="H1960" s="154" t="s">
        <v>3270</v>
      </c>
      <c r="I1960" s="154" t="s">
        <v>136</v>
      </c>
      <c r="J1960" s="154" t="s">
        <v>3271</v>
      </c>
      <c r="K1960" s="154" t="s">
        <v>3247</v>
      </c>
      <c r="L1960" s="156" t="s">
        <v>54</v>
      </c>
    </row>
    <row r="1961">
      <c r="A1961" s="153">
        <v>8.0</v>
      </c>
      <c r="B1961" s="154" t="s">
        <v>6</v>
      </c>
      <c r="C1961" s="154" t="s">
        <v>668</v>
      </c>
      <c r="D1961" s="154" t="s">
        <v>143</v>
      </c>
      <c r="E1961" s="154"/>
      <c r="F1961" s="154" t="s">
        <v>136</v>
      </c>
      <c r="G1961" s="154" t="s">
        <v>157</v>
      </c>
      <c r="H1961" s="155"/>
      <c r="I1961" s="154" t="s">
        <v>136</v>
      </c>
      <c r="J1961" s="154" t="s">
        <v>3272</v>
      </c>
      <c r="K1961" s="154" t="s">
        <v>3247</v>
      </c>
      <c r="L1961" s="156" t="s">
        <v>54</v>
      </c>
    </row>
    <row r="1962">
      <c r="A1962" s="153">
        <v>115.0</v>
      </c>
      <c r="B1962" s="154" t="s">
        <v>6</v>
      </c>
      <c r="C1962" s="154" t="s">
        <v>3273</v>
      </c>
      <c r="D1962" s="154" t="s">
        <v>263</v>
      </c>
      <c r="E1962" s="154"/>
      <c r="F1962" s="154" t="s">
        <v>136</v>
      </c>
      <c r="G1962" s="154" t="s">
        <v>969</v>
      </c>
      <c r="H1962" s="154" t="s">
        <v>455</v>
      </c>
      <c r="I1962" s="154" t="s">
        <v>136</v>
      </c>
      <c r="J1962" s="154" t="s">
        <v>3274</v>
      </c>
      <c r="K1962" s="154" t="s">
        <v>3275</v>
      </c>
      <c r="L1962" s="156" t="s">
        <v>54</v>
      </c>
    </row>
    <row r="1963">
      <c r="A1963" s="153">
        <v>13.0</v>
      </c>
      <c r="B1963" s="154" t="s">
        <v>7</v>
      </c>
      <c r="C1963" s="154" t="s">
        <v>3276</v>
      </c>
      <c r="D1963" s="154" t="s">
        <v>263</v>
      </c>
      <c r="E1963" s="154"/>
      <c r="F1963" s="154" t="s">
        <v>136</v>
      </c>
      <c r="G1963" s="154" t="s">
        <v>137</v>
      </c>
      <c r="H1963" s="155"/>
      <c r="I1963" s="154" t="s">
        <v>135</v>
      </c>
      <c r="J1963" s="154" t="s">
        <v>3277</v>
      </c>
      <c r="K1963" s="154" t="s">
        <v>3247</v>
      </c>
      <c r="L1963" s="156" t="s">
        <v>54</v>
      </c>
    </row>
    <row r="1964">
      <c r="A1964" s="153">
        <v>137.0</v>
      </c>
      <c r="B1964" s="154" t="s">
        <v>6</v>
      </c>
      <c r="C1964" s="154" t="s">
        <v>3278</v>
      </c>
      <c r="D1964" s="154" t="s">
        <v>177</v>
      </c>
      <c r="E1964" s="154"/>
      <c r="F1964" s="154" t="s">
        <v>136</v>
      </c>
      <c r="G1964" s="154" t="s">
        <v>367</v>
      </c>
      <c r="H1964" s="155"/>
      <c r="I1964" s="154" t="s">
        <v>136</v>
      </c>
      <c r="J1964" s="154" t="s">
        <v>3279</v>
      </c>
      <c r="K1964" s="154" t="s">
        <v>2513</v>
      </c>
      <c r="L1964" s="156" t="s">
        <v>54</v>
      </c>
    </row>
    <row r="1965">
      <c r="A1965" s="153">
        <v>143.0</v>
      </c>
      <c r="B1965" s="154" t="s">
        <v>7</v>
      </c>
      <c r="C1965" s="154" t="s">
        <v>3280</v>
      </c>
      <c r="D1965" s="154" t="s">
        <v>263</v>
      </c>
      <c r="E1965" s="154"/>
      <c r="F1965" s="154" t="s">
        <v>136</v>
      </c>
      <c r="G1965" s="154" t="s">
        <v>137</v>
      </c>
      <c r="H1965" s="155"/>
      <c r="I1965" s="154" t="s">
        <v>136</v>
      </c>
      <c r="J1965" s="157">
        <v>45658.67152777778</v>
      </c>
      <c r="K1965" s="154" t="s">
        <v>3247</v>
      </c>
      <c r="L1965" s="156" t="s">
        <v>54</v>
      </c>
    </row>
    <row r="1966">
      <c r="A1966" s="153">
        <v>149.0</v>
      </c>
      <c r="B1966" s="154" t="s">
        <v>6</v>
      </c>
      <c r="C1966" s="154" t="s">
        <v>3281</v>
      </c>
      <c r="D1966" s="154" t="s">
        <v>263</v>
      </c>
      <c r="E1966" s="154"/>
      <c r="F1966" s="154" t="s">
        <v>136</v>
      </c>
      <c r="G1966" s="154" t="s">
        <v>174</v>
      </c>
      <c r="H1966" s="155"/>
      <c r="I1966" s="154" t="s">
        <v>136</v>
      </c>
      <c r="J1966" s="157">
        <v>45660.48402777778</v>
      </c>
      <c r="K1966" s="154" t="s">
        <v>2513</v>
      </c>
      <c r="L1966" s="156" t="s">
        <v>54</v>
      </c>
    </row>
    <row r="1967">
      <c r="A1967" s="153">
        <v>62.0</v>
      </c>
      <c r="B1967" s="154" t="s">
        <v>6</v>
      </c>
      <c r="C1967" s="154" t="s">
        <v>3282</v>
      </c>
      <c r="D1967" s="154" t="s">
        <v>423</v>
      </c>
      <c r="E1967" s="154"/>
      <c r="F1967" s="154" t="s">
        <v>136</v>
      </c>
      <c r="G1967" s="154" t="s">
        <v>265</v>
      </c>
      <c r="H1967" s="155"/>
      <c r="I1967" s="154" t="s">
        <v>136</v>
      </c>
      <c r="J1967" s="154" t="s">
        <v>3283</v>
      </c>
      <c r="K1967" s="154" t="s">
        <v>2513</v>
      </c>
      <c r="L1967" s="156" t="s">
        <v>54</v>
      </c>
    </row>
    <row r="1968">
      <c r="A1968" s="153">
        <v>54.0</v>
      </c>
      <c r="B1968" s="154" t="s">
        <v>8</v>
      </c>
      <c r="C1968" s="154" t="s">
        <v>3284</v>
      </c>
      <c r="D1968" s="154" t="s">
        <v>263</v>
      </c>
      <c r="E1968" s="154"/>
      <c r="F1968" s="154" t="s">
        <v>136</v>
      </c>
      <c r="G1968" s="154" t="s">
        <v>1295</v>
      </c>
      <c r="H1968" s="155"/>
      <c r="I1968" s="154" t="s">
        <v>136</v>
      </c>
      <c r="J1968" s="154" t="s">
        <v>3285</v>
      </c>
      <c r="K1968" s="154" t="s">
        <v>3247</v>
      </c>
      <c r="L1968" s="156" t="s">
        <v>54</v>
      </c>
    </row>
    <row r="1969">
      <c r="A1969" s="153">
        <v>119.0</v>
      </c>
      <c r="B1969" s="154" t="s">
        <v>7</v>
      </c>
      <c r="C1969" s="154" t="s">
        <v>3286</v>
      </c>
      <c r="D1969" s="154" t="s">
        <v>153</v>
      </c>
      <c r="E1969" s="154"/>
      <c r="F1969" s="154" t="s">
        <v>136</v>
      </c>
      <c r="G1969" s="154" t="s">
        <v>2974</v>
      </c>
      <c r="H1969" s="155"/>
      <c r="I1969" s="154" t="s">
        <v>136</v>
      </c>
      <c r="J1969" s="154" t="s">
        <v>3287</v>
      </c>
      <c r="K1969" s="154" t="s">
        <v>185</v>
      </c>
      <c r="L1969" s="156" t="s">
        <v>54</v>
      </c>
    </row>
    <row r="1970">
      <c r="A1970" s="153">
        <v>61.0</v>
      </c>
      <c r="B1970" s="154" t="s">
        <v>6</v>
      </c>
      <c r="C1970" s="154" t="s">
        <v>647</v>
      </c>
      <c r="D1970" s="154" t="s">
        <v>373</v>
      </c>
      <c r="E1970" s="154"/>
      <c r="F1970" s="154" t="s">
        <v>136</v>
      </c>
      <c r="G1970" s="154" t="s">
        <v>271</v>
      </c>
      <c r="H1970" s="155"/>
      <c r="I1970" s="154" t="s">
        <v>135</v>
      </c>
      <c r="J1970" s="154" t="s">
        <v>3288</v>
      </c>
      <c r="K1970" s="154" t="s">
        <v>3252</v>
      </c>
      <c r="L1970" s="156" t="s">
        <v>54</v>
      </c>
    </row>
    <row r="1971">
      <c r="A1971" s="153">
        <v>151.0</v>
      </c>
      <c r="B1971" s="154" t="s">
        <v>7</v>
      </c>
      <c r="C1971" s="154" t="s">
        <v>3289</v>
      </c>
      <c r="D1971" s="154" t="s">
        <v>263</v>
      </c>
      <c r="E1971" s="154"/>
      <c r="F1971" s="154" t="s">
        <v>136</v>
      </c>
      <c r="G1971" s="154" t="s">
        <v>1197</v>
      </c>
      <c r="H1971" s="154" t="s">
        <v>1053</v>
      </c>
      <c r="I1971" s="154" t="s">
        <v>136</v>
      </c>
      <c r="J1971" s="157">
        <v>45660.73055555556</v>
      </c>
      <c r="K1971" s="154" t="s">
        <v>185</v>
      </c>
      <c r="L1971" s="156" t="s">
        <v>54</v>
      </c>
    </row>
    <row r="1972">
      <c r="A1972" s="153">
        <v>75.0</v>
      </c>
      <c r="B1972" s="154" t="s">
        <v>6</v>
      </c>
      <c r="C1972" s="154" t="s">
        <v>3290</v>
      </c>
      <c r="D1972" s="154" t="s">
        <v>263</v>
      </c>
      <c r="E1972" s="154"/>
      <c r="F1972" s="154" t="s">
        <v>136</v>
      </c>
      <c r="G1972" s="154" t="s">
        <v>297</v>
      </c>
      <c r="H1972" s="155"/>
      <c r="I1972" s="154" t="s">
        <v>136</v>
      </c>
      <c r="J1972" s="154" t="s">
        <v>3291</v>
      </c>
      <c r="K1972" s="154" t="s">
        <v>2513</v>
      </c>
      <c r="L1972" s="156" t="s">
        <v>54</v>
      </c>
    </row>
    <row r="1973">
      <c r="A1973" s="153">
        <v>51.0</v>
      </c>
      <c r="B1973" s="154" t="s">
        <v>7</v>
      </c>
      <c r="C1973" s="154" t="s">
        <v>3292</v>
      </c>
      <c r="D1973" s="154" t="s">
        <v>166</v>
      </c>
      <c r="E1973" s="154"/>
      <c r="F1973" s="154" t="s">
        <v>136</v>
      </c>
      <c r="G1973" s="154" t="s">
        <v>310</v>
      </c>
      <c r="H1973" s="155"/>
      <c r="I1973" s="154" t="s">
        <v>136</v>
      </c>
      <c r="J1973" s="154" t="s">
        <v>3293</v>
      </c>
      <c r="K1973" s="154" t="s">
        <v>185</v>
      </c>
      <c r="L1973" s="156" t="s">
        <v>54</v>
      </c>
    </row>
    <row r="1974">
      <c r="A1974" s="153">
        <v>35.0</v>
      </c>
      <c r="B1974" s="154" t="s">
        <v>6</v>
      </c>
      <c r="C1974" s="154" t="s">
        <v>3294</v>
      </c>
      <c r="D1974" s="154" t="s">
        <v>203</v>
      </c>
      <c r="E1974" s="154"/>
      <c r="F1974" s="154" t="s">
        <v>136</v>
      </c>
      <c r="G1974" s="154" t="s">
        <v>205</v>
      </c>
      <c r="H1974" s="154" t="s">
        <v>3295</v>
      </c>
      <c r="I1974" s="154" t="s">
        <v>136</v>
      </c>
      <c r="J1974" s="154" t="s">
        <v>3296</v>
      </c>
      <c r="K1974" s="154" t="s">
        <v>3252</v>
      </c>
      <c r="L1974" s="156" t="s">
        <v>54</v>
      </c>
    </row>
    <row r="1975">
      <c r="A1975" s="153">
        <v>40.0</v>
      </c>
      <c r="B1975" s="154" t="s">
        <v>6</v>
      </c>
      <c r="C1975" s="154" t="s">
        <v>3297</v>
      </c>
      <c r="D1975" s="154" t="s">
        <v>203</v>
      </c>
      <c r="E1975" s="154"/>
      <c r="F1975" s="154" t="s">
        <v>136</v>
      </c>
      <c r="G1975" s="154" t="s">
        <v>221</v>
      </c>
      <c r="H1975" s="155"/>
      <c r="I1975" s="154" t="s">
        <v>136</v>
      </c>
      <c r="J1975" s="154" t="s">
        <v>3298</v>
      </c>
      <c r="K1975" s="154" t="s">
        <v>2513</v>
      </c>
      <c r="L1975" s="156" t="s">
        <v>54</v>
      </c>
    </row>
    <row r="1976">
      <c r="A1976" s="153">
        <v>104.0</v>
      </c>
      <c r="B1976" s="154" t="s">
        <v>7</v>
      </c>
      <c r="C1976" s="154" t="s">
        <v>1957</v>
      </c>
      <c r="D1976" s="154" t="s">
        <v>263</v>
      </c>
      <c r="E1976" s="154"/>
      <c r="F1976" s="154" t="s">
        <v>3299</v>
      </c>
      <c r="G1976" s="154" t="s">
        <v>221</v>
      </c>
      <c r="H1976" s="155"/>
      <c r="I1976" s="154" t="s">
        <v>136</v>
      </c>
      <c r="J1976" s="154" t="s">
        <v>3300</v>
      </c>
      <c r="K1976" s="154" t="s">
        <v>2513</v>
      </c>
      <c r="L1976" s="156" t="s">
        <v>54</v>
      </c>
    </row>
    <row r="1977">
      <c r="A1977" s="153">
        <v>22.0</v>
      </c>
      <c r="B1977" s="154" t="s">
        <v>6</v>
      </c>
      <c r="C1977" s="154" t="s">
        <v>1532</v>
      </c>
      <c r="D1977" s="154" t="s">
        <v>358</v>
      </c>
      <c r="E1977" s="154"/>
      <c r="F1977" s="154" t="s">
        <v>136</v>
      </c>
      <c r="G1977" s="154" t="s">
        <v>3301</v>
      </c>
      <c r="H1977" s="155"/>
      <c r="I1977" s="154" t="s">
        <v>136</v>
      </c>
      <c r="J1977" s="154" t="s">
        <v>3302</v>
      </c>
      <c r="K1977" s="154" t="s">
        <v>185</v>
      </c>
      <c r="L1977" s="156" t="s">
        <v>54</v>
      </c>
    </row>
    <row r="1978">
      <c r="A1978" s="153">
        <v>142.0</v>
      </c>
      <c r="B1978" s="154" t="s">
        <v>7</v>
      </c>
      <c r="C1978" s="154" t="s">
        <v>3303</v>
      </c>
      <c r="D1978" s="154" t="s">
        <v>209</v>
      </c>
      <c r="E1978" s="154"/>
      <c r="F1978" s="154" t="s">
        <v>136</v>
      </c>
      <c r="G1978" s="154" t="s">
        <v>191</v>
      </c>
      <c r="H1978" s="154" t="s">
        <v>1643</v>
      </c>
      <c r="I1978" s="154" t="s">
        <v>136</v>
      </c>
      <c r="J1978" s="157">
        <v>45658.393055555556</v>
      </c>
      <c r="K1978" s="154" t="s">
        <v>3263</v>
      </c>
      <c r="L1978" s="156" t="s">
        <v>54</v>
      </c>
    </row>
    <row r="1979">
      <c r="A1979" s="153">
        <v>85.0</v>
      </c>
      <c r="B1979" s="154" t="s">
        <v>6</v>
      </c>
      <c r="C1979" s="154" t="s">
        <v>3304</v>
      </c>
      <c r="D1979" s="154" t="s">
        <v>239</v>
      </c>
      <c r="E1979" s="154"/>
      <c r="F1979" s="154" t="s">
        <v>136</v>
      </c>
      <c r="G1979" s="154" t="s">
        <v>3305</v>
      </c>
      <c r="H1979" s="154" t="s">
        <v>3306</v>
      </c>
      <c r="I1979" s="154" t="s">
        <v>136</v>
      </c>
      <c r="J1979" s="154" t="s">
        <v>3307</v>
      </c>
      <c r="K1979" s="154" t="s">
        <v>185</v>
      </c>
      <c r="L1979" s="156" t="s">
        <v>54</v>
      </c>
    </row>
    <row r="1980">
      <c r="A1980" s="153">
        <v>91.0</v>
      </c>
      <c r="B1980" s="154" t="s">
        <v>7</v>
      </c>
      <c r="C1980" s="154" t="s">
        <v>3308</v>
      </c>
      <c r="D1980" s="154" t="s">
        <v>290</v>
      </c>
      <c r="E1980" s="154"/>
      <c r="F1980" s="154" t="s">
        <v>136</v>
      </c>
      <c r="G1980" s="154" t="s">
        <v>3237</v>
      </c>
      <c r="H1980" s="154" t="s">
        <v>3309</v>
      </c>
      <c r="I1980" s="154" t="s">
        <v>136</v>
      </c>
      <c r="J1980" s="154" t="s">
        <v>3310</v>
      </c>
      <c r="K1980" s="154" t="s">
        <v>3252</v>
      </c>
      <c r="L1980" s="156" t="s">
        <v>54</v>
      </c>
    </row>
    <row r="1981">
      <c r="A1981" s="153">
        <v>103.0</v>
      </c>
      <c r="B1981" s="154" t="s">
        <v>7</v>
      </c>
      <c r="C1981" s="154" t="s">
        <v>3311</v>
      </c>
      <c r="D1981" s="154" t="s">
        <v>263</v>
      </c>
      <c r="E1981" s="154"/>
      <c r="F1981" s="154" t="s">
        <v>136</v>
      </c>
      <c r="G1981" s="154" t="s">
        <v>3237</v>
      </c>
      <c r="H1981" s="154" t="s">
        <v>411</v>
      </c>
      <c r="I1981" s="154" t="s">
        <v>136</v>
      </c>
      <c r="J1981" s="154" t="s">
        <v>3312</v>
      </c>
      <c r="K1981" s="154" t="s">
        <v>185</v>
      </c>
      <c r="L1981" s="156" t="s">
        <v>54</v>
      </c>
    </row>
    <row r="1982">
      <c r="A1982" s="153">
        <v>102.0</v>
      </c>
      <c r="B1982" s="154" t="s">
        <v>6</v>
      </c>
      <c r="C1982" s="154" t="s">
        <v>3313</v>
      </c>
      <c r="D1982" s="154" t="s">
        <v>290</v>
      </c>
      <c r="E1982" s="154"/>
      <c r="F1982" s="154" t="s">
        <v>136</v>
      </c>
      <c r="G1982" s="154" t="s">
        <v>2870</v>
      </c>
      <c r="H1982" s="155"/>
      <c r="I1982" s="154" t="s">
        <v>136</v>
      </c>
      <c r="J1982" s="154" t="s">
        <v>3314</v>
      </c>
      <c r="K1982" s="154" t="s">
        <v>3252</v>
      </c>
      <c r="L1982" s="156" t="s">
        <v>54</v>
      </c>
    </row>
    <row r="1983">
      <c r="A1983" s="153">
        <v>128.0</v>
      </c>
      <c r="B1983" s="154" t="s">
        <v>6</v>
      </c>
      <c r="C1983" s="154" t="s">
        <v>1896</v>
      </c>
      <c r="D1983" s="154" t="s">
        <v>177</v>
      </c>
      <c r="E1983" s="154"/>
      <c r="F1983" s="154" t="s">
        <v>136</v>
      </c>
      <c r="G1983" s="154" t="s">
        <v>367</v>
      </c>
      <c r="H1983" s="155"/>
      <c r="I1983" s="154" t="s">
        <v>136</v>
      </c>
      <c r="J1983" s="154" t="s">
        <v>3315</v>
      </c>
      <c r="K1983" s="154" t="s">
        <v>3263</v>
      </c>
      <c r="L1983" s="156" t="s">
        <v>54</v>
      </c>
    </row>
    <row r="1984">
      <c r="A1984" s="153">
        <v>152.0</v>
      </c>
      <c r="B1984" s="154" t="s">
        <v>6</v>
      </c>
      <c r="C1984" s="154" t="s">
        <v>3316</v>
      </c>
      <c r="D1984" s="154" t="s">
        <v>263</v>
      </c>
      <c r="E1984" s="154"/>
      <c r="F1984" s="154" t="s">
        <v>136</v>
      </c>
      <c r="G1984" s="154" t="s">
        <v>157</v>
      </c>
      <c r="H1984" s="155"/>
      <c r="I1984" s="154" t="s">
        <v>136</v>
      </c>
      <c r="J1984" s="157">
        <v>45660.73125</v>
      </c>
      <c r="K1984" s="154" t="s">
        <v>2513</v>
      </c>
      <c r="L1984" s="156" t="s">
        <v>54</v>
      </c>
    </row>
    <row r="1985">
      <c r="A1985" s="153">
        <v>121.0</v>
      </c>
      <c r="B1985" s="154" t="s">
        <v>7</v>
      </c>
      <c r="C1985" s="154" t="s">
        <v>3317</v>
      </c>
      <c r="D1985" s="154" t="s">
        <v>239</v>
      </c>
      <c r="E1985" s="154"/>
      <c r="F1985" s="154" t="s">
        <v>136</v>
      </c>
      <c r="G1985" s="154" t="s">
        <v>367</v>
      </c>
      <c r="H1985" s="155"/>
      <c r="I1985" s="154" t="s">
        <v>136</v>
      </c>
      <c r="J1985" s="154" t="s">
        <v>3318</v>
      </c>
      <c r="K1985" s="154" t="s">
        <v>3267</v>
      </c>
      <c r="L1985" s="156" t="s">
        <v>54</v>
      </c>
    </row>
    <row r="1986">
      <c r="A1986" s="153">
        <v>20.0</v>
      </c>
      <c r="B1986" s="154" t="s">
        <v>6</v>
      </c>
      <c r="C1986" s="154" t="s">
        <v>3319</v>
      </c>
      <c r="D1986" s="154" t="s">
        <v>263</v>
      </c>
      <c r="E1986" s="154"/>
      <c r="F1986" s="154" t="s">
        <v>136</v>
      </c>
      <c r="G1986" s="154" t="s">
        <v>221</v>
      </c>
      <c r="H1986" s="154" t="s">
        <v>3320</v>
      </c>
      <c r="I1986" s="154" t="s">
        <v>136</v>
      </c>
      <c r="J1986" s="154" t="s">
        <v>3321</v>
      </c>
      <c r="K1986" s="154" t="s">
        <v>3247</v>
      </c>
      <c r="L1986" s="156" t="s">
        <v>54</v>
      </c>
    </row>
    <row r="1987">
      <c r="A1987" s="153">
        <v>19.0</v>
      </c>
      <c r="B1987" s="154" t="s">
        <v>6</v>
      </c>
      <c r="C1987" s="154" t="s">
        <v>3322</v>
      </c>
      <c r="D1987" s="154" t="s">
        <v>263</v>
      </c>
      <c r="E1987" s="154"/>
      <c r="F1987" s="154" t="s">
        <v>136</v>
      </c>
      <c r="G1987" s="154" t="s">
        <v>401</v>
      </c>
      <c r="H1987" s="155"/>
      <c r="I1987" s="154" t="s">
        <v>136</v>
      </c>
      <c r="J1987" s="154" t="s">
        <v>3323</v>
      </c>
      <c r="K1987" s="154" t="s">
        <v>3247</v>
      </c>
      <c r="L1987" s="156" t="s">
        <v>54</v>
      </c>
    </row>
    <row r="1988">
      <c r="A1988" s="153">
        <v>57.0</v>
      </c>
      <c r="B1988" s="154" t="s">
        <v>6</v>
      </c>
      <c r="C1988" s="154" t="s">
        <v>3324</v>
      </c>
      <c r="D1988" s="154" t="s">
        <v>403</v>
      </c>
      <c r="E1988" s="154"/>
      <c r="F1988" s="154" t="s">
        <v>136</v>
      </c>
      <c r="G1988" s="154" t="s">
        <v>320</v>
      </c>
      <c r="H1988" s="155"/>
      <c r="I1988" s="154" t="s">
        <v>136</v>
      </c>
      <c r="J1988" s="154" t="s">
        <v>3325</v>
      </c>
      <c r="K1988" s="154" t="s">
        <v>185</v>
      </c>
      <c r="L1988" s="156" t="s">
        <v>54</v>
      </c>
    </row>
    <row r="1989">
      <c r="A1989" s="153">
        <v>50.0</v>
      </c>
      <c r="B1989" s="154" t="s">
        <v>6</v>
      </c>
      <c r="C1989" s="154" t="s">
        <v>2107</v>
      </c>
      <c r="D1989" s="154" t="s">
        <v>263</v>
      </c>
      <c r="E1989" s="154"/>
      <c r="F1989" s="154" t="s">
        <v>136</v>
      </c>
      <c r="G1989" s="154" t="s">
        <v>137</v>
      </c>
      <c r="H1989" s="155"/>
      <c r="I1989" s="154" t="s">
        <v>136</v>
      </c>
      <c r="J1989" s="154" t="s">
        <v>3326</v>
      </c>
      <c r="K1989" s="154" t="s">
        <v>2513</v>
      </c>
      <c r="L1989" s="156" t="s">
        <v>54</v>
      </c>
    </row>
    <row r="1990">
      <c r="A1990" s="153">
        <v>80.0</v>
      </c>
      <c r="B1990" s="154" t="s">
        <v>6</v>
      </c>
      <c r="C1990" s="154" t="s">
        <v>3327</v>
      </c>
      <c r="D1990" s="154" t="s">
        <v>263</v>
      </c>
      <c r="E1990" s="154"/>
      <c r="F1990" s="154" t="s">
        <v>136</v>
      </c>
      <c r="G1990" s="154" t="s">
        <v>310</v>
      </c>
      <c r="H1990" s="154" t="s">
        <v>3328</v>
      </c>
      <c r="I1990" s="154" t="s">
        <v>135</v>
      </c>
      <c r="J1990" s="154" t="s">
        <v>3329</v>
      </c>
      <c r="K1990" s="154" t="s">
        <v>185</v>
      </c>
      <c r="L1990" s="156" t="s">
        <v>54</v>
      </c>
    </row>
    <row r="1991">
      <c r="A1991" s="153">
        <v>38.0</v>
      </c>
      <c r="B1991" s="154" t="s">
        <v>6</v>
      </c>
      <c r="C1991" s="154" t="s">
        <v>3330</v>
      </c>
      <c r="D1991" s="154" t="s">
        <v>203</v>
      </c>
      <c r="E1991" s="154"/>
      <c r="F1991" s="154" t="s">
        <v>136</v>
      </c>
      <c r="G1991" s="154" t="s">
        <v>401</v>
      </c>
      <c r="H1991" s="155"/>
      <c r="I1991" s="154" t="s">
        <v>136</v>
      </c>
      <c r="J1991" s="154" t="s">
        <v>3331</v>
      </c>
      <c r="K1991" s="154" t="s">
        <v>2513</v>
      </c>
      <c r="L1991" s="156" t="s">
        <v>54</v>
      </c>
    </row>
    <row r="1992">
      <c r="A1992" s="153">
        <v>18.0</v>
      </c>
      <c r="B1992" s="154" t="s">
        <v>6</v>
      </c>
      <c r="C1992" s="154" t="s">
        <v>3332</v>
      </c>
      <c r="D1992" s="154" t="s">
        <v>420</v>
      </c>
      <c r="E1992" s="154"/>
      <c r="F1992" s="154" t="s">
        <v>136</v>
      </c>
      <c r="G1992" s="154" t="s">
        <v>3333</v>
      </c>
      <c r="H1992" s="154" t="s">
        <v>3334</v>
      </c>
      <c r="I1992" s="154" t="s">
        <v>136</v>
      </c>
      <c r="J1992" s="154" t="s">
        <v>3335</v>
      </c>
      <c r="K1992" s="154" t="s">
        <v>3336</v>
      </c>
      <c r="L1992" s="156" t="s">
        <v>54</v>
      </c>
    </row>
    <row r="1993">
      <c r="A1993" s="153">
        <v>48.0</v>
      </c>
      <c r="B1993" s="154" t="s">
        <v>7</v>
      </c>
      <c r="C1993" s="154" t="s">
        <v>3337</v>
      </c>
      <c r="D1993" s="154" t="s">
        <v>263</v>
      </c>
      <c r="E1993" s="154"/>
      <c r="F1993" s="154" t="s">
        <v>136</v>
      </c>
      <c r="G1993" s="154" t="s">
        <v>3338</v>
      </c>
      <c r="H1993" s="154" t="s">
        <v>3339</v>
      </c>
      <c r="I1993" s="154" t="s">
        <v>136</v>
      </c>
      <c r="J1993" s="154" t="s">
        <v>3340</v>
      </c>
      <c r="K1993" s="154" t="s">
        <v>185</v>
      </c>
      <c r="L1993" s="156" t="s">
        <v>54</v>
      </c>
    </row>
    <row r="1994">
      <c r="A1994" s="153">
        <v>140.0</v>
      </c>
      <c r="B1994" s="154" t="s">
        <v>6</v>
      </c>
      <c r="C1994" s="154" t="s">
        <v>3341</v>
      </c>
      <c r="D1994" s="154" t="s">
        <v>268</v>
      </c>
      <c r="E1994" s="154"/>
      <c r="F1994" s="154" t="s">
        <v>136</v>
      </c>
      <c r="G1994" s="154" t="s">
        <v>3342</v>
      </c>
      <c r="H1994" s="155"/>
      <c r="I1994" s="154" t="s">
        <v>135</v>
      </c>
      <c r="J1994" s="154" t="s">
        <v>3343</v>
      </c>
      <c r="K1994" s="154" t="s">
        <v>2513</v>
      </c>
      <c r="L1994" s="156" t="s">
        <v>54</v>
      </c>
    </row>
    <row r="1995">
      <c r="A1995" s="153">
        <v>42.0</v>
      </c>
      <c r="B1995" s="154" t="s">
        <v>7</v>
      </c>
      <c r="C1995" s="154" t="s">
        <v>3344</v>
      </c>
      <c r="D1995" s="154" t="s">
        <v>203</v>
      </c>
      <c r="E1995" s="154"/>
      <c r="F1995" s="154" t="s">
        <v>136</v>
      </c>
      <c r="G1995" s="154" t="s">
        <v>137</v>
      </c>
      <c r="H1995" s="155"/>
      <c r="I1995" s="154" t="s">
        <v>136</v>
      </c>
      <c r="J1995" s="154" t="s">
        <v>3345</v>
      </c>
      <c r="K1995" s="154" t="s">
        <v>3263</v>
      </c>
      <c r="L1995" s="156" t="s">
        <v>54</v>
      </c>
    </row>
    <row r="1996">
      <c r="A1996" s="153">
        <v>23.0</v>
      </c>
      <c r="B1996" s="154" t="s">
        <v>6</v>
      </c>
      <c r="C1996" s="154" t="s">
        <v>3346</v>
      </c>
      <c r="D1996" s="154" t="s">
        <v>134</v>
      </c>
      <c r="E1996" s="154"/>
      <c r="F1996" s="154" t="s">
        <v>136</v>
      </c>
      <c r="G1996" s="154" t="s">
        <v>320</v>
      </c>
      <c r="H1996" s="155"/>
      <c r="I1996" s="154" t="s">
        <v>136</v>
      </c>
      <c r="J1996" s="154" t="s">
        <v>3347</v>
      </c>
      <c r="K1996" s="154" t="s">
        <v>3247</v>
      </c>
      <c r="L1996" s="156" t="s">
        <v>54</v>
      </c>
    </row>
    <row r="1997">
      <c r="A1997" s="153">
        <v>92.0</v>
      </c>
      <c r="B1997" s="154" t="s">
        <v>6</v>
      </c>
      <c r="C1997" s="154" t="s">
        <v>3348</v>
      </c>
      <c r="D1997" s="154" t="s">
        <v>263</v>
      </c>
      <c r="E1997" s="154"/>
      <c r="F1997" s="154" t="s">
        <v>136</v>
      </c>
      <c r="G1997" s="154" t="s">
        <v>3349</v>
      </c>
      <c r="H1997" s="154" t="s">
        <v>3350</v>
      </c>
      <c r="I1997" s="154" t="s">
        <v>135</v>
      </c>
      <c r="J1997" s="154" t="s">
        <v>3351</v>
      </c>
      <c r="K1997" s="154" t="s">
        <v>2513</v>
      </c>
      <c r="L1997" s="156" t="s">
        <v>54</v>
      </c>
    </row>
    <row r="1998">
      <c r="A1998" s="153">
        <v>135.0</v>
      </c>
      <c r="B1998" s="154" t="s">
        <v>6</v>
      </c>
      <c r="C1998" s="154" t="s">
        <v>3352</v>
      </c>
      <c r="D1998" s="154" t="s">
        <v>263</v>
      </c>
      <c r="E1998" s="154"/>
      <c r="F1998" s="154" t="s">
        <v>136</v>
      </c>
      <c r="G1998" s="154" t="s">
        <v>2873</v>
      </c>
      <c r="H1998" s="154" t="s">
        <v>3353</v>
      </c>
      <c r="I1998" s="154" t="s">
        <v>136</v>
      </c>
      <c r="J1998" s="154" t="s">
        <v>3354</v>
      </c>
      <c r="K1998" s="154" t="s">
        <v>3263</v>
      </c>
      <c r="L1998" s="156" t="s">
        <v>54</v>
      </c>
    </row>
    <row r="1999">
      <c r="A1999" s="153">
        <v>58.0</v>
      </c>
      <c r="B1999" s="154" t="s">
        <v>6</v>
      </c>
      <c r="C1999" s="154" t="s">
        <v>3348</v>
      </c>
      <c r="D1999" s="154" t="s">
        <v>263</v>
      </c>
      <c r="E1999" s="154"/>
      <c r="F1999" s="154" t="s">
        <v>136</v>
      </c>
      <c r="G1999" s="154" t="s">
        <v>3355</v>
      </c>
      <c r="H1999" s="154" t="s">
        <v>3356</v>
      </c>
      <c r="I1999" s="154" t="s">
        <v>136</v>
      </c>
      <c r="J1999" s="154" t="s">
        <v>3357</v>
      </c>
      <c r="K1999" s="154" t="s">
        <v>185</v>
      </c>
      <c r="L1999" s="156" t="s">
        <v>54</v>
      </c>
    </row>
    <row r="2000">
      <c r="A2000" s="153">
        <v>76.0</v>
      </c>
      <c r="B2000" s="154" t="s">
        <v>6</v>
      </c>
      <c r="C2000" s="154" t="s">
        <v>3358</v>
      </c>
      <c r="D2000" s="154" t="s">
        <v>284</v>
      </c>
      <c r="E2000" s="154"/>
      <c r="F2000" s="154" t="s">
        <v>136</v>
      </c>
      <c r="G2000" s="154" t="s">
        <v>1421</v>
      </c>
      <c r="H2000" s="155"/>
      <c r="I2000" s="154" t="s">
        <v>136</v>
      </c>
      <c r="J2000" s="154" t="s">
        <v>3359</v>
      </c>
      <c r="K2000" s="154" t="s">
        <v>3236</v>
      </c>
      <c r="L2000" s="156" t="s">
        <v>54</v>
      </c>
    </row>
    <row r="2001">
      <c r="A2001" s="153">
        <v>36.0</v>
      </c>
      <c r="B2001" s="154" t="s">
        <v>6</v>
      </c>
      <c r="C2001" s="154" t="s">
        <v>3294</v>
      </c>
      <c r="D2001" s="154" t="s">
        <v>203</v>
      </c>
      <c r="E2001" s="154"/>
      <c r="F2001" s="154" t="s">
        <v>136</v>
      </c>
      <c r="G2001" s="154" t="s">
        <v>3360</v>
      </c>
      <c r="H2001" s="155"/>
      <c r="I2001" s="154" t="s">
        <v>135</v>
      </c>
      <c r="J2001" s="154" t="s">
        <v>3361</v>
      </c>
      <c r="K2001" s="154" t="s">
        <v>3252</v>
      </c>
      <c r="L2001" s="156" t="s">
        <v>54</v>
      </c>
    </row>
    <row r="2002">
      <c r="A2002" s="153">
        <v>125.0</v>
      </c>
      <c r="B2002" s="154" t="s">
        <v>7</v>
      </c>
      <c r="C2002" s="154" t="s">
        <v>3362</v>
      </c>
      <c r="D2002" s="154" t="s">
        <v>426</v>
      </c>
      <c r="E2002" s="154"/>
      <c r="F2002" s="154" t="s">
        <v>136</v>
      </c>
      <c r="G2002" s="154" t="s">
        <v>157</v>
      </c>
      <c r="H2002" s="155"/>
      <c r="I2002" s="154" t="s">
        <v>136</v>
      </c>
      <c r="J2002" s="154" t="s">
        <v>3363</v>
      </c>
      <c r="K2002" s="154" t="s">
        <v>3252</v>
      </c>
      <c r="L2002" s="156" t="s">
        <v>54</v>
      </c>
    </row>
    <row r="2003">
      <c r="A2003" s="153">
        <v>17.0</v>
      </c>
      <c r="B2003" s="154" t="s">
        <v>6</v>
      </c>
      <c r="C2003" s="154" t="s">
        <v>3364</v>
      </c>
      <c r="D2003" s="154" t="s">
        <v>263</v>
      </c>
      <c r="E2003" s="154"/>
      <c r="F2003" s="154" t="s">
        <v>136</v>
      </c>
      <c r="G2003" s="154" t="s">
        <v>191</v>
      </c>
      <c r="H2003" s="155"/>
      <c r="I2003" s="154" t="s">
        <v>136</v>
      </c>
      <c r="J2003" s="154" t="s">
        <v>3365</v>
      </c>
      <c r="K2003" s="154" t="s">
        <v>3247</v>
      </c>
      <c r="L2003" s="156" t="s">
        <v>54</v>
      </c>
    </row>
    <row r="2004">
      <c r="A2004" s="153">
        <v>144.0</v>
      </c>
      <c r="B2004" s="154" t="s">
        <v>6</v>
      </c>
      <c r="C2004" s="154" t="s">
        <v>3366</v>
      </c>
      <c r="D2004" s="154" t="s">
        <v>203</v>
      </c>
      <c r="E2004" s="154"/>
      <c r="F2004" s="154" t="s">
        <v>136</v>
      </c>
      <c r="G2004" s="154" t="s">
        <v>401</v>
      </c>
      <c r="H2004" s="155"/>
      <c r="I2004" s="154" t="s">
        <v>136</v>
      </c>
      <c r="J2004" s="157">
        <v>45659.06597222222</v>
      </c>
      <c r="K2004" s="154" t="s">
        <v>3263</v>
      </c>
      <c r="L2004" s="156" t="s">
        <v>54</v>
      </c>
    </row>
    <row r="2005">
      <c r="A2005" s="153">
        <v>43.0</v>
      </c>
      <c r="B2005" s="154" t="s">
        <v>6</v>
      </c>
      <c r="C2005" s="154" t="s">
        <v>3322</v>
      </c>
      <c r="D2005" s="154" t="s">
        <v>263</v>
      </c>
      <c r="E2005" s="154"/>
      <c r="F2005" s="154" t="s">
        <v>136</v>
      </c>
      <c r="G2005" s="154" t="s">
        <v>3367</v>
      </c>
      <c r="H2005" s="155"/>
      <c r="I2005" s="154" t="s">
        <v>136</v>
      </c>
      <c r="J2005" s="154" t="s">
        <v>3368</v>
      </c>
      <c r="K2005" s="154" t="s">
        <v>3247</v>
      </c>
      <c r="L2005" s="156" t="s">
        <v>54</v>
      </c>
    </row>
    <row r="2006">
      <c r="A2006" s="153">
        <v>108.0</v>
      </c>
      <c r="B2006" s="154" t="s">
        <v>6</v>
      </c>
      <c r="C2006" s="154" t="s">
        <v>3369</v>
      </c>
      <c r="D2006" s="154" t="s">
        <v>263</v>
      </c>
      <c r="E2006" s="154"/>
      <c r="F2006" s="154" t="s">
        <v>136</v>
      </c>
      <c r="G2006" s="154" t="s">
        <v>137</v>
      </c>
      <c r="H2006" s="155"/>
      <c r="I2006" s="154" t="s">
        <v>136</v>
      </c>
      <c r="J2006" s="154" t="s">
        <v>3370</v>
      </c>
      <c r="K2006" s="154" t="s">
        <v>185</v>
      </c>
      <c r="L2006" s="156" t="s">
        <v>54</v>
      </c>
    </row>
    <row r="2007">
      <c r="A2007" s="153">
        <v>117.0</v>
      </c>
      <c r="B2007" s="154" t="s">
        <v>7</v>
      </c>
      <c r="C2007" s="154" t="s">
        <v>3371</v>
      </c>
      <c r="D2007" s="154" t="s">
        <v>347</v>
      </c>
      <c r="E2007" s="154"/>
      <c r="F2007" s="154" t="s">
        <v>136</v>
      </c>
      <c r="G2007" s="154" t="s">
        <v>297</v>
      </c>
      <c r="H2007" s="154" t="s">
        <v>3372</v>
      </c>
      <c r="I2007" s="154" t="s">
        <v>136</v>
      </c>
      <c r="J2007" s="154" t="s">
        <v>3373</v>
      </c>
      <c r="K2007" s="154" t="s">
        <v>3247</v>
      </c>
      <c r="L2007" s="156" t="s">
        <v>54</v>
      </c>
    </row>
    <row r="2008">
      <c r="A2008" s="153">
        <v>123.0</v>
      </c>
      <c r="B2008" s="154" t="s">
        <v>6</v>
      </c>
      <c r="C2008" s="154" t="s">
        <v>3374</v>
      </c>
      <c r="D2008" s="154" t="s">
        <v>188</v>
      </c>
      <c r="E2008" s="154"/>
      <c r="F2008" s="154" t="s">
        <v>136</v>
      </c>
      <c r="G2008" s="154" t="s">
        <v>137</v>
      </c>
      <c r="H2008" s="155"/>
      <c r="I2008" s="154" t="s">
        <v>136</v>
      </c>
      <c r="J2008" s="154" t="s">
        <v>3375</v>
      </c>
      <c r="K2008" s="154" t="s">
        <v>3336</v>
      </c>
      <c r="L2008" s="156" t="s">
        <v>54</v>
      </c>
    </row>
    <row r="2009">
      <c r="A2009" s="153">
        <v>150.0</v>
      </c>
      <c r="B2009" s="154" t="s">
        <v>7</v>
      </c>
      <c r="C2009" s="154" t="s">
        <v>3281</v>
      </c>
      <c r="D2009" s="154" t="s">
        <v>263</v>
      </c>
      <c r="E2009" s="154"/>
      <c r="F2009" s="154" t="s">
        <v>136</v>
      </c>
      <c r="G2009" s="154" t="s">
        <v>231</v>
      </c>
      <c r="H2009" s="155"/>
      <c r="I2009" s="154" t="s">
        <v>136</v>
      </c>
      <c r="J2009" s="157">
        <v>45660.49722222222</v>
      </c>
      <c r="K2009" s="154" t="s">
        <v>185</v>
      </c>
      <c r="L2009" s="156" t="s">
        <v>54</v>
      </c>
    </row>
    <row r="2010">
      <c r="A2010" s="153">
        <v>53.0</v>
      </c>
      <c r="B2010" s="154" t="s">
        <v>6</v>
      </c>
      <c r="C2010" s="154" t="s">
        <v>3344</v>
      </c>
      <c r="D2010" s="154" t="s">
        <v>203</v>
      </c>
      <c r="E2010" s="154"/>
      <c r="F2010" s="154" t="s">
        <v>185</v>
      </c>
      <c r="G2010" s="154" t="s">
        <v>221</v>
      </c>
      <c r="H2010" s="154" t="s">
        <v>3376</v>
      </c>
      <c r="I2010" s="154" t="s">
        <v>136</v>
      </c>
      <c r="J2010" s="154" t="s">
        <v>3377</v>
      </c>
      <c r="K2010" s="154" t="s">
        <v>3247</v>
      </c>
      <c r="L2010" s="156" t="s">
        <v>54</v>
      </c>
    </row>
    <row r="2011">
      <c r="A2011" s="153">
        <v>122.0</v>
      </c>
      <c r="B2011" s="154" t="s">
        <v>6</v>
      </c>
      <c r="C2011" s="154" t="s">
        <v>3378</v>
      </c>
      <c r="D2011" s="154" t="s">
        <v>426</v>
      </c>
      <c r="E2011" s="154"/>
      <c r="F2011" s="154" t="s">
        <v>136</v>
      </c>
      <c r="G2011" s="154" t="s">
        <v>137</v>
      </c>
      <c r="H2011" s="155"/>
      <c r="I2011" s="154" t="s">
        <v>136</v>
      </c>
      <c r="J2011" s="154" t="s">
        <v>3379</v>
      </c>
      <c r="K2011" s="154" t="s">
        <v>185</v>
      </c>
      <c r="L2011" s="156" t="s">
        <v>54</v>
      </c>
    </row>
    <row r="2012">
      <c r="A2012" s="153">
        <v>14.0</v>
      </c>
      <c r="B2012" s="154" t="s">
        <v>6</v>
      </c>
      <c r="C2012" s="154" t="s">
        <v>3380</v>
      </c>
      <c r="D2012" s="154" t="s">
        <v>263</v>
      </c>
      <c r="E2012" s="154"/>
      <c r="F2012" s="154" t="s">
        <v>136</v>
      </c>
      <c r="G2012" s="154" t="s">
        <v>271</v>
      </c>
      <c r="H2012" s="155"/>
      <c r="I2012" s="154" t="s">
        <v>136</v>
      </c>
      <c r="J2012" s="154" t="s">
        <v>3381</v>
      </c>
      <c r="K2012" s="154" t="s">
        <v>3247</v>
      </c>
      <c r="L2012" s="156" t="s">
        <v>54</v>
      </c>
    </row>
    <row r="2013">
      <c r="A2013" s="153">
        <v>98.0</v>
      </c>
      <c r="B2013" s="154" t="s">
        <v>6</v>
      </c>
      <c r="C2013" s="154" t="s">
        <v>3382</v>
      </c>
      <c r="D2013" s="154" t="s">
        <v>140</v>
      </c>
      <c r="E2013" s="154"/>
      <c r="F2013" s="154" t="s">
        <v>136</v>
      </c>
      <c r="G2013" s="154" t="s">
        <v>221</v>
      </c>
      <c r="H2013" s="155"/>
      <c r="I2013" s="154" t="s">
        <v>136</v>
      </c>
      <c r="J2013" s="154" t="s">
        <v>3383</v>
      </c>
      <c r="K2013" s="154" t="s">
        <v>2513</v>
      </c>
      <c r="L2013" s="156" t="s">
        <v>54</v>
      </c>
    </row>
    <row r="2014">
      <c r="A2014" s="153">
        <v>141.0</v>
      </c>
      <c r="B2014" s="154" t="s">
        <v>6</v>
      </c>
      <c r="C2014" s="154" t="s">
        <v>3384</v>
      </c>
      <c r="D2014" s="154" t="s">
        <v>290</v>
      </c>
      <c r="E2014" s="154"/>
      <c r="F2014" s="154" t="s">
        <v>136</v>
      </c>
      <c r="G2014" s="154" t="s">
        <v>221</v>
      </c>
      <c r="H2014" s="154" t="s">
        <v>3385</v>
      </c>
      <c r="I2014" s="154" t="s">
        <v>136</v>
      </c>
      <c r="J2014" s="157">
        <v>45658.177083333336</v>
      </c>
      <c r="K2014" s="154" t="s">
        <v>185</v>
      </c>
      <c r="L2014" s="156" t="s">
        <v>54</v>
      </c>
    </row>
    <row r="2015">
      <c r="A2015" s="153">
        <v>136.0</v>
      </c>
      <c r="B2015" s="154" t="s">
        <v>7</v>
      </c>
      <c r="C2015" s="154" t="s">
        <v>3386</v>
      </c>
      <c r="D2015" s="154" t="s">
        <v>239</v>
      </c>
      <c r="E2015" s="154"/>
      <c r="F2015" s="154" t="s">
        <v>136</v>
      </c>
      <c r="G2015" s="154" t="s">
        <v>1197</v>
      </c>
      <c r="H2015" s="154" t="s">
        <v>2958</v>
      </c>
      <c r="I2015" s="154" t="s">
        <v>136</v>
      </c>
      <c r="J2015" s="154" t="s">
        <v>3387</v>
      </c>
      <c r="K2015" s="154" t="s">
        <v>185</v>
      </c>
      <c r="L2015" s="156" t="s">
        <v>54</v>
      </c>
    </row>
    <row r="2016">
      <c r="A2016" s="153">
        <v>24.0</v>
      </c>
      <c r="B2016" s="154" t="s">
        <v>7</v>
      </c>
      <c r="C2016" s="154" t="s">
        <v>3388</v>
      </c>
      <c r="D2016" s="154" t="s">
        <v>134</v>
      </c>
      <c r="E2016" s="154"/>
      <c r="F2016" s="154" t="s">
        <v>136</v>
      </c>
      <c r="G2016" s="154" t="s">
        <v>137</v>
      </c>
      <c r="H2016" s="155"/>
      <c r="I2016" s="154" t="s">
        <v>136</v>
      </c>
      <c r="J2016" s="154" t="s">
        <v>3389</v>
      </c>
      <c r="K2016" s="154" t="s">
        <v>3247</v>
      </c>
      <c r="L2016" s="156" t="s">
        <v>54</v>
      </c>
    </row>
    <row r="2017">
      <c r="A2017" s="153">
        <v>29.0</v>
      </c>
      <c r="B2017" s="154" t="s">
        <v>7</v>
      </c>
      <c r="C2017" s="154" t="s">
        <v>3390</v>
      </c>
      <c r="D2017" s="154" t="s">
        <v>263</v>
      </c>
      <c r="E2017" s="154"/>
      <c r="F2017" s="154" t="s">
        <v>136</v>
      </c>
      <c r="G2017" s="154" t="s">
        <v>137</v>
      </c>
      <c r="H2017" s="154" t="s">
        <v>1556</v>
      </c>
      <c r="I2017" s="154" t="s">
        <v>136</v>
      </c>
      <c r="J2017" s="154" t="s">
        <v>3391</v>
      </c>
      <c r="K2017" s="154" t="s">
        <v>3247</v>
      </c>
      <c r="L2017" s="156" t="s">
        <v>54</v>
      </c>
    </row>
    <row r="2018">
      <c r="A2018" s="153">
        <v>5.0</v>
      </c>
      <c r="B2018" s="154" t="s">
        <v>6</v>
      </c>
      <c r="C2018" s="154" t="s">
        <v>693</v>
      </c>
      <c r="D2018" s="154" t="s">
        <v>143</v>
      </c>
      <c r="E2018" s="154"/>
      <c r="F2018" s="154" t="s">
        <v>136</v>
      </c>
      <c r="G2018" s="154" t="s">
        <v>271</v>
      </c>
      <c r="H2018" s="154" t="s">
        <v>647</v>
      </c>
      <c r="I2018" s="154" t="s">
        <v>136</v>
      </c>
      <c r="J2018" s="154" t="s">
        <v>3392</v>
      </c>
      <c r="K2018" s="154" t="s">
        <v>3263</v>
      </c>
      <c r="L2018" s="156" t="s">
        <v>54</v>
      </c>
    </row>
    <row r="2019">
      <c r="A2019" s="153">
        <v>72.0</v>
      </c>
      <c r="B2019" s="154" t="s">
        <v>6</v>
      </c>
      <c r="C2019" s="154" t="s">
        <v>3393</v>
      </c>
      <c r="D2019" s="154" t="s">
        <v>263</v>
      </c>
      <c r="E2019" s="154"/>
      <c r="F2019" s="154" t="s">
        <v>136</v>
      </c>
      <c r="G2019" s="154" t="s">
        <v>534</v>
      </c>
      <c r="H2019" s="155"/>
      <c r="I2019" s="154" t="s">
        <v>136</v>
      </c>
      <c r="J2019" s="154" t="s">
        <v>3394</v>
      </c>
      <c r="K2019" s="154" t="s">
        <v>3267</v>
      </c>
      <c r="L2019" s="156" t="s">
        <v>54</v>
      </c>
    </row>
    <row r="2020">
      <c r="A2020" s="153">
        <v>33.0</v>
      </c>
      <c r="B2020" s="154" t="s">
        <v>6</v>
      </c>
      <c r="C2020" s="154" t="s">
        <v>3380</v>
      </c>
      <c r="D2020" s="154" t="s">
        <v>263</v>
      </c>
      <c r="E2020" s="154"/>
      <c r="F2020" s="154" t="s">
        <v>136</v>
      </c>
      <c r="G2020" s="154" t="s">
        <v>320</v>
      </c>
      <c r="H2020" s="154" t="s">
        <v>3395</v>
      </c>
      <c r="I2020" s="154" t="s">
        <v>136</v>
      </c>
      <c r="J2020" s="154" t="s">
        <v>3396</v>
      </c>
      <c r="K2020" s="154" t="s">
        <v>3252</v>
      </c>
      <c r="L2020" s="156" t="s">
        <v>54</v>
      </c>
    </row>
    <row r="2021">
      <c r="A2021" s="153">
        <v>56.0</v>
      </c>
      <c r="B2021" s="154" t="s">
        <v>7</v>
      </c>
      <c r="C2021" s="154" t="s">
        <v>3397</v>
      </c>
      <c r="D2021" s="154" t="s">
        <v>203</v>
      </c>
      <c r="E2021" s="154"/>
      <c r="F2021" s="154" t="s">
        <v>136</v>
      </c>
      <c r="G2021" s="154" t="s">
        <v>137</v>
      </c>
      <c r="H2021" s="154" t="s">
        <v>3398</v>
      </c>
      <c r="I2021" s="154" t="s">
        <v>136</v>
      </c>
      <c r="J2021" s="154" t="s">
        <v>3399</v>
      </c>
      <c r="K2021" s="154" t="s">
        <v>185</v>
      </c>
      <c r="L2021" s="156" t="s">
        <v>54</v>
      </c>
    </row>
    <row r="2022">
      <c r="A2022" s="153">
        <v>69.0</v>
      </c>
      <c r="B2022" s="154" t="s">
        <v>7</v>
      </c>
      <c r="C2022" s="154" t="s">
        <v>3400</v>
      </c>
      <c r="D2022" s="154" t="s">
        <v>313</v>
      </c>
      <c r="E2022" s="154"/>
      <c r="F2022" s="154" t="s">
        <v>136</v>
      </c>
      <c r="G2022" s="154" t="s">
        <v>367</v>
      </c>
      <c r="H2022" s="155"/>
      <c r="I2022" s="154" t="s">
        <v>136</v>
      </c>
      <c r="J2022" s="154" t="s">
        <v>3401</v>
      </c>
      <c r="K2022" s="154" t="s">
        <v>185</v>
      </c>
      <c r="L2022" s="156" t="s">
        <v>54</v>
      </c>
    </row>
    <row r="2023">
      <c r="A2023" s="153">
        <v>148.0</v>
      </c>
      <c r="B2023" s="154" t="s">
        <v>7</v>
      </c>
      <c r="C2023" s="154" t="s">
        <v>633</v>
      </c>
      <c r="D2023" s="154" t="s">
        <v>164</v>
      </c>
      <c r="E2023" s="154"/>
      <c r="F2023" s="154" t="s">
        <v>136</v>
      </c>
      <c r="G2023" s="154" t="s">
        <v>137</v>
      </c>
      <c r="H2023" s="155"/>
      <c r="I2023" s="154" t="s">
        <v>136</v>
      </c>
      <c r="J2023" s="157">
        <v>45660.06736111111</v>
      </c>
      <c r="K2023" s="154" t="s">
        <v>3267</v>
      </c>
      <c r="L2023" s="156" t="s">
        <v>54</v>
      </c>
    </row>
    <row r="2024">
      <c r="A2024" s="153">
        <v>138.0</v>
      </c>
      <c r="B2024" s="154" t="s">
        <v>7</v>
      </c>
      <c r="C2024" s="154" t="s">
        <v>1565</v>
      </c>
      <c r="D2024" s="154" t="s">
        <v>296</v>
      </c>
      <c r="E2024" s="154"/>
      <c r="F2024" s="154" t="s">
        <v>136</v>
      </c>
      <c r="G2024" s="154" t="s">
        <v>221</v>
      </c>
      <c r="H2024" s="155"/>
      <c r="I2024" s="154" t="s">
        <v>136</v>
      </c>
      <c r="J2024" s="154" t="s">
        <v>3402</v>
      </c>
      <c r="K2024" s="154" t="s">
        <v>2513</v>
      </c>
      <c r="L2024" s="156" t="s">
        <v>54</v>
      </c>
    </row>
    <row r="2025">
      <c r="A2025" s="153">
        <v>147.0</v>
      </c>
      <c r="B2025" s="154" t="s">
        <v>6</v>
      </c>
      <c r="C2025" s="154" t="s">
        <v>3403</v>
      </c>
      <c r="D2025" s="154" t="s">
        <v>263</v>
      </c>
      <c r="E2025" s="154"/>
      <c r="F2025" s="154" t="s">
        <v>136</v>
      </c>
      <c r="G2025" s="154" t="s">
        <v>650</v>
      </c>
      <c r="H2025" s="155"/>
      <c r="I2025" s="154" t="s">
        <v>136</v>
      </c>
      <c r="J2025" s="157">
        <v>45659.52569444444</v>
      </c>
      <c r="K2025" s="154" t="s">
        <v>3247</v>
      </c>
      <c r="L2025" s="156" t="s">
        <v>54</v>
      </c>
    </row>
    <row r="2026">
      <c r="A2026" s="153">
        <v>28.0</v>
      </c>
      <c r="B2026" s="154" t="s">
        <v>6</v>
      </c>
      <c r="C2026" s="154" t="s">
        <v>3268</v>
      </c>
      <c r="D2026" s="154" t="s">
        <v>263</v>
      </c>
      <c r="E2026" s="154"/>
      <c r="F2026" s="154" t="s">
        <v>136</v>
      </c>
      <c r="G2026" s="154" t="s">
        <v>395</v>
      </c>
      <c r="H2026" s="155"/>
      <c r="I2026" s="154" t="s">
        <v>135</v>
      </c>
      <c r="J2026" s="154" t="s">
        <v>3404</v>
      </c>
      <c r="K2026" s="154" t="s">
        <v>3247</v>
      </c>
      <c r="L2026" s="156" t="s">
        <v>54</v>
      </c>
    </row>
    <row r="2027">
      <c r="A2027" s="153">
        <v>78.0</v>
      </c>
      <c r="B2027" s="154" t="s">
        <v>6</v>
      </c>
      <c r="C2027" s="154" t="s">
        <v>3405</v>
      </c>
      <c r="D2027" s="154" t="s">
        <v>284</v>
      </c>
      <c r="E2027" s="154"/>
      <c r="F2027" s="154" t="s">
        <v>136</v>
      </c>
      <c r="G2027" s="154" t="s">
        <v>606</v>
      </c>
      <c r="H2027" s="155"/>
      <c r="I2027" s="154" t="s">
        <v>136</v>
      </c>
      <c r="J2027" s="154" t="s">
        <v>3406</v>
      </c>
      <c r="K2027" s="154" t="s">
        <v>3252</v>
      </c>
      <c r="L2027" s="156" t="s">
        <v>54</v>
      </c>
    </row>
    <row r="2028">
      <c r="A2028" s="153">
        <v>114.0</v>
      </c>
      <c r="B2028" s="154" t="s">
        <v>6</v>
      </c>
      <c r="C2028" s="154" t="s">
        <v>3407</v>
      </c>
      <c r="D2028" s="154" t="s">
        <v>188</v>
      </c>
      <c r="E2028" s="154"/>
      <c r="F2028" s="154" t="s">
        <v>136</v>
      </c>
      <c r="G2028" s="154" t="s">
        <v>221</v>
      </c>
      <c r="H2028" s="155"/>
      <c r="I2028" s="154" t="s">
        <v>136</v>
      </c>
      <c r="J2028" s="154" t="s">
        <v>3408</v>
      </c>
      <c r="K2028" s="154" t="s">
        <v>3252</v>
      </c>
      <c r="L2028" s="156" t="s">
        <v>54</v>
      </c>
    </row>
    <row r="2029">
      <c r="A2029" s="153">
        <v>96.0</v>
      </c>
      <c r="B2029" s="154" t="s">
        <v>6</v>
      </c>
      <c r="C2029" s="154" t="s">
        <v>3409</v>
      </c>
      <c r="D2029" s="154" t="s">
        <v>198</v>
      </c>
      <c r="E2029" s="154"/>
      <c r="F2029" s="154" t="s">
        <v>136</v>
      </c>
      <c r="G2029" s="154" t="s">
        <v>221</v>
      </c>
      <c r="H2029" s="155"/>
      <c r="I2029" s="154" t="s">
        <v>136</v>
      </c>
      <c r="J2029" s="154" t="s">
        <v>3410</v>
      </c>
      <c r="K2029" s="154" t="s">
        <v>3252</v>
      </c>
      <c r="L2029" s="156" t="s">
        <v>54</v>
      </c>
    </row>
    <row r="2030">
      <c r="A2030" s="153">
        <v>111.0</v>
      </c>
      <c r="B2030" s="154" t="s">
        <v>6</v>
      </c>
      <c r="C2030" s="154" t="s">
        <v>3411</v>
      </c>
      <c r="D2030" s="154" t="s">
        <v>244</v>
      </c>
      <c r="E2030" s="154"/>
      <c r="F2030" s="154" t="s">
        <v>136</v>
      </c>
      <c r="G2030" s="154" t="s">
        <v>221</v>
      </c>
      <c r="H2030" s="155"/>
      <c r="I2030" s="154" t="s">
        <v>136</v>
      </c>
      <c r="J2030" s="154" t="s">
        <v>3412</v>
      </c>
      <c r="K2030" s="154" t="s">
        <v>3252</v>
      </c>
      <c r="L2030" s="156" t="s">
        <v>54</v>
      </c>
    </row>
    <row r="2031">
      <c r="A2031" s="153">
        <v>94.0</v>
      </c>
      <c r="B2031" s="154" t="s">
        <v>6</v>
      </c>
      <c r="C2031" s="154" t="s">
        <v>3413</v>
      </c>
      <c r="D2031" s="154" t="s">
        <v>194</v>
      </c>
      <c r="E2031" s="154"/>
      <c r="F2031" s="154" t="s">
        <v>136</v>
      </c>
      <c r="G2031" s="154" t="s">
        <v>221</v>
      </c>
      <c r="H2031" s="155"/>
      <c r="I2031" s="154" t="s">
        <v>136</v>
      </c>
      <c r="J2031" s="154" t="s">
        <v>3414</v>
      </c>
      <c r="K2031" s="154" t="s">
        <v>3252</v>
      </c>
      <c r="L2031" s="156" t="s">
        <v>54</v>
      </c>
    </row>
    <row r="2032">
      <c r="A2032" s="153">
        <v>26.0</v>
      </c>
      <c r="B2032" s="154" t="s">
        <v>6</v>
      </c>
      <c r="C2032" s="154" t="s">
        <v>3415</v>
      </c>
      <c r="D2032" s="154" t="s">
        <v>258</v>
      </c>
      <c r="E2032" s="154"/>
      <c r="F2032" s="154" t="s">
        <v>136</v>
      </c>
      <c r="G2032" s="154" t="s">
        <v>221</v>
      </c>
      <c r="H2032" s="155"/>
      <c r="I2032" s="154" t="s">
        <v>136</v>
      </c>
      <c r="J2032" s="154" t="s">
        <v>3416</v>
      </c>
      <c r="K2032" s="154" t="s">
        <v>2513</v>
      </c>
      <c r="L2032" s="156" t="s">
        <v>54</v>
      </c>
    </row>
    <row r="2033">
      <c r="A2033" s="153">
        <v>74.0</v>
      </c>
      <c r="B2033" s="154" t="s">
        <v>6</v>
      </c>
      <c r="C2033" s="154" t="s">
        <v>1802</v>
      </c>
      <c r="D2033" s="154" t="s">
        <v>263</v>
      </c>
      <c r="E2033" s="154"/>
      <c r="F2033" s="154" t="s">
        <v>136</v>
      </c>
      <c r="G2033" s="154" t="s">
        <v>395</v>
      </c>
      <c r="H2033" s="155"/>
      <c r="I2033" s="154" t="s">
        <v>135</v>
      </c>
      <c r="J2033" s="154" t="s">
        <v>3417</v>
      </c>
      <c r="K2033" s="154" t="s">
        <v>2513</v>
      </c>
      <c r="L2033" s="156" t="s">
        <v>54</v>
      </c>
    </row>
    <row r="2034">
      <c r="A2034" s="153">
        <v>88.0</v>
      </c>
      <c r="B2034" s="154" t="s">
        <v>6</v>
      </c>
      <c r="C2034" s="154" t="s">
        <v>3418</v>
      </c>
      <c r="D2034" s="154" t="s">
        <v>203</v>
      </c>
      <c r="E2034" s="154"/>
      <c r="F2034" s="154" t="s">
        <v>136</v>
      </c>
      <c r="G2034" s="154" t="s">
        <v>221</v>
      </c>
      <c r="H2034" s="155"/>
      <c r="I2034" s="154" t="s">
        <v>136</v>
      </c>
      <c r="J2034" s="154" t="s">
        <v>3419</v>
      </c>
      <c r="K2034" s="154" t="s">
        <v>185</v>
      </c>
      <c r="L2034" s="156" t="s">
        <v>54</v>
      </c>
    </row>
    <row r="2035">
      <c r="A2035" s="153">
        <v>113.0</v>
      </c>
      <c r="B2035" s="154" t="s">
        <v>7</v>
      </c>
      <c r="C2035" s="154" t="s">
        <v>3420</v>
      </c>
      <c r="D2035" s="154" t="s">
        <v>426</v>
      </c>
      <c r="E2035" s="154"/>
      <c r="F2035" s="154" t="s">
        <v>136</v>
      </c>
      <c r="G2035" s="154" t="s">
        <v>969</v>
      </c>
      <c r="H2035" s="154" t="s">
        <v>3421</v>
      </c>
      <c r="I2035" s="154" t="s">
        <v>136</v>
      </c>
      <c r="J2035" s="154" t="s">
        <v>3422</v>
      </c>
      <c r="K2035" s="154" t="s">
        <v>3267</v>
      </c>
      <c r="L2035" s="156" t="s">
        <v>54</v>
      </c>
    </row>
    <row r="2036">
      <c r="A2036" s="153">
        <v>99.0</v>
      </c>
      <c r="B2036" s="154" t="s">
        <v>7</v>
      </c>
      <c r="C2036" s="154" t="s">
        <v>379</v>
      </c>
      <c r="D2036" s="154" t="s">
        <v>202</v>
      </c>
      <c r="E2036" s="154"/>
      <c r="F2036" s="154" t="s">
        <v>136</v>
      </c>
      <c r="G2036" s="154" t="s">
        <v>221</v>
      </c>
      <c r="H2036" s="154" t="s">
        <v>3423</v>
      </c>
      <c r="I2036" s="154" t="s">
        <v>136</v>
      </c>
      <c r="J2036" s="154" t="s">
        <v>3424</v>
      </c>
      <c r="K2036" s="154" t="s">
        <v>3267</v>
      </c>
      <c r="L2036" s="156" t="s">
        <v>54</v>
      </c>
    </row>
    <row r="2037">
      <c r="A2037" s="153">
        <v>73.0</v>
      </c>
      <c r="B2037" s="154" t="s">
        <v>7</v>
      </c>
      <c r="C2037" s="154" t="s">
        <v>3425</v>
      </c>
      <c r="D2037" s="154" t="s">
        <v>263</v>
      </c>
      <c r="E2037" s="154"/>
      <c r="F2037" s="154" t="s">
        <v>136</v>
      </c>
      <c r="G2037" s="154" t="s">
        <v>137</v>
      </c>
      <c r="H2037" s="154" t="s">
        <v>3426</v>
      </c>
      <c r="I2037" s="154" t="s">
        <v>136</v>
      </c>
      <c r="J2037" s="154" t="s">
        <v>3427</v>
      </c>
      <c r="K2037" s="154" t="s">
        <v>2513</v>
      </c>
      <c r="L2037" s="156" t="s">
        <v>54</v>
      </c>
    </row>
    <row r="2038">
      <c r="A2038" s="153">
        <v>110.0</v>
      </c>
      <c r="B2038" s="154" t="s">
        <v>6</v>
      </c>
      <c r="C2038" s="154" t="s">
        <v>3280</v>
      </c>
      <c r="D2038" s="154" t="s">
        <v>263</v>
      </c>
      <c r="E2038" s="154"/>
      <c r="F2038" s="154" t="s">
        <v>136</v>
      </c>
      <c r="G2038" s="154" t="s">
        <v>180</v>
      </c>
      <c r="H2038" s="155"/>
      <c r="I2038" s="154" t="s">
        <v>135</v>
      </c>
      <c r="J2038" s="154" t="s">
        <v>3428</v>
      </c>
      <c r="K2038" s="154" t="s">
        <v>3247</v>
      </c>
      <c r="L2038" s="156" t="s">
        <v>54</v>
      </c>
    </row>
    <row r="2039">
      <c r="A2039" s="153">
        <v>59.0</v>
      </c>
      <c r="B2039" s="154" t="s">
        <v>7</v>
      </c>
      <c r="C2039" s="154" t="s">
        <v>3429</v>
      </c>
      <c r="D2039" s="154" t="s">
        <v>263</v>
      </c>
      <c r="E2039" s="154"/>
      <c r="F2039" s="154" t="s">
        <v>136</v>
      </c>
      <c r="G2039" s="154" t="s">
        <v>221</v>
      </c>
      <c r="H2039" s="155"/>
      <c r="I2039" s="154" t="s">
        <v>136</v>
      </c>
      <c r="J2039" s="154" t="s">
        <v>3430</v>
      </c>
      <c r="K2039" s="154" t="s">
        <v>3236</v>
      </c>
      <c r="L2039" s="156" t="s">
        <v>54</v>
      </c>
    </row>
    <row r="2040">
      <c r="A2040" s="153">
        <v>11.0</v>
      </c>
      <c r="B2040" s="154" t="s">
        <v>6</v>
      </c>
      <c r="C2040" s="154" t="s">
        <v>3431</v>
      </c>
      <c r="D2040" s="154" t="s">
        <v>263</v>
      </c>
      <c r="E2040" s="154"/>
      <c r="F2040" s="154" t="s">
        <v>136</v>
      </c>
      <c r="G2040" s="154" t="s">
        <v>221</v>
      </c>
      <c r="H2040" s="155"/>
      <c r="I2040" s="154" t="s">
        <v>135</v>
      </c>
      <c r="J2040" s="154" t="s">
        <v>3432</v>
      </c>
      <c r="K2040" s="154" t="s">
        <v>3247</v>
      </c>
      <c r="L2040" s="156" t="s">
        <v>54</v>
      </c>
    </row>
    <row r="2041">
      <c r="A2041" s="153">
        <v>112.0</v>
      </c>
      <c r="B2041" s="154" t="s">
        <v>7</v>
      </c>
      <c r="C2041" s="154" t="s">
        <v>971</v>
      </c>
      <c r="D2041" s="154" t="s">
        <v>143</v>
      </c>
      <c r="E2041" s="154"/>
      <c r="F2041" s="154" t="s">
        <v>136</v>
      </c>
      <c r="G2041" s="154" t="s">
        <v>320</v>
      </c>
      <c r="H2041" s="155"/>
      <c r="I2041" s="154" t="s">
        <v>136</v>
      </c>
      <c r="J2041" s="154" t="s">
        <v>3433</v>
      </c>
      <c r="K2041" s="154" t="s">
        <v>185</v>
      </c>
      <c r="L2041" s="156" t="s">
        <v>54</v>
      </c>
    </row>
    <row r="2042">
      <c r="A2042" s="153">
        <v>130.0</v>
      </c>
      <c r="B2042" s="154" t="s">
        <v>6</v>
      </c>
      <c r="C2042" s="154" t="s">
        <v>2844</v>
      </c>
      <c r="D2042" s="154" t="s">
        <v>177</v>
      </c>
      <c r="E2042" s="154"/>
      <c r="F2042" s="154" t="s">
        <v>136</v>
      </c>
      <c r="G2042" s="154" t="s">
        <v>335</v>
      </c>
      <c r="H2042" s="155"/>
      <c r="I2042" s="154" t="s">
        <v>136</v>
      </c>
      <c r="J2042" s="154" t="s">
        <v>3434</v>
      </c>
      <c r="K2042" s="154" t="s">
        <v>3252</v>
      </c>
      <c r="L2042" s="156" t="s">
        <v>54</v>
      </c>
    </row>
    <row r="2043">
      <c r="A2043" s="153">
        <v>65.0</v>
      </c>
      <c r="B2043" s="154" t="s">
        <v>6</v>
      </c>
      <c r="C2043" s="154" t="s">
        <v>3435</v>
      </c>
      <c r="D2043" s="154" t="s">
        <v>177</v>
      </c>
      <c r="E2043" s="154"/>
      <c r="F2043" s="154" t="s">
        <v>136</v>
      </c>
      <c r="G2043" s="154" t="s">
        <v>367</v>
      </c>
      <c r="H2043" s="155"/>
      <c r="I2043" s="154" t="s">
        <v>135</v>
      </c>
      <c r="J2043" s="154" t="s">
        <v>3436</v>
      </c>
      <c r="K2043" s="154" t="s">
        <v>3252</v>
      </c>
      <c r="L2043" s="156" t="s">
        <v>54</v>
      </c>
    </row>
    <row r="2044">
      <c r="A2044" s="153">
        <v>47.0</v>
      </c>
      <c r="B2044" s="154" t="s">
        <v>7</v>
      </c>
      <c r="C2044" s="154" t="s">
        <v>3437</v>
      </c>
      <c r="D2044" s="154" t="s">
        <v>263</v>
      </c>
      <c r="E2044" s="154"/>
      <c r="F2044" s="154" t="s">
        <v>136</v>
      </c>
      <c r="G2044" s="154" t="s">
        <v>137</v>
      </c>
      <c r="H2044" s="155"/>
      <c r="I2044" s="154" t="s">
        <v>136</v>
      </c>
      <c r="J2044" s="154" t="s">
        <v>3438</v>
      </c>
      <c r="K2044" s="154" t="s">
        <v>2513</v>
      </c>
      <c r="L2044" s="156" t="s">
        <v>54</v>
      </c>
    </row>
    <row r="2045">
      <c r="A2045" s="153">
        <v>9.0</v>
      </c>
      <c r="B2045" s="154" t="s">
        <v>6</v>
      </c>
      <c r="C2045" s="154" t="s">
        <v>3439</v>
      </c>
      <c r="D2045" s="154" t="s">
        <v>263</v>
      </c>
      <c r="E2045" s="154"/>
      <c r="F2045" s="154" t="s">
        <v>136</v>
      </c>
      <c r="G2045" s="154" t="s">
        <v>367</v>
      </c>
      <c r="H2045" s="155"/>
      <c r="I2045" s="154" t="s">
        <v>135</v>
      </c>
      <c r="J2045" s="154" t="s">
        <v>3440</v>
      </c>
      <c r="K2045" s="154" t="s">
        <v>2513</v>
      </c>
      <c r="L2045" s="156" t="s">
        <v>54</v>
      </c>
    </row>
    <row r="2046">
      <c r="A2046" s="153">
        <v>124.0</v>
      </c>
      <c r="B2046" s="154" t="s">
        <v>6</v>
      </c>
      <c r="C2046" s="154" t="s">
        <v>909</v>
      </c>
      <c r="D2046" s="154" t="s">
        <v>243</v>
      </c>
      <c r="E2046" s="154"/>
      <c r="F2046" s="154" t="s">
        <v>136</v>
      </c>
      <c r="G2046" s="154" t="s">
        <v>1829</v>
      </c>
      <c r="H2046" s="154" t="s">
        <v>3441</v>
      </c>
      <c r="I2046" s="154" t="s">
        <v>136</v>
      </c>
      <c r="J2046" s="154" t="s">
        <v>3442</v>
      </c>
      <c r="K2046" s="154" t="s">
        <v>3267</v>
      </c>
      <c r="L2046" s="156" t="s">
        <v>54</v>
      </c>
    </row>
    <row r="2047">
      <c r="A2047" s="153">
        <v>52.0</v>
      </c>
      <c r="B2047" s="154" t="s">
        <v>6</v>
      </c>
      <c r="C2047" s="154" t="s">
        <v>3443</v>
      </c>
      <c r="D2047" s="154" t="s">
        <v>290</v>
      </c>
      <c r="E2047" s="154"/>
      <c r="F2047" s="154" t="s">
        <v>136</v>
      </c>
      <c r="G2047" s="154" t="s">
        <v>320</v>
      </c>
      <c r="H2047" s="155"/>
      <c r="I2047" s="154" t="s">
        <v>136</v>
      </c>
      <c r="J2047" s="154" t="s">
        <v>3444</v>
      </c>
      <c r="K2047" s="154" t="s">
        <v>3275</v>
      </c>
      <c r="L2047" s="156" t="s">
        <v>54</v>
      </c>
    </row>
    <row r="2048">
      <c r="A2048" s="153">
        <v>105.0</v>
      </c>
      <c r="B2048" s="154" t="s">
        <v>6</v>
      </c>
      <c r="C2048" s="154" t="s">
        <v>1957</v>
      </c>
      <c r="D2048" s="154" t="s">
        <v>263</v>
      </c>
      <c r="E2048" s="154"/>
      <c r="F2048" s="154" t="s">
        <v>3299</v>
      </c>
      <c r="G2048" s="154" t="s">
        <v>310</v>
      </c>
      <c r="H2048" s="155"/>
      <c r="I2048" s="154" t="s">
        <v>136</v>
      </c>
      <c r="J2048" s="154" t="s">
        <v>3445</v>
      </c>
      <c r="K2048" s="154" t="s">
        <v>3247</v>
      </c>
      <c r="L2048" s="156" t="s">
        <v>54</v>
      </c>
    </row>
    <row r="2049">
      <c r="A2049" s="153">
        <v>39.0</v>
      </c>
      <c r="B2049" s="154" t="s">
        <v>6</v>
      </c>
      <c r="C2049" s="154" t="s">
        <v>3446</v>
      </c>
      <c r="D2049" s="154" t="s">
        <v>203</v>
      </c>
      <c r="E2049" s="154"/>
      <c r="F2049" s="154" t="s">
        <v>136</v>
      </c>
      <c r="G2049" s="154" t="s">
        <v>3447</v>
      </c>
      <c r="H2049" s="155"/>
      <c r="I2049" s="154" t="s">
        <v>136</v>
      </c>
      <c r="J2049" s="154" t="s">
        <v>3448</v>
      </c>
      <c r="K2049" s="154" t="s">
        <v>2513</v>
      </c>
      <c r="L2049" s="156" t="s">
        <v>54</v>
      </c>
    </row>
    <row r="2050">
      <c r="A2050" s="153">
        <v>131.0</v>
      </c>
      <c r="B2050" s="154" t="s">
        <v>6</v>
      </c>
      <c r="C2050" s="154" t="s">
        <v>3449</v>
      </c>
      <c r="D2050" s="154" t="s">
        <v>188</v>
      </c>
      <c r="E2050" s="154"/>
      <c r="F2050" s="154" t="s">
        <v>136</v>
      </c>
      <c r="G2050" s="154" t="s">
        <v>185</v>
      </c>
      <c r="H2050" s="154" t="s">
        <v>3450</v>
      </c>
      <c r="I2050" s="154" t="s">
        <v>136</v>
      </c>
      <c r="J2050" s="154" t="s">
        <v>3451</v>
      </c>
      <c r="K2050" s="154" t="s">
        <v>3267</v>
      </c>
      <c r="L2050" s="156" t="s">
        <v>54</v>
      </c>
    </row>
    <row r="2051">
      <c r="A2051" s="180">
        <v>7.0</v>
      </c>
      <c r="B2051" s="181" t="s">
        <v>6</v>
      </c>
      <c r="C2051" s="181" t="s">
        <v>3452</v>
      </c>
      <c r="D2051" s="181" t="s">
        <v>313</v>
      </c>
      <c r="E2051" s="181"/>
      <c r="F2051" s="181" t="s">
        <v>136</v>
      </c>
      <c r="G2051" s="181" t="s">
        <v>137</v>
      </c>
      <c r="H2051" s="182"/>
      <c r="I2051" s="181" t="s">
        <v>136</v>
      </c>
      <c r="J2051" s="181" t="s">
        <v>3272</v>
      </c>
      <c r="K2051" s="181" t="s">
        <v>3247</v>
      </c>
      <c r="L2051" s="156" t="s">
        <v>54</v>
      </c>
    </row>
    <row r="2052">
      <c r="A2052" s="153">
        <v>118.0</v>
      </c>
      <c r="B2052" s="154" t="s">
        <v>6</v>
      </c>
      <c r="C2052" s="154" t="s">
        <v>1080</v>
      </c>
      <c r="D2052" s="154" t="s">
        <v>243</v>
      </c>
      <c r="E2052" s="154"/>
      <c r="F2052" s="154" t="s">
        <v>136</v>
      </c>
      <c r="G2052" s="154" t="s">
        <v>1295</v>
      </c>
      <c r="H2052" s="155"/>
      <c r="I2052" s="154" t="s">
        <v>136</v>
      </c>
      <c r="J2052" s="154" t="s">
        <v>3453</v>
      </c>
      <c r="K2052" s="154" t="s">
        <v>3267</v>
      </c>
      <c r="L2052" s="156" t="s">
        <v>54</v>
      </c>
    </row>
    <row r="2053">
      <c r="A2053" s="153">
        <v>66.0</v>
      </c>
      <c r="B2053" s="154" t="s">
        <v>6</v>
      </c>
      <c r="C2053" s="154" t="s">
        <v>602</v>
      </c>
      <c r="D2053" s="154" t="s">
        <v>284</v>
      </c>
      <c r="E2053" s="154"/>
      <c r="F2053" s="154" t="s">
        <v>136</v>
      </c>
      <c r="G2053" s="154" t="s">
        <v>221</v>
      </c>
      <c r="H2053" s="155"/>
      <c r="I2053" s="154" t="s">
        <v>136</v>
      </c>
      <c r="J2053" s="154" t="s">
        <v>3454</v>
      </c>
      <c r="K2053" s="154" t="s">
        <v>3336</v>
      </c>
      <c r="L2053" s="156" t="s">
        <v>54</v>
      </c>
    </row>
    <row r="2054">
      <c r="A2054" s="153">
        <v>100.0</v>
      </c>
      <c r="B2054" s="154" t="s">
        <v>7</v>
      </c>
      <c r="C2054" s="154" t="s">
        <v>3455</v>
      </c>
      <c r="D2054" s="154" t="s">
        <v>202</v>
      </c>
      <c r="E2054" s="154"/>
      <c r="F2054" s="154" t="s">
        <v>136</v>
      </c>
      <c r="G2054" s="154" t="s">
        <v>271</v>
      </c>
      <c r="H2054" s="155"/>
      <c r="I2054" s="154" t="s">
        <v>136</v>
      </c>
      <c r="J2054" s="154" t="s">
        <v>3456</v>
      </c>
      <c r="K2054" s="154" t="s">
        <v>2513</v>
      </c>
      <c r="L2054" s="156" t="s">
        <v>54</v>
      </c>
    </row>
    <row r="2055">
      <c r="A2055" s="153">
        <v>129.0</v>
      </c>
      <c r="B2055" s="154" t="s">
        <v>7</v>
      </c>
      <c r="C2055" s="154" t="s">
        <v>3457</v>
      </c>
      <c r="D2055" s="154" t="s">
        <v>193</v>
      </c>
      <c r="E2055" s="154"/>
      <c r="F2055" s="154" t="s">
        <v>136</v>
      </c>
      <c r="G2055" s="154" t="s">
        <v>367</v>
      </c>
      <c r="H2055" s="155"/>
      <c r="I2055" s="154" t="s">
        <v>136</v>
      </c>
      <c r="J2055" s="154" t="s">
        <v>3458</v>
      </c>
      <c r="K2055" s="154" t="s">
        <v>3240</v>
      </c>
      <c r="L2055" s="156" t="s">
        <v>54</v>
      </c>
    </row>
    <row r="2056">
      <c r="A2056" s="153">
        <v>71.0</v>
      </c>
      <c r="B2056" s="154" t="s">
        <v>7</v>
      </c>
      <c r="C2056" s="154" t="s">
        <v>3459</v>
      </c>
      <c r="D2056" s="154" t="s">
        <v>263</v>
      </c>
      <c r="E2056" s="154"/>
      <c r="F2056" s="154" t="s">
        <v>3299</v>
      </c>
      <c r="G2056" s="154" t="s">
        <v>221</v>
      </c>
      <c r="H2056" s="155"/>
      <c r="I2056" s="154" t="s">
        <v>136</v>
      </c>
      <c r="J2056" s="154" t="s">
        <v>3460</v>
      </c>
      <c r="K2056" s="154" t="s">
        <v>2513</v>
      </c>
      <c r="L2056" s="156" t="s">
        <v>54</v>
      </c>
    </row>
    <row r="2057">
      <c r="A2057" s="153">
        <v>139.0</v>
      </c>
      <c r="B2057" s="154" t="s">
        <v>6</v>
      </c>
      <c r="C2057" s="154" t="s">
        <v>3461</v>
      </c>
      <c r="D2057" s="154" t="s">
        <v>400</v>
      </c>
      <c r="E2057" s="154"/>
      <c r="F2057" s="154" t="s">
        <v>136</v>
      </c>
      <c r="G2057" s="154" t="s">
        <v>271</v>
      </c>
      <c r="H2057" s="154" t="s">
        <v>2108</v>
      </c>
      <c r="I2057" s="154" t="s">
        <v>136</v>
      </c>
      <c r="J2057" s="154" t="s">
        <v>3462</v>
      </c>
      <c r="K2057" s="154" t="s">
        <v>2513</v>
      </c>
      <c r="L2057" s="156" t="s">
        <v>54</v>
      </c>
    </row>
    <row r="2058">
      <c r="A2058" s="153">
        <v>83.0</v>
      </c>
      <c r="B2058" s="154" t="s">
        <v>7</v>
      </c>
      <c r="C2058" s="154" t="s">
        <v>3243</v>
      </c>
      <c r="D2058" s="154" t="s">
        <v>263</v>
      </c>
      <c r="E2058" s="154"/>
      <c r="F2058" s="154" t="s">
        <v>136</v>
      </c>
      <c r="G2058" s="154" t="s">
        <v>137</v>
      </c>
      <c r="H2058" s="155"/>
      <c r="I2058" s="154" t="s">
        <v>136</v>
      </c>
      <c r="J2058" s="154" t="s">
        <v>3463</v>
      </c>
      <c r="K2058" s="154" t="s">
        <v>2513</v>
      </c>
      <c r="L2058" s="156" t="s">
        <v>54</v>
      </c>
    </row>
    <row r="2059">
      <c r="A2059" s="153">
        <v>132.0</v>
      </c>
      <c r="B2059" s="154" t="s">
        <v>6</v>
      </c>
      <c r="C2059" s="154" t="s">
        <v>3464</v>
      </c>
      <c r="D2059" s="154" t="s">
        <v>263</v>
      </c>
      <c r="E2059" s="154"/>
      <c r="F2059" s="154" t="s">
        <v>136</v>
      </c>
      <c r="G2059" s="154" t="s">
        <v>3465</v>
      </c>
      <c r="H2059" s="155"/>
      <c r="I2059" s="154" t="s">
        <v>136</v>
      </c>
      <c r="J2059" s="154" t="s">
        <v>3466</v>
      </c>
      <c r="K2059" s="154" t="s">
        <v>185</v>
      </c>
      <c r="L2059" s="156" t="s">
        <v>54</v>
      </c>
    </row>
    <row r="2060">
      <c r="A2060" s="153">
        <v>93.0</v>
      </c>
      <c r="B2060" s="154" t="s">
        <v>6</v>
      </c>
      <c r="C2060" s="154" t="s">
        <v>3467</v>
      </c>
      <c r="D2060" s="154" t="s">
        <v>154</v>
      </c>
      <c r="E2060" s="154"/>
      <c r="F2060" s="154" t="s">
        <v>136</v>
      </c>
      <c r="G2060" s="154" t="s">
        <v>1829</v>
      </c>
      <c r="H2060" s="155"/>
      <c r="I2060" s="154" t="s">
        <v>136</v>
      </c>
      <c r="J2060" s="154" t="s">
        <v>3468</v>
      </c>
      <c r="K2060" s="154" t="s">
        <v>185</v>
      </c>
      <c r="L2060" s="156" t="s">
        <v>54</v>
      </c>
    </row>
    <row r="2061">
      <c r="A2061" s="153">
        <v>87.0</v>
      </c>
      <c r="B2061" s="154" t="s">
        <v>7</v>
      </c>
      <c r="C2061" s="154" t="s">
        <v>3469</v>
      </c>
      <c r="D2061" s="154" t="s">
        <v>224</v>
      </c>
      <c r="E2061" s="154"/>
      <c r="F2061" s="154" t="s">
        <v>136</v>
      </c>
      <c r="G2061" s="154" t="s">
        <v>185</v>
      </c>
      <c r="H2061" s="154" t="s">
        <v>3470</v>
      </c>
      <c r="I2061" s="154" t="s">
        <v>136</v>
      </c>
      <c r="J2061" s="154" t="s">
        <v>3471</v>
      </c>
      <c r="K2061" s="154" t="s">
        <v>185</v>
      </c>
      <c r="L2061" s="156" t="s">
        <v>54</v>
      </c>
    </row>
    <row r="2062">
      <c r="A2062" s="153">
        <v>86.0</v>
      </c>
      <c r="B2062" s="154" t="s">
        <v>7</v>
      </c>
      <c r="C2062" s="154" t="s">
        <v>3472</v>
      </c>
      <c r="D2062" s="154" t="s">
        <v>426</v>
      </c>
      <c r="E2062" s="154"/>
      <c r="F2062" s="154" t="s">
        <v>136</v>
      </c>
      <c r="G2062" s="154" t="s">
        <v>969</v>
      </c>
      <c r="H2062" s="154" t="s">
        <v>3473</v>
      </c>
      <c r="I2062" s="154" t="s">
        <v>136</v>
      </c>
      <c r="J2062" s="154" t="s">
        <v>3474</v>
      </c>
      <c r="K2062" s="154" t="s">
        <v>2513</v>
      </c>
      <c r="L2062" s="156" t="s">
        <v>54</v>
      </c>
    </row>
    <row r="2063">
      <c r="A2063" s="153">
        <v>89.0</v>
      </c>
      <c r="B2063" s="154" t="s">
        <v>6</v>
      </c>
      <c r="C2063" s="154" t="s">
        <v>3475</v>
      </c>
      <c r="D2063" s="154" t="s">
        <v>284</v>
      </c>
      <c r="E2063" s="154"/>
      <c r="F2063" s="154" t="s">
        <v>136</v>
      </c>
      <c r="G2063" s="154" t="s">
        <v>3476</v>
      </c>
      <c r="H2063" s="154" t="s">
        <v>1053</v>
      </c>
      <c r="I2063" s="154" t="s">
        <v>136</v>
      </c>
      <c r="J2063" s="154" t="s">
        <v>3477</v>
      </c>
      <c r="K2063" s="154" t="s">
        <v>3252</v>
      </c>
      <c r="L2063" s="156" t="s">
        <v>54</v>
      </c>
    </row>
    <row r="2064">
      <c r="A2064" s="153">
        <v>68.0</v>
      </c>
      <c r="B2064" s="154" t="s">
        <v>6</v>
      </c>
      <c r="C2064" s="154" t="s">
        <v>3478</v>
      </c>
      <c r="D2064" s="154" t="s">
        <v>290</v>
      </c>
      <c r="E2064" s="154"/>
      <c r="F2064" s="154" t="s">
        <v>136</v>
      </c>
      <c r="G2064" s="154" t="s">
        <v>320</v>
      </c>
      <c r="H2064" s="154" t="s">
        <v>3479</v>
      </c>
      <c r="I2064" s="154" t="s">
        <v>136</v>
      </c>
      <c r="J2064" s="154" t="s">
        <v>3480</v>
      </c>
      <c r="K2064" s="154" t="s">
        <v>3247</v>
      </c>
      <c r="L2064" s="156" t="s">
        <v>54</v>
      </c>
    </row>
    <row r="2065">
      <c r="A2065" s="153">
        <v>82.0</v>
      </c>
      <c r="B2065" s="154" t="s">
        <v>6</v>
      </c>
      <c r="C2065" s="154" t="s">
        <v>3481</v>
      </c>
      <c r="D2065" s="154" t="s">
        <v>243</v>
      </c>
      <c r="E2065" s="154"/>
      <c r="F2065" s="154" t="s">
        <v>136</v>
      </c>
      <c r="G2065" s="154" t="s">
        <v>137</v>
      </c>
      <c r="H2065" s="155"/>
      <c r="I2065" s="154" t="s">
        <v>136</v>
      </c>
      <c r="J2065" s="154" t="s">
        <v>3482</v>
      </c>
      <c r="K2065" s="154" t="s">
        <v>3252</v>
      </c>
      <c r="L2065" s="156" t="s">
        <v>54</v>
      </c>
    </row>
    <row r="2066">
      <c r="A2066" s="153">
        <v>67.0</v>
      </c>
      <c r="B2066" s="156" t="s">
        <v>8</v>
      </c>
      <c r="C2066" s="154" t="s">
        <v>3483</v>
      </c>
      <c r="D2066" s="154" t="s">
        <v>290</v>
      </c>
      <c r="E2066" s="154"/>
      <c r="F2066" s="154" t="s">
        <v>136</v>
      </c>
      <c r="G2066" s="154" t="s">
        <v>137</v>
      </c>
      <c r="H2066" s="155"/>
      <c r="I2066" s="154" t="s">
        <v>136</v>
      </c>
      <c r="J2066" s="154" t="s">
        <v>3484</v>
      </c>
      <c r="K2066" s="154" t="s">
        <v>3252</v>
      </c>
      <c r="L2066" s="156" t="s">
        <v>54</v>
      </c>
    </row>
    <row r="2067">
      <c r="A2067" s="153">
        <v>120.0</v>
      </c>
      <c r="B2067" s="154" t="s">
        <v>6</v>
      </c>
      <c r="C2067" s="154" t="s">
        <v>3485</v>
      </c>
      <c r="D2067" s="154" t="s">
        <v>290</v>
      </c>
      <c r="E2067" s="154"/>
      <c r="F2067" s="154" t="s">
        <v>136</v>
      </c>
      <c r="G2067" s="154" t="s">
        <v>265</v>
      </c>
      <c r="H2067" s="155"/>
      <c r="I2067" s="154" t="s">
        <v>136</v>
      </c>
      <c r="J2067" s="154" t="s">
        <v>3486</v>
      </c>
      <c r="K2067" s="154" t="s">
        <v>185</v>
      </c>
      <c r="L2067" s="156" t="s">
        <v>54</v>
      </c>
    </row>
    <row r="2068">
      <c r="A2068" s="153">
        <v>70.0</v>
      </c>
      <c r="B2068" s="154" t="s">
        <v>6</v>
      </c>
      <c r="C2068" s="154" t="s">
        <v>427</v>
      </c>
      <c r="D2068" s="154" t="s">
        <v>243</v>
      </c>
      <c r="E2068" s="154"/>
      <c r="F2068" s="154" t="s">
        <v>136</v>
      </c>
      <c r="G2068" s="154" t="s">
        <v>137</v>
      </c>
      <c r="H2068" s="155"/>
      <c r="I2068" s="154" t="s">
        <v>136</v>
      </c>
      <c r="J2068" s="154" t="s">
        <v>3487</v>
      </c>
      <c r="K2068" s="154" t="s">
        <v>3247</v>
      </c>
      <c r="L2068" s="156" t="s">
        <v>54</v>
      </c>
    </row>
    <row r="2069">
      <c r="A2069" s="153">
        <v>34.0</v>
      </c>
      <c r="B2069" s="154" t="s">
        <v>6</v>
      </c>
      <c r="C2069" s="154" t="s">
        <v>3488</v>
      </c>
      <c r="D2069" s="154" t="s">
        <v>134</v>
      </c>
      <c r="E2069" s="154"/>
      <c r="F2069" s="154" t="s">
        <v>136</v>
      </c>
      <c r="G2069" s="154" t="s">
        <v>137</v>
      </c>
      <c r="H2069" s="154" t="s">
        <v>1650</v>
      </c>
      <c r="I2069" s="154" t="s">
        <v>136</v>
      </c>
      <c r="J2069" s="154" t="s">
        <v>3489</v>
      </c>
      <c r="K2069" s="154" t="s">
        <v>185</v>
      </c>
      <c r="L2069" s="156" t="s">
        <v>54</v>
      </c>
    </row>
    <row r="2070">
      <c r="A2070" s="153">
        <v>41.0</v>
      </c>
      <c r="B2070" s="154" t="s">
        <v>7</v>
      </c>
      <c r="C2070" s="154" t="s">
        <v>3268</v>
      </c>
      <c r="D2070" s="154" t="s">
        <v>263</v>
      </c>
      <c r="E2070" s="154"/>
      <c r="F2070" s="154" t="s">
        <v>136</v>
      </c>
      <c r="G2070" s="154" t="s">
        <v>174</v>
      </c>
      <c r="H2070" s="155"/>
      <c r="I2070" s="154" t="s">
        <v>135</v>
      </c>
      <c r="J2070" s="154" t="s">
        <v>3490</v>
      </c>
      <c r="K2070" s="154" t="s">
        <v>3247</v>
      </c>
      <c r="L2070" s="156" t="s">
        <v>54</v>
      </c>
    </row>
    <row r="2071">
      <c r="A2071" s="153">
        <v>30.0</v>
      </c>
      <c r="B2071" s="154" t="s">
        <v>6</v>
      </c>
      <c r="C2071" s="154" t="s">
        <v>1608</v>
      </c>
      <c r="D2071" s="154" t="s">
        <v>358</v>
      </c>
      <c r="E2071" s="154"/>
      <c r="F2071" s="154" t="s">
        <v>136</v>
      </c>
      <c r="G2071" s="154" t="s">
        <v>137</v>
      </c>
      <c r="H2071" s="155"/>
      <c r="I2071" s="154" t="s">
        <v>136</v>
      </c>
      <c r="J2071" s="154" t="s">
        <v>3491</v>
      </c>
      <c r="K2071" s="154" t="s">
        <v>2513</v>
      </c>
      <c r="L2071" s="156" t="s">
        <v>54</v>
      </c>
    </row>
    <row r="2072">
      <c r="A2072" s="153">
        <v>27.0</v>
      </c>
      <c r="B2072" s="154" t="s">
        <v>7</v>
      </c>
      <c r="C2072" s="154" t="s">
        <v>3415</v>
      </c>
      <c r="D2072" s="154" t="s">
        <v>279</v>
      </c>
      <c r="E2072" s="154"/>
      <c r="F2072" s="154" t="s">
        <v>136</v>
      </c>
      <c r="G2072" s="154" t="s">
        <v>221</v>
      </c>
      <c r="H2072" s="155"/>
      <c r="I2072" s="154" t="s">
        <v>136</v>
      </c>
      <c r="J2072" s="154" t="s">
        <v>3492</v>
      </c>
      <c r="K2072" s="154" t="s">
        <v>2513</v>
      </c>
      <c r="L2072" s="156" t="s">
        <v>54</v>
      </c>
    </row>
    <row r="2073">
      <c r="A2073" s="153">
        <v>60.0</v>
      </c>
      <c r="B2073" s="154" t="s">
        <v>7</v>
      </c>
      <c r="C2073" s="154" t="s">
        <v>3493</v>
      </c>
      <c r="D2073" s="154" t="s">
        <v>263</v>
      </c>
      <c r="E2073" s="154"/>
      <c r="F2073" s="154" t="s">
        <v>136</v>
      </c>
      <c r="G2073" s="154" t="s">
        <v>137</v>
      </c>
      <c r="H2073" s="155"/>
      <c r="I2073" s="154" t="s">
        <v>136</v>
      </c>
      <c r="J2073" s="154" t="s">
        <v>3494</v>
      </c>
      <c r="K2073" s="154" t="s">
        <v>3247</v>
      </c>
      <c r="L2073" s="156" t="s">
        <v>54</v>
      </c>
    </row>
    <row r="2074">
      <c r="A2074" s="153">
        <v>84.0</v>
      </c>
      <c r="B2074" s="154" t="s">
        <v>6</v>
      </c>
      <c r="C2074" s="154" t="s">
        <v>3495</v>
      </c>
      <c r="D2074" s="154" t="s">
        <v>171</v>
      </c>
      <c r="E2074" s="154"/>
      <c r="F2074" s="154" t="s">
        <v>136</v>
      </c>
      <c r="G2074" s="154" t="s">
        <v>3496</v>
      </c>
      <c r="H2074" s="154" t="s">
        <v>411</v>
      </c>
      <c r="I2074" s="154" t="s">
        <v>136</v>
      </c>
      <c r="J2074" s="154" t="s">
        <v>3497</v>
      </c>
      <c r="K2074" s="154" t="s">
        <v>3252</v>
      </c>
      <c r="L2074" s="156" t="s">
        <v>54</v>
      </c>
    </row>
    <row r="2075">
      <c r="A2075" s="153">
        <v>127.0</v>
      </c>
      <c r="B2075" s="154" t="s">
        <v>7</v>
      </c>
      <c r="C2075" s="154" t="s">
        <v>3498</v>
      </c>
      <c r="D2075" s="154" t="s">
        <v>153</v>
      </c>
      <c r="E2075" s="154"/>
      <c r="F2075" s="154" t="s">
        <v>136</v>
      </c>
      <c r="G2075" s="154" t="s">
        <v>191</v>
      </c>
      <c r="H2075" s="155"/>
      <c r="I2075" s="154" t="s">
        <v>136</v>
      </c>
      <c r="J2075" s="154" t="s">
        <v>3499</v>
      </c>
      <c r="K2075" s="154" t="s">
        <v>3263</v>
      </c>
      <c r="L2075" s="156" t="s">
        <v>54</v>
      </c>
    </row>
    <row r="2076">
      <c r="A2076" s="153">
        <v>16.0</v>
      </c>
      <c r="B2076" s="154" t="s">
        <v>6</v>
      </c>
      <c r="C2076" s="154" t="s">
        <v>3500</v>
      </c>
      <c r="D2076" s="154" t="s">
        <v>166</v>
      </c>
      <c r="E2076" s="154"/>
      <c r="F2076" s="154" t="s">
        <v>136</v>
      </c>
      <c r="G2076" s="154" t="s">
        <v>271</v>
      </c>
      <c r="H2076" s="155"/>
      <c r="I2076" s="154" t="s">
        <v>136</v>
      </c>
      <c r="J2076" s="154" t="s">
        <v>3501</v>
      </c>
      <c r="K2076" s="154" t="s">
        <v>3247</v>
      </c>
      <c r="L2076" s="156" t="s">
        <v>54</v>
      </c>
    </row>
    <row r="2077">
      <c r="A2077" s="153">
        <v>49.0</v>
      </c>
      <c r="B2077" s="154" t="s">
        <v>7</v>
      </c>
      <c r="C2077" s="154" t="s">
        <v>3502</v>
      </c>
      <c r="D2077" s="154" t="s">
        <v>263</v>
      </c>
      <c r="E2077" s="154"/>
      <c r="F2077" s="154" t="s">
        <v>136</v>
      </c>
      <c r="G2077" s="154" t="s">
        <v>221</v>
      </c>
      <c r="H2077" s="155"/>
      <c r="I2077" s="154" t="s">
        <v>136</v>
      </c>
      <c r="J2077" s="154" t="s">
        <v>3503</v>
      </c>
      <c r="K2077" s="154" t="s">
        <v>3336</v>
      </c>
      <c r="L2077" s="156" t="s">
        <v>54</v>
      </c>
    </row>
    <row r="2078">
      <c r="A2078" s="153">
        <v>77.0</v>
      </c>
      <c r="B2078" s="154" t="s">
        <v>7</v>
      </c>
      <c r="C2078" s="154" t="s">
        <v>3472</v>
      </c>
      <c r="D2078" s="154" t="s">
        <v>426</v>
      </c>
      <c r="E2078" s="154"/>
      <c r="F2078" s="154" t="s">
        <v>136</v>
      </c>
      <c r="G2078" s="154" t="s">
        <v>137</v>
      </c>
      <c r="H2078" s="155"/>
      <c r="I2078" s="154" t="s">
        <v>136</v>
      </c>
      <c r="J2078" s="154" t="s">
        <v>3504</v>
      </c>
      <c r="K2078" s="154" t="s">
        <v>185</v>
      </c>
      <c r="L2078" s="156" t="s">
        <v>54</v>
      </c>
    </row>
    <row r="2079">
      <c r="A2079" s="153">
        <v>55.0</v>
      </c>
      <c r="B2079" s="154" t="s">
        <v>6</v>
      </c>
      <c r="C2079" s="154" t="s">
        <v>3505</v>
      </c>
      <c r="D2079" s="154" t="s">
        <v>187</v>
      </c>
      <c r="E2079" s="154"/>
      <c r="F2079" s="154" t="s">
        <v>135</v>
      </c>
      <c r="G2079" s="154" t="s">
        <v>642</v>
      </c>
      <c r="H2079" s="154" t="s">
        <v>3506</v>
      </c>
      <c r="I2079" s="154" t="s">
        <v>136</v>
      </c>
      <c r="J2079" s="154" t="s">
        <v>3507</v>
      </c>
      <c r="K2079" s="154" t="s">
        <v>185</v>
      </c>
      <c r="L2079" s="156" t="s">
        <v>54</v>
      </c>
    </row>
    <row r="2080">
      <c r="A2080" s="153">
        <v>12.0</v>
      </c>
      <c r="B2080" s="154" t="s">
        <v>6</v>
      </c>
      <c r="C2080" s="154" t="s">
        <v>3380</v>
      </c>
      <c r="D2080" s="154" t="s">
        <v>263</v>
      </c>
      <c r="E2080" s="154"/>
      <c r="F2080" s="154" t="s">
        <v>136</v>
      </c>
      <c r="G2080" s="154" t="s">
        <v>1277</v>
      </c>
      <c r="H2080" s="155"/>
      <c r="I2080" s="154" t="s">
        <v>136</v>
      </c>
      <c r="J2080" s="154" t="s">
        <v>3508</v>
      </c>
      <c r="K2080" s="154" t="s">
        <v>3247</v>
      </c>
      <c r="L2080" s="156" t="s">
        <v>54</v>
      </c>
    </row>
    <row r="2081">
      <c r="A2081" s="153">
        <v>107.0</v>
      </c>
      <c r="B2081" s="154" t="s">
        <v>6</v>
      </c>
      <c r="C2081" s="154" t="s">
        <v>3509</v>
      </c>
      <c r="D2081" s="154" t="s">
        <v>390</v>
      </c>
      <c r="E2081" s="154"/>
      <c r="F2081" s="154" t="s">
        <v>136</v>
      </c>
      <c r="G2081" s="154" t="s">
        <v>3510</v>
      </c>
      <c r="H2081" s="154" t="s">
        <v>3511</v>
      </c>
      <c r="I2081" s="154" t="s">
        <v>136</v>
      </c>
      <c r="J2081" s="154" t="s">
        <v>3512</v>
      </c>
      <c r="K2081" s="154" t="s">
        <v>3252</v>
      </c>
      <c r="L2081" s="156" t="s">
        <v>54</v>
      </c>
    </row>
    <row r="2082">
      <c r="A2082" s="153">
        <v>133.0</v>
      </c>
      <c r="B2082" s="154" t="s">
        <v>7</v>
      </c>
      <c r="C2082" s="154" t="s">
        <v>3513</v>
      </c>
      <c r="D2082" s="154" t="s">
        <v>263</v>
      </c>
      <c r="E2082" s="154"/>
      <c r="F2082" s="154" t="s">
        <v>136</v>
      </c>
      <c r="G2082" s="154" t="s">
        <v>1060</v>
      </c>
      <c r="H2082" s="155"/>
      <c r="I2082" s="154" t="s">
        <v>136</v>
      </c>
      <c r="J2082" s="154" t="s">
        <v>3514</v>
      </c>
      <c r="K2082" s="154" t="s">
        <v>3247</v>
      </c>
      <c r="L2082" s="156" t="s">
        <v>54</v>
      </c>
    </row>
    <row r="2083">
      <c r="A2083" s="153">
        <v>15.0</v>
      </c>
      <c r="B2083" s="155"/>
      <c r="C2083" s="154" t="s">
        <v>3515</v>
      </c>
      <c r="D2083" s="154" t="s">
        <v>263</v>
      </c>
      <c r="E2083" s="154"/>
      <c r="F2083" s="154" t="s">
        <v>136</v>
      </c>
      <c r="G2083" s="154" t="s">
        <v>205</v>
      </c>
      <c r="H2083" s="155"/>
      <c r="I2083" s="154" t="s">
        <v>136</v>
      </c>
      <c r="J2083" s="154" t="s">
        <v>3516</v>
      </c>
      <c r="K2083" s="154" t="s">
        <v>3247</v>
      </c>
      <c r="L2083" s="156" t="s">
        <v>54</v>
      </c>
    </row>
    <row r="2084">
      <c r="A2084" s="153">
        <v>126.0</v>
      </c>
      <c r="B2084" s="154" t="s">
        <v>6</v>
      </c>
      <c r="C2084" s="154" t="s">
        <v>3380</v>
      </c>
      <c r="D2084" s="154" t="s">
        <v>263</v>
      </c>
      <c r="E2084" s="154"/>
      <c r="F2084" s="154" t="s">
        <v>136</v>
      </c>
      <c r="G2084" s="154" t="s">
        <v>2967</v>
      </c>
      <c r="H2084" s="155"/>
      <c r="I2084" s="154" t="s">
        <v>136</v>
      </c>
      <c r="J2084" s="154" t="s">
        <v>3517</v>
      </c>
      <c r="K2084" s="154" t="s">
        <v>2513</v>
      </c>
      <c r="L2084" s="156" t="s">
        <v>54</v>
      </c>
    </row>
    <row r="2085">
      <c r="A2085" s="153">
        <v>32.0</v>
      </c>
      <c r="B2085" s="154" t="s">
        <v>6</v>
      </c>
      <c r="C2085" s="154" t="s">
        <v>3518</v>
      </c>
      <c r="D2085" s="154" t="s">
        <v>187</v>
      </c>
      <c r="E2085" s="154"/>
      <c r="F2085" s="154" t="s">
        <v>136</v>
      </c>
      <c r="G2085" s="154" t="s">
        <v>221</v>
      </c>
      <c r="H2085" s="155"/>
      <c r="I2085" s="154" t="s">
        <v>136</v>
      </c>
      <c r="J2085" s="154" t="s">
        <v>3519</v>
      </c>
      <c r="K2085" s="154" t="s">
        <v>2513</v>
      </c>
      <c r="L2085" s="156" t="s">
        <v>54</v>
      </c>
    </row>
    <row r="2086">
      <c r="A2086" s="153">
        <v>153.0</v>
      </c>
      <c r="B2086" s="154" t="s">
        <v>6</v>
      </c>
      <c r="C2086" s="154" t="s">
        <v>3520</v>
      </c>
      <c r="D2086" s="154" t="s">
        <v>263</v>
      </c>
      <c r="E2086" s="154"/>
      <c r="F2086" s="154" t="s">
        <v>136</v>
      </c>
      <c r="G2086" s="154" t="s">
        <v>335</v>
      </c>
      <c r="H2086" s="154" t="s">
        <v>3521</v>
      </c>
      <c r="I2086" s="154" t="s">
        <v>136</v>
      </c>
      <c r="J2086" s="157">
        <v>45660.739583333336</v>
      </c>
      <c r="K2086" s="154" t="s">
        <v>185</v>
      </c>
      <c r="L2086" s="156" t="s">
        <v>54</v>
      </c>
    </row>
    <row r="2087">
      <c r="A2087" s="153">
        <v>146.0</v>
      </c>
      <c r="B2087" s="154" t="s">
        <v>6</v>
      </c>
      <c r="C2087" s="154" t="s">
        <v>3522</v>
      </c>
      <c r="D2087" s="154" t="s">
        <v>203</v>
      </c>
      <c r="E2087" s="154"/>
      <c r="F2087" s="154" t="s">
        <v>136</v>
      </c>
      <c r="G2087" s="154" t="s">
        <v>320</v>
      </c>
      <c r="H2087" s="155"/>
      <c r="I2087" s="154" t="s">
        <v>136</v>
      </c>
      <c r="J2087" s="157">
        <v>45659.28680555556</v>
      </c>
      <c r="K2087" s="154" t="s">
        <v>2513</v>
      </c>
      <c r="L2087" s="156" t="s">
        <v>54</v>
      </c>
    </row>
    <row r="2088">
      <c r="A2088" s="153">
        <v>31.0</v>
      </c>
      <c r="B2088" s="154" t="s">
        <v>6</v>
      </c>
      <c r="C2088" s="154" t="s">
        <v>3523</v>
      </c>
      <c r="D2088" s="154" t="s">
        <v>263</v>
      </c>
      <c r="E2088" s="154"/>
      <c r="F2088" s="154" t="s">
        <v>136</v>
      </c>
      <c r="G2088" s="154" t="s">
        <v>320</v>
      </c>
      <c r="H2088" s="155"/>
      <c r="I2088" s="154" t="s">
        <v>136</v>
      </c>
      <c r="J2088" s="154" t="s">
        <v>3524</v>
      </c>
      <c r="K2088" s="154" t="s">
        <v>2513</v>
      </c>
      <c r="L2088" s="156" t="s">
        <v>54</v>
      </c>
    </row>
    <row r="2089">
      <c r="A2089" s="153">
        <v>134.0</v>
      </c>
      <c r="B2089" s="154" t="s">
        <v>6</v>
      </c>
      <c r="C2089" s="154" t="s">
        <v>3525</v>
      </c>
      <c r="D2089" s="154" t="s">
        <v>203</v>
      </c>
      <c r="E2089" s="154"/>
      <c r="F2089" s="154" t="s">
        <v>136</v>
      </c>
      <c r="G2089" s="154" t="s">
        <v>168</v>
      </c>
      <c r="H2089" s="155"/>
      <c r="I2089" s="154" t="s">
        <v>136</v>
      </c>
      <c r="J2089" s="154" t="s">
        <v>3526</v>
      </c>
      <c r="K2089" s="154" t="s">
        <v>2513</v>
      </c>
      <c r="L2089" s="156" t="s">
        <v>54</v>
      </c>
    </row>
    <row r="2090">
      <c r="A2090" s="153">
        <v>37.0</v>
      </c>
      <c r="B2090" s="154" t="s">
        <v>6</v>
      </c>
      <c r="C2090" s="154" t="s">
        <v>3527</v>
      </c>
      <c r="D2090" s="154" t="s">
        <v>263</v>
      </c>
      <c r="E2090" s="154"/>
      <c r="F2090" s="154" t="s">
        <v>136</v>
      </c>
      <c r="G2090" s="154" t="s">
        <v>440</v>
      </c>
      <c r="H2090" s="155"/>
      <c r="I2090" s="154" t="s">
        <v>136</v>
      </c>
      <c r="J2090" s="154" t="s">
        <v>3528</v>
      </c>
      <c r="K2090" s="154" t="s">
        <v>3252</v>
      </c>
      <c r="L2090" s="156" t="s">
        <v>54</v>
      </c>
    </row>
    <row r="2091">
      <c r="A2091" s="153">
        <v>116.0</v>
      </c>
      <c r="B2091" s="154" t="s">
        <v>7</v>
      </c>
      <c r="C2091" s="154" t="s">
        <v>3529</v>
      </c>
      <c r="D2091" s="154" t="s">
        <v>263</v>
      </c>
      <c r="E2091" s="154"/>
      <c r="F2091" s="154" t="s">
        <v>136</v>
      </c>
      <c r="G2091" s="154" t="s">
        <v>137</v>
      </c>
      <c r="H2091" s="155"/>
      <c r="I2091" s="154" t="s">
        <v>136</v>
      </c>
      <c r="J2091" s="154" t="s">
        <v>3530</v>
      </c>
      <c r="K2091" s="154" t="s">
        <v>185</v>
      </c>
      <c r="L2091" s="156" t="s">
        <v>54</v>
      </c>
    </row>
    <row r="2092">
      <c r="A2092" s="153">
        <v>44.0</v>
      </c>
      <c r="B2092" s="154" t="s">
        <v>6</v>
      </c>
      <c r="C2092" s="154" t="s">
        <v>3397</v>
      </c>
      <c r="D2092" s="154" t="s">
        <v>203</v>
      </c>
      <c r="E2092" s="154"/>
      <c r="F2092" s="154" t="s">
        <v>136</v>
      </c>
      <c r="G2092" s="154" t="s">
        <v>3237</v>
      </c>
      <c r="H2092" s="154" t="s">
        <v>3531</v>
      </c>
      <c r="I2092" s="154" t="s">
        <v>136</v>
      </c>
      <c r="J2092" s="154" t="s">
        <v>3532</v>
      </c>
      <c r="K2092" s="154" t="s">
        <v>3247</v>
      </c>
      <c r="L2092" s="156" t="s">
        <v>54</v>
      </c>
    </row>
    <row r="2093">
      <c r="A2093" s="153">
        <v>10.0</v>
      </c>
      <c r="B2093" s="154" t="s">
        <v>6</v>
      </c>
      <c r="C2093" s="154" t="s">
        <v>3380</v>
      </c>
      <c r="D2093" s="154" t="s">
        <v>263</v>
      </c>
      <c r="E2093" s="154"/>
      <c r="F2093" s="154" t="s">
        <v>136</v>
      </c>
      <c r="G2093" s="154" t="s">
        <v>310</v>
      </c>
      <c r="H2093" s="155"/>
      <c r="I2093" s="154" t="s">
        <v>135</v>
      </c>
      <c r="J2093" s="154" t="s">
        <v>3533</v>
      </c>
      <c r="K2093" s="154" t="s">
        <v>3247</v>
      </c>
      <c r="L2093" s="156" t="s">
        <v>54</v>
      </c>
    </row>
    <row r="2094">
      <c r="A2094" s="153">
        <v>46.0</v>
      </c>
      <c r="B2094" s="154" t="s">
        <v>6</v>
      </c>
      <c r="C2094" s="154" t="s">
        <v>3534</v>
      </c>
      <c r="D2094" s="154" t="s">
        <v>203</v>
      </c>
      <c r="E2094" s="154"/>
      <c r="F2094" s="154" t="s">
        <v>136</v>
      </c>
      <c r="G2094" s="154" t="s">
        <v>320</v>
      </c>
      <c r="H2094" s="155"/>
      <c r="I2094" s="154" t="s">
        <v>136</v>
      </c>
      <c r="J2094" s="154" t="s">
        <v>3535</v>
      </c>
      <c r="K2094" s="154" t="s">
        <v>3247</v>
      </c>
      <c r="L2094" s="156" t="s">
        <v>54</v>
      </c>
    </row>
    <row r="2095">
      <c r="A2095" s="153">
        <v>5.0</v>
      </c>
      <c r="B2095" s="154" t="s">
        <v>7</v>
      </c>
      <c r="C2095" s="154" t="s">
        <v>3536</v>
      </c>
      <c r="D2095" s="154" t="s">
        <v>164</v>
      </c>
      <c r="E2095" s="154" t="s">
        <v>135</v>
      </c>
      <c r="F2095" s="154" t="s">
        <v>136</v>
      </c>
      <c r="G2095" s="165" t="s">
        <v>534</v>
      </c>
      <c r="H2095" s="155"/>
      <c r="I2095" s="154" t="s">
        <v>136</v>
      </c>
      <c r="J2095" s="157">
        <v>45706.902083333334</v>
      </c>
      <c r="K2095" s="154"/>
      <c r="L2095" s="154" t="s">
        <v>262</v>
      </c>
    </row>
    <row r="2096">
      <c r="A2096" s="153">
        <v>9.0</v>
      </c>
      <c r="B2096" s="154" t="s">
        <v>7</v>
      </c>
      <c r="C2096" s="154" t="s">
        <v>3537</v>
      </c>
      <c r="D2096" s="154" t="s">
        <v>374</v>
      </c>
      <c r="E2096" s="154" t="s">
        <v>135</v>
      </c>
      <c r="F2096" s="154" t="s">
        <v>136</v>
      </c>
      <c r="G2096" s="154" t="s">
        <v>3538</v>
      </c>
      <c r="H2096" s="154" t="s">
        <v>3539</v>
      </c>
      <c r="I2096" s="154" t="s">
        <v>136</v>
      </c>
      <c r="J2096" s="157">
        <v>45716.825</v>
      </c>
      <c r="K2096" s="154"/>
      <c r="L2096" s="154" t="s">
        <v>262</v>
      </c>
    </row>
    <row r="2097">
      <c r="A2097" s="153">
        <v>10.0</v>
      </c>
      <c r="B2097" s="154" t="s">
        <v>7</v>
      </c>
      <c r="C2097" s="154" t="s">
        <v>3540</v>
      </c>
      <c r="D2097" s="154" t="s">
        <v>228</v>
      </c>
      <c r="E2097" s="154" t="s">
        <v>136</v>
      </c>
      <c r="F2097" s="154" t="s">
        <v>136</v>
      </c>
      <c r="G2097" s="154" t="s">
        <v>3237</v>
      </c>
      <c r="H2097" s="165" t="s">
        <v>3541</v>
      </c>
      <c r="I2097" s="154" t="s">
        <v>136</v>
      </c>
      <c r="J2097" s="154" t="s">
        <v>3542</v>
      </c>
      <c r="K2097" s="154"/>
      <c r="L2097" s="154" t="s">
        <v>262</v>
      </c>
    </row>
    <row r="2098">
      <c r="A2098" s="153">
        <v>4.0</v>
      </c>
      <c r="B2098" s="154" t="s">
        <v>6</v>
      </c>
      <c r="C2098" s="154" t="s">
        <v>3543</v>
      </c>
      <c r="D2098" s="154" t="s">
        <v>177</v>
      </c>
      <c r="E2098" s="154" t="s">
        <v>135</v>
      </c>
      <c r="F2098" s="154" t="s">
        <v>136</v>
      </c>
      <c r="G2098" s="154" t="s">
        <v>467</v>
      </c>
      <c r="H2098" s="155"/>
      <c r="I2098" s="154" t="s">
        <v>136</v>
      </c>
      <c r="J2098" s="157">
        <v>45705.861805555556</v>
      </c>
      <c r="K2098" s="154"/>
      <c r="L2098" s="154" t="s">
        <v>262</v>
      </c>
    </row>
    <row r="2099">
      <c r="A2099" s="153">
        <v>17.0</v>
      </c>
      <c r="B2099" s="154" t="s">
        <v>7</v>
      </c>
      <c r="C2099" s="154" t="s">
        <v>3544</v>
      </c>
      <c r="D2099" s="154" t="s">
        <v>228</v>
      </c>
      <c r="E2099" s="154" t="s">
        <v>136</v>
      </c>
      <c r="F2099" s="154" t="s">
        <v>136</v>
      </c>
      <c r="G2099" s="154" t="s">
        <v>185</v>
      </c>
      <c r="H2099" s="165" t="s">
        <v>3545</v>
      </c>
      <c r="I2099" s="154" t="s">
        <v>136</v>
      </c>
      <c r="J2099" s="154" t="s">
        <v>3546</v>
      </c>
      <c r="K2099" s="154"/>
      <c r="L2099" s="154" t="s">
        <v>262</v>
      </c>
    </row>
    <row r="2100">
      <c r="A2100" s="153">
        <v>18.0</v>
      </c>
      <c r="B2100" s="154" t="s">
        <v>6</v>
      </c>
      <c r="C2100" s="154" t="s">
        <v>2903</v>
      </c>
      <c r="D2100" s="154" t="s">
        <v>228</v>
      </c>
      <c r="E2100" s="154" t="s">
        <v>135</v>
      </c>
      <c r="F2100" s="154" t="s">
        <v>136</v>
      </c>
      <c r="G2100" s="154" t="s">
        <v>137</v>
      </c>
      <c r="H2100" s="155"/>
      <c r="I2100" s="154" t="s">
        <v>136</v>
      </c>
      <c r="J2100" s="154" t="s">
        <v>3547</v>
      </c>
      <c r="K2100" s="154"/>
      <c r="L2100" s="154" t="s">
        <v>262</v>
      </c>
    </row>
    <row r="2101">
      <c r="A2101" s="153">
        <v>20.0</v>
      </c>
      <c r="B2101" s="154" t="s">
        <v>7</v>
      </c>
      <c r="C2101" s="154" t="s">
        <v>3548</v>
      </c>
      <c r="D2101" s="154" t="s">
        <v>228</v>
      </c>
      <c r="E2101" s="154" t="s">
        <v>135</v>
      </c>
      <c r="F2101" s="154" t="s">
        <v>136</v>
      </c>
      <c r="G2101" s="154" t="s">
        <v>185</v>
      </c>
      <c r="H2101" s="165" t="s">
        <v>3549</v>
      </c>
      <c r="I2101" s="154" t="s">
        <v>136</v>
      </c>
      <c r="J2101" s="154" t="s">
        <v>3550</v>
      </c>
      <c r="K2101" s="154"/>
      <c r="L2101" s="154" t="s">
        <v>262</v>
      </c>
    </row>
    <row r="2102">
      <c r="A2102" s="153">
        <v>8.0</v>
      </c>
      <c r="B2102" s="154" t="s">
        <v>6</v>
      </c>
      <c r="C2102" s="154" t="s">
        <v>3551</v>
      </c>
      <c r="D2102" s="154" t="s">
        <v>302</v>
      </c>
      <c r="E2102" s="154" t="s">
        <v>135</v>
      </c>
      <c r="F2102" s="154" t="s">
        <v>136</v>
      </c>
      <c r="G2102" s="154" t="s">
        <v>221</v>
      </c>
      <c r="H2102" s="155"/>
      <c r="I2102" s="154" t="s">
        <v>136</v>
      </c>
      <c r="J2102" s="157">
        <v>45715.603472222225</v>
      </c>
      <c r="K2102" s="154"/>
      <c r="L2102" s="154" t="s">
        <v>262</v>
      </c>
    </row>
    <row r="2103">
      <c r="A2103" s="153">
        <v>3.0</v>
      </c>
      <c r="B2103" s="154" t="s">
        <v>7</v>
      </c>
      <c r="C2103" s="154" t="s">
        <v>3552</v>
      </c>
      <c r="D2103" s="154" t="s">
        <v>228</v>
      </c>
      <c r="E2103" s="154" t="s">
        <v>135</v>
      </c>
      <c r="F2103" s="154" t="s">
        <v>135</v>
      </c>
      <c r="G2103" s="154" t="s">
        <v>2974</v>
      </c>
      <c r="H2103" s="155"/>
      <c r="I2103" s="154" t="s">
        <v>135</v>
      </c>
      <c r="J2103" s="157">
        <v>45695.7625</v>
      </c>
      <c r="K2103" s="154"/>
      <c r="L2103" s="154" t="s">
        <v>262</v>
      </c>
    </row>
    <row r="2104">
      <c r="A2104" s="153">
        <v>12.0</v>
      </c>
      <c r="B2104" s="154" t="s">
        <v>7</v>
      </c>
      <c r="C2104" s="154" t="s">
        <v>3177</v>
      </c>
      <c r="D2104" s="154" t="s">
        <v>228</v>
      </c>
      <c r="E2104" s="154" t="s">
        <v>136</v>
      </c>
      <c r="F2104" s="154" t="s">
        <v>136</v>
      </c>
      <c r="G2104" s="154" t="s">
        <v>137</v>
      </c>
      <c r="H2104" s="155"/>
      <c r="I2104" s="154" t="s">
        <v>136</v>
      </c>
      <c r="J2104" s="154" t="s">
        <v>3553</v>
      </c>
      <c r="K2104" s="154"/>
      <c r="L2104" s="154" t="s">
        <v>262</v>
      </c>
    </row>
    <row r="2105">
      <c r="A2105" s="153">
        <v>1.0</v>
      </c>
      <c r="B2105" s="154" t="s">
        <v>6</v>
      </c>
      <c r="C2105" s="154" t="s">
        <v>2965</v>
      </c>
      <c r="D2105" s="154" t="s">
        <v>352</v>
      </c>
      <c r="E2105" s="154" t="s">
        <v>135</v>
      </c>
      <c r="F2105" s="154" t="s">
        <v>136</v>
      </c>
      <c r="G2105" s="154" t="s">
        <v>3554</v>
      </c>
      <c r="H2105" s="154" t="s">
        <v>3555</v>
      </c>
      <c r="I2105" s="154" t="s">
        <v>136</v>
      </c>
      <c r="J2105" s="157">
        <v>45686.197916666664</v>
      </c>
      <c r="K2105" s="154"/>
      <c r="L2105" s="154" t="s">
        <v>262</v>
      </c>
    </row>
    <row r="2106">
      <c r="A2106" s="153">
        <v>15.0</v>
      </c>
      <c r="B2106" s="154" t="s">
        <v>6</v>
      </c>
      <c r="C2106" s="154" t="s">
        <v>3556</v>
      </c>
      <c r="D2106" s="154" t="s">
        <v>228</v>
      </c>
      <c r="E2106" s="154" t="s">
        <v>135</v>
      </c>
      <c r="F2106" s="154" t="s">
        <v>136</v>
      </c>
      <c r="G2106" s="154" t="s">
        <v>3557</v>
      </c>
      <c r="H2106" s="155"/>
      <c r="I2106" s="154" t="s">
        <v>136</v>
      </c>
      <c r="J2106" s="154" t="s">
        <v>3558</v>
      </c>
      <c r="K2106" s="154"/>
      <c r="L2106" s="154" t="s">
        <v>262</v>
      </c>
    </row>
    <row r="2107">
      <c r="A2107" s="153">
        <v>11.0</v>
      </c>
      <c r="B2107" s="154" t="s">
        <v>6</v>
      </c>
      <c r="C2107" s="154" t="s">
        <v>3176</v>
      </c>
      <c r="D2107" s="154" t="s">
        <v>228</v>
      </c>
      <c r="E2107" s="154" t="s">
        <v>136</v>
      </c>
      <c r="F2107" s="154" t="s">
        <v>136</v>
      </c>
      <c r="G2107" s="154" t="s">
        <v>137</v>
      </c>
      <c r="H2107" s="155"/>
      <c r="I2107" s="154" t="s">
        <v>135</v>
      </c>
      <c r="J2107" s="154" t="s">
        <v>3559</v>
      </c>
      <c r="K2107" s="154"/>
      <c r="L2107" s="154" t="s">
        <v>262</v>
      </c>
    </row>
    <row r="2108">
      <c r="A2108" s="153">
        <v>13.0</v>
      </c>
      <c r="B2108" s="154" t="s">
        <v>6</v>
      </c>
      <c r="C2108" s="154" t="s">
        <v>3560</v>
      </c>
      <c r="D2108" s="154" t="s">
        <v>228</v>
      </c>
      <c r="E2108" s="154" t="s">
        <v>136</v>
      </c>
      <c r="F2108" s="154" t="s">
        <v>136</v>
      </c>
      <c r="G2108" s="154" t="s">
        <v>185</v>
      </c>
      <c r="H2108" s="165" t="s">
        <v>1053</v>
      </c>
      <c r="I2108" s="154" t="s">
        <v>136</v>
      </c>
      <c r="J2108" s="154" t="s">
        <v>3561</v>
      </c>
      <c r="K2108" s="154"/>
      <c r="L2108" s="154" t="s">
        <v>262</v>
      </c>
    </row>
    <row r="2109">
      <c r="A2109" s="153">
        <v>16.0</v>
      </c>
      <c r="B2109" s="154" t="s">
        <v>7</v>
      </c>
      <c r="C2109" s="154" t="s">
        <v>3562</v>
      </c>
      <c r="D2109" s="154" t="s">
        <v>228</v>
      </c>
      <c r="E2109" s="154" t="s">
        <v>135</v>
      </c>
      <c r="F2109" s="154" t="s">
        <v>136</v>
      </c>
      <c r="G2109" s="154" t="s">
        <v>185</v>
      </c>
      <c r="H2109" s="154" t="s">
        <v>3563</v>
      </c>
      <c r="I2109" s="154" t="s">
        <v>136</v>
      </c>
      <c r="J2109" s="154" t="s">
        <v>3564</v>
      </c>
      <c r="K2109" s="154"/>
      <c r="L2109" s="154" t="s">
        <v>262</v>
      </c>
    </row>
    <row r="2110">
      <c r="A2110" s="153">
        <v>2.0</v>
      </c>
      <c r="B2110" s="154" t="s">
        <v>6</v>
      </c>
      <c r="C2110" s="154" t="s">
        <v>3565</v>
      </c>
      <c r="D2110" s="154" t="s">
        <v>228</v>
      </c>
      <c r="E2110" s="154" t="s">
        <v>135</v>
      </c>
      <c r="F2110" s="154" t="s">
        <v>136</v>
      </c>
      <c r="G2110" s="154" t="s">
        <v>221</v>
      </c>
      <c r="H2110" s="155"/>
      <c r="I2110" s="154" t="s">
        <v>135</v>
      </c>
      <c r="J2110" s="157">
        <v>45688.61597222222</v>
      </c>
      <c r="K2110" s="154"/>
      <c r="L2110" s="154" t="s">
        <v>262</v>
      </c>
    </row>
    <row r="2111">
      <c r="A2111" s="153">
        <v>14.0</v>
      </c>
      <c r="B2111" s="154" t="s">
        <v>7</v>
      </c>
      <c r="C2111" s="154" t="s">
        <v>3566</v>
      </c>
      <c r="D2111" s="154" t="s">
        <v>228</v>
      </c>
      <c r="E2111" s="154" t="s">
        <v>136</v>
      </c>
      <c r="F2111" s="154" t="s">
        <v>136</v>
      </c>
      <c r="G2111" s="154" t="s">
        <v>401</v>
      </c>
      <c r="H2111" s="155"/>
      <c r="I2111" s="154" t="s">
        <v>136</v>
      </c>
      <c r="J2111" s="154" t="s">
        <v>3567</v>
      </c>
      <c r="K2111" s="154"/>
      <c r="L2111" s="154" t="s">
        <v>262</v>
      </c>
    </row>
    <row r="2112">
      <c r="A2112" s="153">
        <v>7.0</v>
      </c>
      <c r="B2112" s="154" t="s">
        <v>6</v>
      </c>
      <c r="C2112" s="154" t="s">
        <v>2989</v>
      </c>
      <c r="D2112" s="154" t="s">
        <v>228</v>
      </c>
      <c r="E2112" s="154" t="s">
        <v>135</v>
      </c>
      <c r="F2112" s="154" t="s">
        <v>136</v>
      </c>
      <c r="G2112" s="154" t="s">
        <v>3568</v>
      </c>
      <c r="H2112" s="154" t="s">
        <v>3569</v>
      </c>
      <c r="I2112" s="154" t="s">
        <v>136</v>
      </c>
      <c r="J2112" s="157">
        <v>45714.54861111111</v>
      </c>
      <c r="K2112" s="154"/>
      <c r="L2112" s="154" t="s">
        <v>262</v>
      </c>
    </row>
    <row r="2113">
      <c r="A2113" s="153">
        <v>6.0</v>
      </c>
      <c r="B2113" s="154" t="s">
        <v>6</v>
      </c>
      <c r="C2113" s="154" t="s">
        <v>3570</v>
      </c>
      <c r="D2113" s="154" t="s">
        <v>143</v>
      </c>
      <c r="E2113" s="154" t="s">
        <v>135</v>
      </c>
      <c r="F2113" s="154" t="s">
        <v>136</v>
      </c>
      <c r="G2113" s="154" t="s">
        <v>367</v>
      </c>
      <c r="H2113" s="154" t="s">
        <v>3571</v>
      </c>
      <c r="I2113" s="154" t="s">
        <v>135</v>
      </c>
      <c r="J2113" s="157">
        <v>45710.09583333333</v>
      </c>
      <c r="K2113" s="154"/>
      <c r="L2113" s="154" t="s">
        <v>262</v>
      </c>
    </row>
    <row r="2114">
      <c r="A2114" s="153">
        <v>19.0</v>
      </c>
      <c r="B2114" s="154" t="s">
        <v>6</v>
      </c>
      <c r="C2114" s="154" t="s">
        <v>3572</v>
      </c>
      <c r="D2114" s="154" t="s">
        <v>228</v>
      </c>
      <c r="E2114" s="154" t="s">
        <v>135</v>
      </c>
      <c r="F2114" s="154" t="s">
        <v>136</v>
      </c>
      <c r="G2114" s="154" t="s">
        <v>185</v>
      </c>
      <c r="H2114" s="165" t="s">
        <v>3573</v>
      </c>
      <c r="I2114" s="154" t="s">
        <v>136</v>
      </c>
      <c r="J2114" s="154" t="s">
        <v>3574</v>
      </c>
      <c r="K2114" s="154"/>
      <c r="L2114" s="154" t="s">
        <v>262</v>
      </c>
    </row>
    <row r="2115">
      <c r="A2115" s="17">
        <v>1.0</v>
      </c>
      <c r="B2115" s="183" t="s">
        <v>6</v>
      </c>
      <c r="C2115" s="183" t="s">
        <v>3099</v>
      </c>
      <c r="D2115" s="183" t="s">
        <v>134</v>
      </c>
      <c r="E2115" s="184" t="s">
        <v>136</v>
      </c>
      <c r="F2115" s="185" t="s">
        <v>136</v>
      </c>
      <c r="G2115" s="183" t="s">
        <v>3575</v>
      </c>
      <c r="I2115" s="183" t="s">
        <v>135</v>
      </c>
      <c r="J2115" s="186">
        <v>45909.620210810186</v>
      </c>
      <c r="K2115" s="187"/>
      <c r="L2115" s="187" t="s">
        <v>267</v>
      </c>
    </row>
    <row r="2116">
      <c r="A2116" s="17">
        <v>2.0</v>
      </c>
      <c r="B2116" s="188" t="s">
        <v>6</v>
      </c>
      <c r="C2116" s="188" t="s">
        <v>3576</v>
      </c>
      <c r="D2116" s="188" t="s">
        <v>383</v>
      </c>
      <c r="E2116" s="184" t="s">
        <v>136</v>
      </c>
      <c r="F2116" s="185" t="s">
        <v>136</v>
      </c>
      <c r="G2116" s="188" t="s">
        <v>3577</v>
      </c>
      <c r="I2116" s="188" t="s">
        <v>135</v>
      </c>
      <c r="J2116" s="189">
        <v>45909.62522706018</v>
      </c>
      <c r="K2116" s="187"/>
      <c r="L2116" s="187" t="s">
        <v>267</v>
      </c>
    </row>
    <row r="2117">
      <c r="A2117" s="17">
        <v>3.0</v>
      </c>
      <c r="B2117" s="183" t="s">
        <v>6</v>
      </c>
      <c r="C2117" s="183" t="s">
        <v>3578</v>
      </c>
      <c r="D2117" s="188" t="s">
        <v>383</v>
      </c>
      <c r="E2117" s="17" t="s">
        <v>135</v>
      </c>
      <c r="F2117" s="185" t="s">
        <v>136</v>
      </c>
      <c r="G2117" s="183" t="s">
        <v>137</v>
      </c>
      <c r="I2117" s="183" t="s">
        <v>136</v>
      </c>
      <c r="J2117" s="186">
        <v>45909.62728425926</v>
      </c>
      <c r="K2117" s="187"/>
      <c r="L2117" s="187" t="s">
        <v>267</v>
      </c>
    </row>
    <row r="2118">
      <c r="A2118" s="17">
        <v>4.0</v>
      </c>
      <c r="B2118" s="188" t="s">
        <v>6</v>
      </c>
      <c r="C2118" s="188" t="s">
        <v>3579</v>
      </c>
      <c r="D2118" s="188" t="s">
        <v>383</v>
      </c>
      <c r="E2118" s="184" t="s">
        <v>136</v>
      </c>
      <c r="F2118" s="185" t="s">
        <v>136</v>
      </c>
      <c r="G2118" s="188" t="s">
        <v>137</v>
      </c>
      <c r="I2118" s="188" t="s">
        <v>135</v>
      </c>
      <c r="J2118" s="189">
        <v>45909.63209212963</v>
      </c>
      <c r="K2118" s="187"/>
      <c r="L2118" s="187" t="s">
        <v>267</v>
      </c>
    </row>
    <row r="2119">
      <c r="A2119" s="17">
        <v>5.0</v>
      </c>
      <c r="B2119" s="183" t="s">
        <v>7</v>
      </c>
      <c r="C2119" s="183" t="s">
        <v>3580</v>
      </c>
      <c r="D2119" s="188" t="s">
        <v>383</v>
      </c>
      <c r="E2119" s="17" t="s">
        <v>135</v>
      </c>
      <c r="F2119" s="185" t="s">
        <v>136</v>
      </c>
      <c r="G2119" s="183" t="s">
        <v>3581</v>
      </c>
      <c r="I2119" s="183" t="s">
        <v>136</v>
      </c>
      <c r="J2119" s="186">
        <v>45909.632573807874</v>
      </c>
      <c r="K2119" s="187"/>
      <c r="L2119" s="187" t="s">
        <v>267</v>
      </c>
    </row>
    <row r="2120">
      <c r="A2120" s="17">
        <v>6.0</v>
      </c>
      <c r="B2120" s="188" t="s">
        <v>6</v>
      </c>
      <c r="C2120" s="188" t="s">
        <v>3582</v>
      </c>
      <c r="D2120" s="188" t="s">
        <v>383</v>
      </c>
      <c r="E2120" s="184" t="s">
        <v>136</v>
      </c>
      <c r="F2120" s="185" t="s">
        <v>136</v>
      </c>
      <c r="G2120" s="188" t="s">
        <v>3583</v>
      </c>
      <c r="I2120" s="188" t="s">
        <v>136</v>
      </c>
      <c r="J2120" s="189">
        <v>45909.63766849537</v>
      </c>
      <c r="K2120" s="187"/>
      <c r="L2120" s="187" t="s">
        <v>267</v>
      </c>
    </row>
    <row r="2121">
      <c r="A2121" s="17">
        <v>7.0</v>
      </c>
      <c r="B2121" s="183" t="s">
        <v>6</v>
      </c>
      <c r="C2121" s="183" t="s">
        <v>3584</v>
      </c>
      <c r="D2121" s="188" t="s">
        <v>383</v>
      </c>
      <c r="E2121" s="184" t="s">
        <v>136</v>
      </c>
      <c r="F2121" s="185" t="s">
        <v>136</v>
      </c>
      <c r="G2121" s="183" t="s">
        <v>411</v>
      </c>
      <c r="I2121" s="183" t="s">
        <v>135</v>
      </c>
      <c r="J2121" s="186">
        <v>45909.65430327546</v>
      </c>
      <c r="K2121" s="190"/>
      <c r="L2121" s="187" t="s">
        <v>267</v>
      </c>
    </row>
    <row r="2122">
      <c r="A2122" s="17">
        <v>1.0</v>
      </c>
      <c r="B2122" s="183" t="s">
        <v>7</v>
      </c>
      <c r="C2122" s="183"/>
      <c r="D2122" s="185" t="s">
        <v>202</v>
      </c>
      <c r="E2122" s="184" t="s">
        <v>136</v>
      </c>
      <c r="F2122" s="185" t="s">
        <v>136</v>
      </c>
      <c r="G2122" s="183" t="s">
        <v>3585</v>
      </c>
      <c r="H2122" s="183"/>
      <c r="I2122" s="185" t="s">
        <v>135</v>
      </c>
      <c r="J2122" s="186">
        <v>45853.70035209491</v>
      </c>
      <c r="K2122" s="187"/>
      <c r="L2122" s="187" t="s">
        <v>273</v>
      </c>
    </row>
    <row r="2123">
      <c r="A2123" s="17">
        <v>2.0</v>
      </c>
      <c r="B2123" s="183" t="s">
        <v>6</v>
      </c>
      <c r="C2123" s="188"/>
      <c r="D2123" s="184" t="s">
        <v>202</v>
      </c>
      <c r="E2123" s="184" t="s">
        <v>136</v>
      </c>
      <c r="F2123" s="185" t="s">
        <v>136</v>
      </c>
      <c r="G2123" s="188" t="s">
        <v>3586</v>
      </c>
      <c r="H2123" s="188"/>
      <c r="I2123" s="184" t="s">
        <v>135</v>
      </c>
      <c r="J2123" s="189">
        <v>45853.70137171296</v>
      </c>
      <c r="K2123" s="187"/>
      <c r="L2123" s="187" t="s">
        <v>273</v>
      </c>
    </row>
    <row r="2124">
      <c r="A2124" s="17">
        <v>3.0</v>
      </c>
      <c r="B2124" s="183" t="s">
        <v>6</v>
      </c>
      <c r="C2124" s="183"/>
      <c r="D2124" s="185" t="s">
        <v>202</v>
      </c>
      <c r="E2124" s="184" t="s">
        <v>136</v>
      </c>
      <c r="F2124" s="185" t="s">
        <v>136</v>
      </c>
      <c r="G2124" s="183" t="s">
        <v>1053</v>
      </c>
      <c r="H2124" s="183"/>
      <c r="I2124" s="185" t="s">
        <v>136</v>
      </c>
      <c r="J2124" s="186">
        <v>45853.70143961806</v>
      </c>
      <c r="K2124" s="187"/>
      <c r="L2124" s="187" t="s">
        <v>273</v>
      </c>
    </row>
    <row r="2125">
      <c r="A2125" s="17">
        <v>4.0</v>
      </c>
      <c r="B2125" s="183" t="s">
        <v>7</v>
      </c>
      <c r="C2125" s="188"/>
      <c r="D2125" s="184" t="s">
        <v>202</v>
      </c>
      <c r="E2125" s="184" t="s">
        <v>136</v>
      </c>
      <c r="F2125" s="185" t="s">
        <v>136</v>
      </c>
      <c r="G2125" s="188" t="s">
        <v>3587</v>
      </c>
      <c r="H2125" s="188"/>
      <c r="I2125" s="184" t="s">
        <v>135</v>
      </c>
      <c r="J2125" s="189">
        <v>45853.70723837963</v>
      </c>
      <c r="K2125" s="187"/>
      <c r="L2125" s="187" t="s">
        <v>273</v>
      </c>
    </row>
    <row r="2126">
      <c r="A2126" s="17">
        <v>5.0</v>
      </c>
      <c r="B2126" s="183" t="s">
        <v>7</v>
      </c>
      <c r="C2126" s="183"/>
      <c r="D2126" s="185" t="s">
        <v>202</v>
      </c>
      <c r="E2126" s="185" t="s">
        <v>135</v>
      </c>
      <c r="F2126" s="185" t="s">
        <v>136</v>
      </c>
      <c r="G2126" s="183" t="s">
        <v>1053</v>
      </c>
      <c r="H2126" s="183"/>
      <c r="I2126" s="185" t="s">
        <v>135</v>
      </c>
      <c r="J2126" s="186">
        <v>45853.70760451389</v>
      </c>
      <c r="K2126" s="187"/>
      <c r="L2126" s="187" t="s">
        <v>273</v>
      </c>
    </row>
    <row r="2127">
      <c r="A2127" s="17">
        <v>6.0</v>
      </c>
      <c r="B2127" s="183" t="s">
        <v>6</v>
      </c>
      <c r="C2127" s="188"/>
      <c r="D2127" s="184" t="s">
        <v>202</v>
      </c>
      <c r="E2127" s="185" t="s">
        <v>135</v>
      </c>
      <c r="F2127" s="185" t="s">
        <v>136</v>
      </c>
      <c r="G2127" s="188" t="s">
        <v>3588</v>
      </c>
      <c r="H2127" s="188"/>
      <c r="I2127" s="184" t="s">
        <v>136</v>
      </c>
      <c r="J2127" s="189">
        <v>45853.70781946759</v>
      </c>
      <c r="K2127" s="187"/>
      <c r="L2127" s="187" t="s">
        <v>273</v>
      </c>
    </row>
    <row r="2128">
      <c r="A2128" s="17">
        <v>7.0</v>
      </c>
      <c r="B2128" s="183" t="s">
        <v>7</v>
      </c>
      <c r="C2128" s="183" t="s">
        <v>245</v>
      </c>
      <c r="D2128" s="183" t="s">
        <v>202</v>
      </c>
      <c r="E2128" s="185" t="s">
        <v>136</v>
      </c>
      <c r="F2128" s="185" t="s">
        <v>136</v>
      </c>
      <c r="G2128" s="183" t="s">
        <v>3587</v>
      </c>
      <c r="H2128" s="183"/>
      <c r="I2128" s="183" t="s">
        <v>136</v>
      </c>
      <c r="J2128" s="186">
        <v>45853.67071726852</v>
      </c>
      <c r="K2128" s="187"/>
      <c r="L2128" s="187" t="s">
        <v>273</v>
      </c>
    </row>
    <row r="2129">
      <c r="A2129" s="17">
        <v>8.0</v>
      </c>
      <c r="B2129" s="188" t="s">
        <v>7</v>
      </c>
      <c r="C2129" s="188" t="s">
        <v>3589</v>
      </c>
      <c r="D2129" s="188" t="s">
        <v>202</v>
      </c>
      <c r="E2129" s="185" t="s">
        <v>136</v>
      </c>
      <c r="F2129" s="185" t="s">
        <v>136</v>
      </c>
      <c r="G2129" s="188" t="s">
        <v>3590</v>
      </c>
      <c r="H2129" s="188"/>
      <c r="I2129" s="188" t="s">
        <v>136</v>
      </c>
      <c r="J2129" s="189">
        <v>45853.671245000005</v>
      </c>
      <c r="K2129" s="187"/>
      <c r="L2129" s="187" t="s">
        <v>273</v>
      </c>
    </row>
    <row r="2130">
      <c r="A2130" s="17">
        <v>9.0</v>
      </c>
      <c r="B2130" s="183" t="s">
        <v>6</v>
      </c>
      <c r="C2130" s="183" t="s">
        <v>3591</v>
      </c>
      <c r="D2130" s="183" t="s">
        <v>202</v>
      </c>
      <c r="E2130" s="185" t="s">
        <v>136</v>
      </c>
      <c r="F2130" s="185" t="s">
        <v>136</v>
      </c>
      <c r="G2130" s="183" t="s">
        <v>3585</v>
      </c>
      <c r="H2130" s="183"/>
      <c r="I2130" s="183" t="s">
        <v>136</v>
      </c>
      <c r="J2130" s="186">
        <v>45853.67220032407</v>
      </c>
      <c r="K2130" s="187"/>
      <c r="L2130" s="187" t="s">
        <v>273</v>
      </c>
    </row>
    <row r="2131">
      <c r="A2131" s="17">
        <v>10.0</v>
      </c>
      <c r="B2131" s="188" t="s">
        <v>7</v>
      </c>
      <c r="C2131" s="188" t="s">
        <v>3592</v>
      </c>
      <c r="D2131" s="188" t="s">
        <v>202</v>
      </c>
      <c r="E2131" s="185" t="s">
        <v>136</v>
      </c>
      <c r="F2131" s="185" t="s">
        <v>136</v>
      </c>
      <c r="G2131" s="188" t="s">
        <v>1053</v>
      </c>
      <c r="H2131" s="188"/>
      <c r="I2131" s="188" t="s">
        <v>136</v>
      </c>
      <c r="J2131" s="189">
        <v>45853.67268900463</v>
      </c>
      <c r="K2131" s="187"/>
      <c r="L2131" s="187" t="s">
        <v>273</v>
      </c>
    </row>
    <row r="2132">
      <c r="A2132" s="17">
        <v>11.0</v>
      </c>
      <c r="B2132" s="183" t="s">
        <v>6</v>
      </c>
      <c r="C2132" s="191"/>
      <c r="D2132" s="183" t="s">
        <v>202</v>
      </c>
      <c r="E2132" s="185" t="s">
        <v>136</v>
      </c>
      <c r="F2132" s="185" t="s">
        <v>136</v>
      </c>
      <c r="G2132" s="183" t="s">
        <v>3593</v>
      </c>
      <c r="H2132" s="183"/>
      <c r="I2132" s="183" t="s">
        <v>136</v>
      </c>
      <c r="J2132" s="186">
        <v>45853.67525335649</v>
      </c>
      <c r="K2132" s="187"/>
      <c r="L2132" s="187" t="s">
        <v>273</v>
      </c>
    </row>
    <row r="2133">
      <c r="A2133" s="17">
        <v>12.0</v>
      </c>
      <c r="B2133" s="188" t="s">
        <v>6</v>
      </c>
      <c r="C2133" s="188" t="s">
        <v>3594</v>
      </c>
      <c r="D2133" s="188" t="s">
        <v>202</v>
      </c>
      <c r="E2133" s="185" t="s">
        <v>135</v>
      </c>
      <c r="F2133" s="185" t="s">
        <v>136</v>
      </c>
      <c r="G2133" s="188" t="s">
        <v>1053</v>
      </c>
      <c r="H2133" s="188"/>
      <c r="I2133" s="188" t="s">
        <v>136</v>
      </c>
      <c r="J2133" s="189">
        <v>45853.68268534722</v>
      </c>
      <c r="K2133" s="187"/>
      <c r="L2133" s="187" t="s">
        <v>273</v>
      </c>
    </row>
    <row r="2134">
      <c r="A2134" s="17">
        <v>13.0</v>
      </c>
      <c r="B2134" s="183" t="s">
        <v>7</v>
      </c>
      <c r="C2134" s="183" t="s">
        <v>1127</v>
      </c>
      <c r="D2134" s="183" t="s">
        <v>233</v>
      </c>
      <c r="E2134" s="185" t="s">
        <v>135</v>
      </c>
      <c r="F2134" s="185" t="s">
        <v>136</v>
      </c>
      <c r="G2134" s="183" t="s">
        <v>3588</v>
      </c>
      <c r="H2134" s="183"/>
      <c r="I2134" s="183" t="s">
        <v>136</v>
      </c>
      <c r="J2134" s="186">
        <v>45853.69323422454</v>
      </c>
      <c r="K2134" s="187"/>
      <c r="L2134" s="187" t="s">
        <v>273</v>
      </c>
    </row>
    <row r="2135">
      <c r="A2135" s="17">
        <v>14.0</v>
      </c>
      <c r="B2135" s="188" t="s">
        <v>6</v>
      </c>
      <c r="C2135" s="188" t="s">
        <v>3595</v>
      </c>
      <c r="D2135" s="188" t="s">
        <v>202</v>
      </c>
      <c r="E2135" s="185" t="s">
        <v>135</v>
      </c>
      <c r="F2135" s="185" t="s">
        <v>136</v>
      </c>
      <c r="G2135" s="188" t="s">
        <v>3596</v>
      </c>
      <c r="H2135" s="188"/>
      <c r="I2135" s="188" t="s">
        <v>136</v>
      </c>
      <c r="J2135" s="189">
        <v>45855.72159935185</v>
      </c>
      <c r="K2135" s="187"/>
      <c r="L2135" s="187" t="s">
        <v>273</v>
      </c>
    </row>
    <row r="2136">
      <c r="A2136" s="17">
        <v>15.0</v>
      </c>
      <c r="B2136" s="183" t="s">
        <v>7</v>
      </c>
      <c r="C2136" s="183" t="s">
        <v>2978</v>
      </c>
      <c r="D2136" s="183" t="s">
        <v>202</v>
      </c>
      <c r="E2136" s="185" t="s">
        <v>135</v>
      </c>
      <c r="F2136" s="185" t="s">
        <v>136</v>
      </c>
      <c r="G2136" s="183" t="s">
        <v>3597</v>
      </c>
      <c r="H2136" s="183"/>
      <c r="I2136" s="183" t="s">
        <v>135</v>
      </c>
      <c r="J2136" s="186">
        <v>45855.72794466435</v>
      </c>
      <c r="K2136" s="187"/>
      <c r="L2136" s="187" t="s">
        <v>273</v>
      </c>
    </row>
    <row r="2137">
      <c r="A2137" s="17">
        <v>16.0</v>
      </c>
      <c r="B2137" s="188" t="s">
        <v>6</v>
      </c>
      <c r="C2137" s="188" t="s">
        <v>998</v>
      </c>
      <c r="D2137" s="188" t="s">
        <v>202</v>
      </c>
      <c r="E2137" s="185" t="s">
        <v>136</v>
      </c>
      <c r="F2137" s="185" t="s">
        <v>136</v>
      </c>
      <c r="G2137" s="188" t="s">
        <v>3598</v>
      </c>
      <c r="H2137" s="188"/>
      <c r="I2137" s="188" t="s">
        <v>136</v>
      </c>
      <c r="J2137" s="189">
        <v>45855.73168701389</v>
      </c>
      <c r="K2137" s="187"/>
      <c r="L2137" s="187" t="s">
        <v>273</v>
      </c>
    </row>
    <row r="2138">
      <c r="A2138" s="17">
        <v>17.0</v>
      </c>
      <c r="B2138" s="183" t="s">
        <v>7</v>
      </c>
      <c r="C2138" s="183" t="s">
        <v>3599</v>
      </c>
      <c r="D2138" s="183" t="s">
        <v>370</v>
      </c>
      <c r="E2138" s="185" t="s">
        <v>135</v>
      </c>
      <c r="F2138" s="185" t="s">
        <v>136</v>
      </c>
      <c r="G2138" s="183" t="s">
        <v>3600</v>
      </c>
      <c r="H2138" s="183"/>
      <c r="I2138" s="183" t="s">
        <v>136</v>
      </c>
      <c r="J2138" s="186">
        <v>45855.732633125</v>
      </c>
      <c r="K2138" s="187"/>
      <c r="L2138" s="187" t="s">
        <v>273</v>
      </c>
    </row>
    <row r="2139">
      <c r="A2139" s="17">
        <v>18.0</v>
      </c>
      <c r="B2139" s="188" t="s">
        <v>7</v>
      </c>
      <c r="C2139" s="188" t="s">
        <v>1087</v>
      </c>
      <c r="D2139" s="188" t="s">
        <v>202</v>
      </c>
      <c r="E2139" s="185" t="s">
        <v>135</v>
      </c>
      <c r="F2139" s="185" t="s">
        <v>136</v>
      </c>
      <c r="G2139" s="188" t="s">
        <v>3601</v>
      </c>
      <c r="H2139" s="188"/>
      <c r="I2139" s="188" t="s">
        <v>136</v>
      </c>
      <c r="J2139" s="189">
        <v>45855.73277901621</v>
      </c>
      <c r="K2139" s="187"/>
      <c r="L2139" s="187" t="s">
        <v>273</v>
      </c>
    </row>
    <row r="2140">
      <c r="A2140" s="17">
        <v>19.0</v>
      </c>
      <c r="B2140" s="183" t="s">
        <v>7</v>
      </c>
      <c r="C2140" s="183" t="s">
        <v>245</v>
      </c>
      <c r="D2140" s="183" t="s">
        <v>202</v>
      </c>
      <c r="E2140" s="185" t="s">
        <v>136</v>
      </c>
      <c r="F2140" s="185" t="s">
        <v>136</v>
      </c>
      <c r="G2140" s="183" t="s">
        <v>3602</v>
      </c>
      <c r="H2140" s="183"/>
      <c r="I2140" s="183" t="s">
        <v>136</v>
      </c>
      <c r="J2140" s="186">
        <v>45855.735536099535</v>
      </c>
      <c r="K2140" s="187"/>
      <c r="L2140" s="187" t="s">
        <v>273</v>
      </c>
    </row>
    <row r="2141">
      <c r="A2141" s="17">
        <v>20.0</v>
      </c>
      <c r="B2141" s="188" t="s">
        <v>7</v>
      </c>
      <c r="C2141" s="192"/>
      <c r="D2141" s="188" t="s">
        <v>202</v>
      </c>
      <c r="E2141" s="185" t="s">
        <v>136</v>
      </c>
      <c r="F2141" s="185" t="s">
        <v>136</v>
      </c>
      <c r="G2141" s="188" t="s">
        <v>137</v>
      </c>
      <c r="H2141" s="188"/>
      <c r="I2141" s="188" t="s">
        <v>136</v>
      </c>
      <c r="J2141" s="189">
        <v>45855.73754164352</v>
      </c>
      <c r="K2141" s="187"/>
      <c r="L2141" s="187" t="s">
        <v>273</v>
      </c>
    </row>
    <row r="2142">
      <c r="A2142" s="17">
        <v>21.0</v>
      </c>
      <c r="B2142" s="183" t="s">
        <v>7</v>
      </c>
      <c r="C2142" s="183" t="s">
        <v>3603</v>
      </c>
      <c r="D2142" s="183" t="s">
        <v>202</v>
      </c>
      <c r="E2142" s="185" t="s">
        <v>136</v>
      </c>
      <c r="F2142" s="185" t="s">
        <v>136</v>
      </c>
      <c r="G2142" s="183" t="s">
        <v>3600</v>
      </c>
      <c r="H2142" s="183"/>
      <c r="I2142" s="183" t="s">
        <v>136</v>
      </c>
      <c r="J2142" s="186">
        <v>45855.73793195601</v>
      </c>
      <c r="K2142" s="187"/>
      <c r="L2142" s="187" t="s">
        <v>273</v>
      </c>
    </row>
    <row r="2143">
      <c r="A2143" s="17">
        <v>22.0</v>
      </c>
      <c r="B2143" s="188" t="s">
        <v>6</v>
      </c>
      <c r="C2143" s="188" t="s">
        <v>3604</v>
      </c>
      <c r="D2143" s="188" t="s">
        <v>202</v>
      </c>
      <c r="E2143" s="185" t="s">
        <v>135</v>
      </c>
      <c r="F2143" s="185" t="s">
        <v>136</v>
      </c>
      <c r="G2143" s="188" t="s">
        <v>3605</v>
      </c>
      <c r="H2143" s="188"/>
      <c r="I2143" s="188" t="s">
        <v>135</v>
      </c>
      <c r="J2143" s="189">
        <v>45855.73892038195</v>
      </c>
      <c r="K2143" s="187"/>
      <c r="L2143" s="187" t="s">
        <v>273</v>
      </c>
    </row>
    <row r="2144">
      <c r="A2144" s="17">
        <v>23.0</v>
      </c>
      <c r="B2144" s="183" t="s">
        <v>7</v>
      </c>
      <c r="C2144" s="183" t="s">
        <v>3606</v>
      </c>
      <c r="D2144" s="188" t="s">
        <v>202</v>
      </c>
      <c r="E2144" s="185" t="s">
        <v>135</v>
      </c>
      <c r="F2144" s="185" t="s">
        <v>136</v>
      </c>
      <c r="G2144" s="183" t="s">
        <v>3607</v>
      </c>
      <c r="H2144" s="183"/>
      <c r="I2144" s="183" t="s">
        <v>135</v>
      </c>
      <c r="J2144" s="186">
        <v>45855.74005951389</v>
      </c>
      <c r="K2144" s="187"/>
      <c r="L2144" s="187" t="s">
        <v>273</v>
      </c>
    </row>
    <row r="2145">
      <c r="A2145" s="17">
        <v>24.0</v>
      </c>
      <c r="B2145" s="188" t="s">
        <v>6</v>
      </c>
      <c r="C2145" s="188" t="s">
        <v>3608</v>
      </c>
      <c r="D2145" s="188" t="s">
        <v>202</v>
      </c>
      <c r="E2145" s="185" t="s">
        <v>136</v>
      </c>
      <c r="F2145" s="185" t="s">
        <v>136</v>
      </c>
      <c r="G2145" s="188" t="s">
        <v>3609</v>
      </c>
      <c r="H2145" s="188"/>
      <c r="I2145" s="188" t="s">
        <v>135</v>
      </c>
      <c r="J2145" s="189">
        <v>45855.740523125</v>
      </c>
      <c r="K2145" s="187"/>
      <c r="L2145" s="187" t="s">
        <v>273</v>
      </c>
    </row>
    <row r="2146">
      <c r="A2146" s="17">
        <v>25.0</v>
      </c>
      <c r="B2146" s="183" t="s">
        <v>6</v>
      </c>
      <c r="C2146" s="183" t="s">
        <v>3610</v>
      </c>
      <c r="D2146" s="183" t="s">
        <v>370</v>
      </c>
      <c r="E2146" s="185" t="s">
        <v>136</v>
      </c>
      <c r="F2146" s="185" t="s">
        <v>136</v>
      </c>
      <c r="G2146" s="183" t="s">
        <v>385</v>
      </c>
      <c r="H2146" s="183"/>
      <c r="I2146" s="183" t="s">
        <v>135</v>
      </c>
      <c r="J2146" s="186">
        <v>45855.74172723379</v>
      </c>
      <c r="K2146" s="187"/>
      <c r="L2146" s="187" t="s">
        <v>273</v>
      </c>
    </row>
    <row r="2147">
      <c r="A2147" s="17">
        <v>26.0</v>
      </c>
      <c r="B2147" s="188" t="s">
        <v>7</v>
      </c>
      <c r="C2147" s="188" t="s">
        <v>3611</v>
      </c>
      <c r="D2147" s="188" t="s">
        <v>202</v>
      </c>
      <c r="E2147" s="185" t="s">
        <v>136</v>
      </c>
      <c r="F2147" s="185" t="s">
        <v>136</v>
      </c>
      <c r="G2147" s="188" t="s">
        <v>3100</v>
      </c>
      <c r="H2147" s="188"/>
      <c r="I2147" s="188" t="s">
        <v>135</v>
      </c>
      <c r="J2147" s="189">
        <v>45855.7428319676</v>
      </c>
      <c r="K2147" s="190"/>
      <c r="L2147" s="187" t="s">
        <v>273</v>
      </c>
    </row>
    <row r="2148">
      <c r="A2148" s="17">
        <v>1.0</v>
      </c>
      <c r="B2148" s="183" t="s">
        <v>7</v>
      </c>
      <c r="C2148" s="183" t="s">
        <v>149</v>
      </c>
      <c r="D2148" s="183" t="s">
        <v>134</v>
      </c>
      <c r="E2148" s="185" t="s">
        <v>136</v>
      </c>
      <c r="F2148" s="185" t="s">
        <v>136</v>
      </c>
      <c r="G2148" s="183" t="s">
        <v>137</v>
      </c>
      <c r="I2148" s="183" t="s">
        <v>135</v>
      </c>
      <c r="J2148" s="186">
        <v>45833.62264256945</v>
      </c>
      <c r="K2148" s="187" t="s">
        <v>3612</v>
      </c>
      <c r="L2148" s="187" t="s">
        <v>278</v>
      </c>
    </row>
    <row r="2149">
      <c r="A2149" s="17">
        <v>2.0</v>
      </c>
      <c r="B2149" s="188" t="s">
        <v>7</v>
      </c>
      <c r="C2149" s="188" t="s">
        <v>1524</v>
      </c>
      <c r="D2149" s="188" t="s">
        <v>159</v>
      </c>
      <c r="E2149" s="185" t="s">
        <v>136</v>
      </c>
      <c r="F2149" s="185" t="s">
        <v>136</v>
      </c>
      <c r="G2149" s="188" t="s">
        <v>3613</v>
      </c>
      <c r="I2149" s="188" t="s">
        <v>136</v>
      </c>
      <c r="J2149" s="189">
        <v>45833.62319315972</v>
      </c>
      <c r="K2149" s="187" t="s">
        <v>3612</v>
      </c>
      <c r="L2149" s="187" t="s">
        <v>278</v>
      </c>
    </row>
    <row r="2150">
      <c r="A2150" s="17">
        <v>3.0</v>
      </c>
      <c r="B2150" s="183" t="s">
        <v>7</v>
      </c>
      <c r="C2150" s="183" t="s">
        <v>1515</v>
      </c>
      <c r="D2150" s="183" t="s">
        <v>209</v>
      </c>
      <c r="E2150" s="185" t="s">
        <v>135</v>
      </c>
      <c r="F2150" s="185" t="s">
        <v>136</v>
      </c>
      <c r="G2150" s="183" t="s">
        <v>3614</v>
      </c>
      <c r="I2150" s="183" t="s">
        <v>136</v>
      </c>
      <c r="J2150" s="186">
        <v>45833.62686655093</v>
      </c>
      <c r="K2150" s="187" t="s">
        <v>3612</v>
      </c>
      <c r="L2150" s="187" t="s">
        <v>278</v>
      </c>
    </row>
    <row r="2151">
      <c r="A2151" s="17">
        <v>4.0</v>
      </c>
      <c r="B2151" s="188" t="s">
        <v>7</v>
      </c>
      <c r="C2151" s="188" t="s">
        <v>3615</v>
      </c>
      <c r="D2151" s="188" t="s">
        <v>188</v>
      </c>
      <c r="E2151" s="184" t="s">
        <v>135</v>
      </c>
      <c r="F2151" s="185" t="s">
        <v>136</v>
      </c>
      <c r="G2151" s="188" t="s">
        <v>3616</v>
      </c>
      <c r="I2151" s="188" t="s">
        <v>136</v>
      </c>
      <c r="J2151" s="189">
        <v>45833.62717548611</v>
      </c>
      <c r="K2151" s="187" t="s">
        <v>3612</v>
      </c>
      <c r="L2151" s="187" t="s">
        <v>278</v>
      </c>
    </row>
    <row r="2152">
      <c r="A2152" s="17">
        <v>5.0</v>
      </c>
      <c r="B2152" s="183" t="s">
        <v>7</v>
      </c>
      <c r="C2152" s="183" t="s">
        <v>409</v>
      </c>
      <c r="D2152" s="183" t="s">
        <v>238</v>
      </c>
      <c r="E2152" s="185" t="s">
        <v>136</v>
      </c>
      <c r="F2152" s="185" t="s">
        <v>136</v>
      </c>
      <c r="G2152" s="183" t="s">
        <v>3617</v>
      </c>
      <c r="I2152" s="183" t="s">
        <v>135</v>
      </c>
      <c r="J2152" s="186">
        <v>45833.6275596412</v>
      </c>
      <c r="K2152" s="187" t="s">
        <v>3612</v>
      </c>
      <c r="L2152" s="187" t="s">
        <v>278</v>
      </c>
    </row>
    <row r="2153">
      <c r="A2153" s="17">
        <v>6.0</v>
      </c>
      <c r="B2153" s="188" t="s">
        <v>7</v>
      </c>
      <c r="C2153" s="188" t="s">
        <v>3618</v>
      </c>
      <c r="D2153" s="184" t="s">
        <v>153</v>
      </c>
      <c r="E2153" s="185" t="s">
        <v>136</v>
      </c>
      <c r="F2153" s="185" t="s">
        <v>136</v>
      </c>
      <c r="G2153" s="188" t="s">
        <v>3619</v>
      </c>
      <c r="I2153" s="188" t="s">
        <v>136</v>
      </c>
      <c r="J2153" s="189">
        <v>45833.62793659722</v>
      </c>
      <c r="K2153" s="187" t="s">
        <v>3612</v>
      </c>
      <c r="L2153" s="187" t="s">
        <v>278</v>
      </c>
    </row>
    <row r="2154">
      <c r="A2154" s="17">
        <v>7.0</v>
      </c>
      <c r="B2154" s="183" t="s">
        <v>7</v>
      </c>
      <c r="C2154" s="183" t="s">
        <v>245</v>
      </c>
      <c r="D2154" s="183" t="s">
        <v>202</v>
      </c>
      <c r="E2154" s="185" t="s">
        <v>136</v>
      </c>
      <c r="F2154" s="185" t="s">
        <v>136</v>
      </c>
      <c r="G2154" s="183" t="s">
        <v>385</v>
      </c>
      <c r="I2154" s="183" t="s">
        <v>135</v>
      </c>
      <c r="J2154" s="186">
        <v>45833.62797614583</v>
      </c>
      <c r="K2154" s="187" t="s">
        <v>3612</v>
      </c>
      <c r="L2154" s="187" t="s">
        <v>278</v>
      </c>
    </row>
    <row r="2155">
      <c r="A2155" s="17">
        <v>8.0</v>
      </c>
      <c r="B2155" s="188" t="s">
        <v>6</v>
      </c>
      <c r="C2155" s="188" t="s">
        <v>3620</v>
      </c>
      <c r="D2155" s="188" t="s">
        <v>3621</v>
      </c>
      <c r="E2155" s="185" t="s">
        <v>136</v>
      </c>
      <c r="F2155" s="185" t="s">
        <v>136</v>
      </c>
      <c r="G2155" s="188" t="s">
        <v>137</v>
      </c>
      <c r="I2155" s="188" t="s">
        <v>135</v>
      </c>
      <c r="J2155" s="189">
        <v>45833.6288816088</v>
      </c>
      <c r="K2155" s="187" t="s">
        <v>3612</v>
      </c>
      <c r="L2155" s="187" t="s">
        <v>278</v>
      </c>
    </row>
    <row r="2156">
      <c r="A2156" s="17">
        <v>9.0</v>
      </c>
      <c r="B2156" s="183" t="s">
        <v>6</v>
      </c>
      <c r="C2156" s="183" t="s">
        <v>3622</v>
      </c>
      <c r="D2156" s="183" t="s">
        <v>302</v>
      </c>
      <c r="E2156" s="185" t="s">
        <v>136</v>
      </c>
      <c r="F2156" s="185" t="s">
        <v>136</v>
      </c>
      <c r="G2156" s="183" t="s">
        <v>137</v>
      </c>
      <c r="I2156" s="183" t="s">
        <v>136</v>
      </c>
      <c r="J2156" s="186">
        <v>45833.629406168984</v>
      </c>
      <c r="K2156" s="187" t="s">
        <v>3612</v>
      </c>
      <c r="L2156" s="187" t="s">
        <v>278</v>
      </c>
    </row>
    <row r="2157">
      <c r="A2157" s="17">
        <v>10.0</v>
      </c>
      <c r="B2157" s="188" t="s">
        <v>7</v>
      </c>
      <c r="C2157" s="188" t="s">
        <v>1963</v>
      </c>
      <c r="D2157" s="188" t="s">
        <v>202</v>
      </c>
      <c r="E2157" s="185" t="s">
        <v>136</v>
      </c>
      <c r="F2157" s="185" t="s">
        <v>136</v>
      </c>
      <c r="G2157" s="188" t="s">
        <v>1053</v>
      </c>
      <c r="I2157" s="188" t="s">
        <v>136</v>
      </c>
      <c r="J2157" s="189">
        <v>45833.62969929398</v>
      </c>
      <c r="K2157" s="187" t="s">
        <v>3612</v>
      </c>
      <c r="L2157" s="187" t="s">
        <v>278</v>
      </c>
    </row>
    <row r="2158">
      <c r="A2158" s="17">
        <v>11.0</v>
      </c>
      <c r="B2158" s="183" t="s">
        <v>6</v>
      </c>
      <c r="C2158" s="183" t="s">
        <v>3623</v>
      </c>
      <c r="D2158" s="183" t="s">
        <v>374</v>
      </c>
      <c r="E2158" s="185" t="s">
        <v>135</v>
      </c>
      <c r="F2158" s="185" t="s">
        <v>136</v>
      </c>
      <c r="G2158" s="183" t="s">
        <v>3585</v>
      </c>
      <c r="I2158" s="183" t="s">
        <v>135</v>
      </c>
      <c r="J2158" s="186">
        <v>45833.63071814815</v>
      </c>
      <c r="K2158" s="187" t="s">
        <v>3612</v>
      </c>
      <c r="L2158" s="187" t="s">
        <v>278</v>
      </c>
    </row>
    <row r="2159">
      <c r="A2159" s="17">
        <v>12.0</v>
      </c>
      <c r="B2159" s="188" t="s">
        <v>7</v>
      </c>
      <c r="C2159" s="188" t="s">
        <v>3624</v>
      </c>
      <c r="D2159" s="188" t="s">
        <v>3625</v>
      </c>
      <c r="E2159" s="185" t="s">
        <v>135</v>
      </c>
      <c r="F2159" s="185" t="s">
        <v>136</v>
      </c>
      <c r="G2159" s="188" t="s">
        <v>3626</v>
      </c>
      <c r="I2159" s="188" t="s">
        <v>136</v>
      </c>
      <c r="J2159" s="189">
        <v>45833.631132152776</v>
      </c>
      <c r="K2159" s="187" t="s">
        <v>3612</v>
      </c>
      <c r="L2159" s="187" t="s">
        <v>278</v>
      </c>
    </row>
    <row r="2160">
      <c r="A2160" s="17">
        <v>13.0</v>
      </c>
      <c r="B2160" s="183" t="s">
        <v>7</v>
      </c>
      <c r="C2160" s="183" t="s">
        <v>3198</v>
      </c>
      <c r="D2160" s="183" t="s">
        <v>374</v>
      </c>
      <c r="E2160" s="185" t="s">
        <v>135</v>
      </c>
      <c r="F2160" s="185" t="s">
        <v>136</v>
      </c>
      <c r="G2160" s="183" t="s">
        <v>1053</v>
      </c>
      <c r="I2160" s="183" t="s">
        <v>136</v>
      </c>
      <c r="J2160" s="186">
        <v>45833.6312144213</v>
      </c>
      <c r="K2160" s="187" t="s">
        <v>3612</v>
      </c>
      <c r="L2160" s="187" t="s">
        <v>278</v>
      </c>
    </row>
    <row r="2161">
      <c r="A2161" s="17">
        <v>14.0</v>
      </c>
      <c r="B2161" s="188" t="s">
        <v>7</v>
      </c>
      <c r="C2161" s="188" t="s">
        <v>211</v>
      </c>
      <c r="D2161" s="188" t="s">
        <v>176</v>
      </c>
      <c r="E2161" s="185" t="s">
        <v>135</v>
      </c>
      <c r="F2161" s="185" t="s">
        <v>136</v>
      </c>
      <c r="G2161" s="188" t="s">
        <v>137</v>
      </c>
      <c r="I2161" s="188" t="s">
        <v>135</v>
      </c>
      <c r="J2161" s="189">
        <v>45833.63168196759</v>
      </c>
      <c r="K2161" s="187" t="s">
        <v>3612</v>
      </c>
      <c r="L2161" s="187" t="s">
        <v>278</v>
      </c>
    </row>
    <row r="2162">
      <c r="A2162" s="17">
        <v>15.0</v>
      </c>
      <c r="B2162" s="183" t="s">
        <v>7</v>
      </c>
      <c r="C2162" s="183" t="s">
        <v>513</v>
      </c>
      <c r="D2162" s="183" t="s">
        <v>213</v>
      </c>
      <c r="E2162" s="185" t="s">
        <v>136</v>
      </c>
      <c r="F2162" s="185" t="s">
        <v>136</v>
      </c>
      <c r="G2162" s="183" t="s">
        <v>3627</v>
      </c>
      <c r="I2162" s="183" t="s">
        <v>135</v>
      </c>
      <c r="J2162" s="186">
        <v>45833.63197993056</v>
      </c>
      <c r="K2162" s="187" t="s">
        <v>3612</v>
      </c>
      <c r="L2162" s="187" t="s">
        <v>278</v>
      </c>
    </row>
    <row r="2163">
      <c r="A2163" s="17">
        <v>16.0</v>
      </c>
      <c r="B2163" s="188" t="s">
        <v>7</v>
      </c>
      <c r="C2163" s="188" t="s">
        <v>1319</v>
      </c>
      <c r="D2163" s="188" t="s">
        <v>228</v>
      </c>
      <c r="E2163" s="185" t="s">
        <v>135</v>
      </c>
      <c r="F2163" s="185" t="s">
        <v>136</v>
      </c>
      <c r="G2163" s="188" t="s">
        <v>3628</v>
      </c>
      <c r="I2163" s="188" t="s">
        <v>135</v>
      </c>
      <c r="J2163" s="189">
        <v>45833.632360937496</v>
      </c>
      <c r="K2163" s="187" t="s">
        <v>3612</v>
      </c>
      <c r="L2163" s="187" t="s">
        <v>278</v>
      </c>
    </row>
    <row r="2164">
      <c r="A2164" s="17">
        <v>17.0</v>
      </c>
      <c r="B2164" s="183" t="s">
        <v>6</v>
      </c>
      <c r="C2164" s="183" t="s">
        <v>2097</v>
      </c>
      <c r="D2164" s="183" t="s">
        <v>375</v>
      </c>
      <c r="E2164" s="185" t="s">
        <v>135</v>
      </c>
      <c r="F2164" s="185" t="s">
        <v>136</v>
      </c>
      <c r="G2164" s="183" t="s">
        <v>3629</v>
      </c>
      <c r="I2164" s="183" t="s">
        <v>136</v>
      </c>
      <c r="J2164" s="186">
        <v>45833.63402061343</v>
      </c>
      <c r="K2164" s="187" t="s">
        <v>3612</v>
      </c>
      <c r="L2164" s="187" t="s">
        <v>278</v>
      </c>
    </row>
    <row r="2165">
      <c r="A2165" s="17">
        <v>18.0</v>
      </c>
      <c r="B2165" s="188" t="s">
        <v>6</v>
      </c>
      <c r="C2165" s="188" t="s">
        <v>3630</v>
      </c>
      <c r="D2165" s="188" t="s">
        <v>159</v>
      </c>
      <c r="E2165" s="185" t="s">
        <v>136</v>
      </c>
      <c r="F2165" s="185" t="s">
        <v>136</v>
      </c>
      <c r="G2165" s="188" t="s">
        <v>3631</v>
      </c>
      <c r="I2165" s="188" t="s">
        <v>136</v>
      </c>
      <c r="J2165" s="189">
        <v>45833.63931806713</v>
      </c>
      <c r="K2165" s="187" t="s">
        <v>3612</v>
      </c>
      <c r="L2165" s="187" t="s">
        <v>278</v>
      </c>
    </row>
    <row r="2166">
      <c r="A2166" s="17">
        <v>19.0</v>
      </c>
      <c r="B2166" s="183" t="s">
        <v>7</v>
      </c>
      <c r="C2166" s="183" t="s">
        <v>3632</v>
      </c>
      <c r="D2166" s="183" t="s">
        <v>202</v>
      </c>
      <c r="E2166" s="185" t="s">
        <v>136</v>
      </c>
      <c r="F2166" s="185" t="s">
        <v>136</v>
      </c>
      <c r="G2166" s="183" t="s">
        <v>385</v>
      </c>
      <c r="I2166" s="183" t="s">
        <v>135</v>
      </c>
      <c r="J2166" s="186">
        <v>45833.64001158565</v>
      </c>
      <c r="K2166" s="187" t="s">
        <v>3612</v>
      </c>
      <c r="L2166" s="187" t="s">
        <v>278</v>
      </c>
    </row>
    <row r="2167">
      <c r="A2167" s="17">
        <v>20.0</v>
      </c>
      <c r="B2167" s="188" t="s">
        <v>7</v>
      </c>
      <c r="C2167" s="188" t="s">
        <v>2791</v>
      </c>
      <c r="D2167" s="188" t="s">
        <v>143</v>
      </c>
      <c r="E2167" s="185" t="s">
        <v>136</v>
      </c>
      <c r="F2167" s="185" t="s">
        <v>136</v>
      </c>
      <c r="G2167" s="188" t="s">
        <v>137</v>
      </c>
      <c r="I2167" s="188" t="s">
        <v>136</v>
      </c>
      <c r="J2167" s="189">
        <v>45833.64025015046</v>
      </c>
      <c r="K2167" s="187" t="s">
        <v>3612</v>
      </c>
      <c r="L2167" s="187" t="s">
        <v>278</v>
      </c>
    </row>
    <row r="2168">
      <c r="A2168" s="17">
        <v>21.0</v>
      </c>
      <c r="B2168" s="183" t="s">
        <v>6</v>
      </c>
      <c r="C2168" s="183" t="s">
        <v>1614</v>
      </c>
      <c r="D2168" s="183" t="s">
        <v>143</v>
      </c>
      <c r="E2168" s="185" t="s">
        <v>135</v>
      </c>
      <c r="F2168" s="185" t="s">
        <v>136</v>
      </c>
      <c r="G2168" s="183" t="s">
        <v>3633</v>
      </c>
      <c r="I2168" s="183" t="s">
        <v>136</v>
      </c>
      <c r="J2168" s="186">
        <v>45833.64052383102</v>
      </c>
      <c r="K2168" s="187" t="s">
        <v>3612</v>
      </c>
      <c r="L2168" s="187" t="s">
        <v>278</v>
      </c>
    </row>
    <row r="2169">
      <c r="A2169" s="17">
        <v>22.0</v>
      </c>
      <c r="B2169" s="188" t="s">
        <v>7</v>
      </c>
      <c r="C2169" s="188" t="s">
        <v>3634</v>
      </c>
      <c r="D2169" s="188" t="s">
        <v>228</v>
      </c>
      <c r="E2169" s="185" t="s">
        <v>135</v>
      </c>
      <c r="F2169" s="185" t="s">
        <v>136</v>
      </c>
      <c r="G2169" s="188" t="s">
        <v>411</v>
      </c>
      <c r="I2169" s="188" t="s">
        <v>136</v>
      </c>
      <c r="J2169" s="189">
        <v>45833.64096614583</v>
      </c>
      <c r="K2169" s="187" t="s">
        <v>3612</v>
      </c>
      <c r="L2169" s="187" t="s">
        <v>278</v>
      </c>
    </row>
    <row r="2170">
      <c r="A2170" s="17">
        <v>23.0</v>
      </c>
      <c r="B2170" s="183" t="s">
        <v>6</v>
      </c>
      <c r="C2170" s="183" t="s">
        <v>2791</v>
      </c>
      <c r="D2170" s="183" t="s">
        <v>143</v>
      </c>
      <c r="E2170" s="185" t="s">
        <v>136</v>
      </c>
      <c r="F2170" s="185" t="s">
        <v>136</v>
      </c>
      <c r="G2170" s="183" t="s">
        <v>3635</v>
      </c>
      <c r="I2170" s="183" t="s">
        <v>135</v>
      </c>
      <c r="J2170" s="186">
        <v>45833.64111376157</v>
      </c>
      <c r="K2170" s="187" t="s">
        <v>3612</v>
      </c>
      <c r="L2170" s="187" t="s">
        <v>278</v>
      </c>
    </row>
    <row r="2171">
      <c r="A2171" s="17">
        <v>24.0</v>
      </c>
      <c r="B2171" s="188" t="s">
        <v>6</v>
      </c>
      <c r="C2171" s="188" t="s">
        <v>3636</v>
      </c>
      <c r="D2171" s="188" t="s">
        <v>166</v>
      </c>
      <c r="E2171" s="185" t="s">
        <v>136</v>
      </c>
      <c r="F2171" s="185" t="s">
        <v>136</v>
      </c>
      <c r="G2171" s="188" t="s">
        <v>3637</v>
      </c>
      <c r="I2171" s="188" t="s">
        <v>136</v>
      </c>
      <c r="J2171" s="189">
        <v>45833.6430684375</v>
      </c>
      <c r="K2171" s="187" t="s">
        <v>3612</v>
      </c>
      <c r="L2171" s="187" t="s">
        <v>278</v>
      </c>
    </row>
    <row r="2172">
      <c r="A2172" s="17">
        <v>25.0</v>
      </c>
      <c r="B2172" s="183" t="s">
        <v>7</v>
      </c>
      <c r="C2172" s="183" t="s">
        <v>3638</v>
      </c>
      <c r="D2172" s="183" t="s">
        <v>202</v>
      </c>
      <c r="E2172" s="185" t="s">
        <v>136</v>
      </c>
      <c r="F2172" s="185" t="s">
        <v>136</v>
      </c>
      <c r="G2172" s="183" t="s">
        <v>3639</v>
      </c>
      <c r="I2172" s="183" t="s">
        <v>136</v>
      </c>
      <c r="J2172" s="186">
        <v>45833.645720243054</v>
      </c>
      <c r="K2172" s="187" t="s">
        <v>3612</v>
      </c>
      <c r="L2172" s="187" t="s">
        <v>278</v>
      </c>
    </row>
    <row r="2173">
      <c r="A2173" s="17">
        <v>1.0</v>
      </c>
      <c r="B2173" s="183" t="s">
        <v>7</v>
      </c>
      <c r="C2173" s="183" t="s">
        <v>3640</v>
      </c>
      <c r="D2173" s="183" t="s">
        <v>202</v>
      </c>
      <c r="E2173" s="185" t="s">
        <v>135</v>
      </c>
      <c r="F2173" s="185" t="s">
        <v>136</v>
      </c>
      <c r="G2173" s="183" t="s">
        <v>1053</v>
      </c>
      <c r="I2173" s="183" t="s">
        <v>136</v>
      </c>
      <c r="J2173" s="186">
        <v>45800.44815646991</v>
      </c>
      <c r="K2173" s="187" t="s">
        <v>3612</v>
      </c>
      <c r="L2173" s="187" t="s">
        <v>283</v>
      </c>
    </row>
    <row r="2174">
      <c r="A2174" s="17">
        <v>2.0</v>
      </c>
      <c r="B2174" s="188" t="s">
        <v>6</v>
      </c>
      <c r="C2174" s="188" t="s">
        <v>1282</v>
      </c>
      <c r="D2174" s="188" t="s">
        <v>134</v>
      </c>
      <c r="E2174" s="185" t="s">
        <v>136</v>
      </c>
      <c r="F2174" s="185" t="s">
        <v>136</v>
      </c>
      <c r="G2174" s="188" t="s">
        <v>3100</v>
      </c>
      <c r="I2174" s="188" t="s">
        <v>135</v>
      </c>
      <c r="J2174" s="189">
        <v>45800.450118622684</v>
      </c>
      <c r="K2174" s="187" t="s">
        <v>3612</v>
      </c>
      <c r="L2174" s="187" t="s">
        <v>283</v>
      </c>
    </row>
    <row r="2175">
      <c r="A2175" s="17">
        <v>3.0</v>
      </c>
      <c r="B2175" s="183" t="s">
        <v>7</v>
      </c>
      <c r="C2175" s="183" t="s">
        <v>3641</v>
      </c>
      <c r="D2175" s="183" t="s">
        <v>134</v>
      </c>
      <c r="E2175" s="185" t="s">
        <v>136</v>
      </c>
      <c r="F2175" s="185" t="s">
        <v>136</v>
      </c>
      <c r="G2175" s="183" t="s">
        <v>3600</v>
      </c>
      <c r="I2175" s="183" t="s">
        <v>136</v>
      </c>
      <c r="J2175" s="186">
        <v>45800.46023815972</v>
      </c>
      <c r="K2175" s="187" t="s">
        <v>3612</v>
      </c>
      <c r="L2175" s="187" t="s">
        <v>283</v>
      </c>
    </row>
    <row r="2176">
      <c r="A2176" s="17">
        <v>4.0</v>
      </c>
      <c r="B2176" s="188" t="s">
        <v>6</v>
      </c>
      <c r="C2176" s="188" t="s">
        <v>245</v>
      </c>
      <c r="D2176" s="188" t="s">
        <v>202</v>
      </c>
      <c r="E2176" s="184" t="s">
        <v>135</v>
      </c>
      <c r="F2176" s="185" t="s">
        <v>136</v>
      </c>
      <c r="G2176" s="188" t="s">
        <v>3605</v>
      </c>
      <c r="I2176" s="188" t="s">
        <v>136</v>
      </c>
      <c r="J2176" s="189">
        <v>45800.46231716435</v>
      </c>
      <c r="K2176" s="187" t="s">
        <v>3612</v>
      </c>
      <c r="L2176" s="187" t="s">
        <v>283</v>
      </c>
    </row>
    <row r="2177">
      <c r="A2177" s="17">
        <v>5.0</v>
      </c>
      <c r="B2177" s="183" t="s">
        <v>6</v>
      </c>
      <c r="C2177" s="183" t="s">
        <v>3642</v>
      </c>
      <c r="D2177" s="183" t="s">
        <v>202</v>
      </c>
      <c r="E2177" s="184" t="s">
        <v>135</v>
      </c>
      <c r="F2177" s="185" t="s">
        <v>136</v>
      </c>
      <c r="G2177" s="183" t="s">
        <v>3643</v>
      </c>
      <c r="I2177" s="183" t="s">
        <v>136</v>
      </c>
      <c r="J2177" s="186">
        <v>45800.462820162036</v>
      </c>
      <c r="K2177" s="187" t="s">
        <v>3612</v>
      </c>
      <c r="L2177" s="187" t="s">
        <v>283</v>
      </c>
    </row>
    <row r="2178">
      <c r="A2178" s="17">
        <v>6.0</v>
      </c>
      <c r="B2178" s="188" t="s">
        <v>7</v>
      </c>
      <c r="C2178" s="188" t="s">
        <v>245</v>
      </c>
      <c r="D2178" s="188" t="s">
        <v>202</v>
      </c>
      <c r="E2178" s="184" t="s">
        <v>135</v>
      </c>
      <c r="F2178" s="185" t="s">
        <v>136</v>
      </c>
      <c r="G2178" s="188" t="s">
        <v>1053</v>
      </c>
      <c r="I2178" s="188" t="s">
        <v>136</v>
      </c>
      <c r="J2178" s="189">
        <v>45800.46316868055</v>
      </c>
      <c r="K2178" s="187" t="s">
        <v>3612</v>
      </c>
      <c r="L2178" s="187" t="s">
        <v>283</v>
      </c>
    </row>
    <row r="2179">
      <c r="A2179" s="168">
        <v>1.0</v>
      </c>
      <c r="B2179" s="193" t="s">
        <v>6</v>
      </c>
      <c r="C2179" s="193" t="s">
        <v>3644</v>
      </c>
      <c r="D2179" s="193" t="s">
        <v>134</v>
      </c>
      <c r="E2179" s="194" t="s">
        <v>136</v>
      </c>
      <c r="F2179" s="194" t="s">
        <v>136</v>
      </c>
      <c r="G2179" s="193" t="s">
        <v>3645</v>
      </c>
      <c r="H2179" s="171"/>
      <c r="I2179" s="193" t="s">
        <v>136</v>
      </c>
      <c r="J2179" s="186">
        <v>45791.427673136575</v>
      </c>
      <c r="K2179" s="195" t="s">
        <v>3612</v>
      </c>
      <c r="L2179" s="195" t="s">
        <v>289</v>
      </c>
    </row>
    <row r="2180">
      <c r="A2180" s="168">
        <v>2.0</v>
      </c>
      <c r="B2180" s="196" t="s">
        <v>6</v>
      </c>
      <c r="C2180" s="196" t="s">
        <v>3646</v>
      </c>
      <c r="D2180" s="196" t="s">
        <v>134</v>
      </c>
      <c r="E2180" s="197" t="s">
        <v>135</v>
      </c>
      <c r="F2180" s="194" t="s">
        <v>136</v>
      </c>
      <c r="G2180" s="196" t="s">
        <v>3647</v>
      </c>
      <c r="H2180" s="174"/>
      <c r="I2180" s="196" t="s">
        <v>135</v>
      </c>
      <c r="J2180" s="189">
        <v>45791.42889585649</v>
      </c>
      <c r="K2180" s="195" t="s">
        <v>3612</v>
      </c>
      <c r="L2180" s="195" t="s">
        <v>289</v>
      </c>
    </row>
    <row r="2181">
      <c r="A2181" s="168">
        <v>3.0</v>
      </c>
      <c r="B2181" s="193" t="s">
        <v>6</v>
      </c>
      <c r="C2181" s="193" t="s">
        <v>3648</v>
      </c>
      <c r="D2181" s="193" t="s">
        <v>134</v>
      </c>
      <c r="E2181" s="194" t="s">
        <v>136</v>
      </c>
      <c r="F2181" s="194" t="s">
        <v>136</v>
      </c>
      <c r="G2181" s="193" t="s">
        <v>3649</v>
      </c>
      <c r="H2181" s="171"/>
      <c r="I2181" s="193" t="s">
        <v>135</v>
      </c>
      <c r="J2181" s="186">
        <v>45791.43114403935</v>
      </c>
      <c r="K2181" s="195" t="s">
        <v>3612</v>
      </c>
      <c r="L2181" s="195" t="s">
        <v>289</v>
      </c>
    </row>
    <row r="2182">
      <c r="A2182" s="168">
        <v>4.0</v>
      </c>
      <c r="B2182" s="196" t="s">
        <v>7</v>
      </c>
      <c r="C2182" s="196" t="s">
        <v>3650</v>
      </c>
      <c r="D2182" s="196" t="s">
        <v>134</v>
      </c>
      <c r="E2182" s="197" t="s">
        <v>135</v>
      </c>
      <c r="F2182" s="194" t="s">
        <v>136</v>
      </c>
      <c r="G2182" s="196" t="s">
        <v>3651</v>
      </c>
      <c r="H2182" s="174"/>
      <c r="I2182" s="196" t="s">
        <v>136</v>
      </c>
      <c r="J2182" s="189">
        <v>45791.43374547454</v>
      </c>
      <c r="K2182" s="195" t="s">
        <v>3612</v>
      </c>
      <c r="L2182" s="195" t="s">
        <v>289</v>
      </c>
    </row>
    <row r="2183">
      <c r="A2183" s="168">
        <v>5.0</v>
      </c>
      <c r="B2183" s="193" t="s">
        <v>6</v>
      </c>
      <c r="C2183" s="198"/>
      <c r="D2183" s="193" t="s">
        <v>134</v>
      </c>
      <c r="E2183" s="194" t="s">
        <v>136</v>
      </c>
      <c r="F2183" s="194" t="s">
        <v>136</v>
      </c>
      <c r="G2183" s="193" t="s">
        <v>385</v>
      </c>
      <c r="H2183" s="171"/>
      <c r="I2183" s="193" t="s">
        <v>135</v>
      </c>
      <c r="J2183" s="186">
        <v>45791.43416466435</v>
      </c>
      <c r="K2183" s="195" t="s">
        <v>3612</v>
      </c>
      <c r="L2183" s="195" t="s">
        <v>289</v>
      </c>
    </row>
    <row r="2184">
      <c r="A2184" s="168">
        <v>6.0</v>
      </c>
      <c r="B2184" s="196" t="s">
        <v>7</v>
      </c>
      <c r="C2184" s="196" t="s">
        <v>3652</v>
      </c>
      <c r="D2184" s="196" t="s">
        <v>134</v>
      </c>
      <c r="E2184" s="194" t="s">
        <v>136</v>
      </c>
      <c r="F2184" s="194" t="s">
        <v>136</v>
      </c>
      <c r="G2184" s="196" t="s">
        <v>3653</v>
      </c>
      <c r="H2184" s="174"/>
      <c r="I2184" s="196" t="s">
        <v>136</v>
      </c>
      <c r="J2184" s="189">
        <v>45791.44163825232</v>
      </c>
      <c r="K2184" s="195" t="s">
        <v>3612</v>
      </c>
      <c r="L2184" s="195" t="s">
        <v>289</v>
      </c>
    </row>
    <row r="2185">
      <c r="A2185" s="168">
        <v>7.0</v>
      </c>
      <c r="B2185" s="193" t="s">
        <v>7</v>
      </c>
      <c r="C2185" s="193" t="s">
        <v>1360</v>
      </c>
      <c r="D2185" s="193" t="s">
        <v>134</v>
      </c>
      <c r="E2185" s="194" t="s">
        <v>136</v>
      </c>
      <c r="F2185" s="194" t="s">
        <v>136</v>
      </c>
      <c r="G2185" s="193" t="s">
        <v>3605</v>
      </c>
      <c r="H2185" s="171"/>
      <c r="I2185" s="193" t="s">
        <v>136</v>
      </c>
      <c r="J2185" s="186">
        <v>45791.44304076389</v>
      </c>
      <c r="K2185" s="195" t="s">
        <v>3612</v>
      </c>
      <c r="L2185" s="195" t="s">
        <v>289</v>
      </c>
    </row>
    <row r="2186">
      <c r="A2186" s="168">
        <v>8.0</v>
      </c>
      <c r="B2186" s="196" t="s">
        <v>7</v>
      </c>
      <c r="C2186" s="196" t="s">
        <v>3644</v>
      </c>
      <c r="D2186" s="196" t="s">
        <v>134</v>
      </c>
      <c r="E2186" s="197" t="s">
        <v>135</v>
      </c>
      <c r="F2186" s="194" t="s">
        <v>136</v>
      </c>
      <c r="G2186" s="196" t="s">
        <v>3605</v>
      </c>
      <c r="H2186" s="174"/>
      <c r="I2186" s="196" t="s">
        <v>136</v>
      </c>
      <c r="J2186" s="189">
        <v>45791.44375017361</v>
      </c>
      <c r="K2186" s="195" t="s">
        <v>3612</v>
      </c>
      <c r="L2186" s="195" t="s">
        <v>289</v>
      </c>
    </row>
    <row r="2187">
      <c r="A2187" s="168">
        <v>1.0</v>
      </c>
      <c r="B2187" s="196" t="s">
        <v>7</v>
      </c>
      <c r="C2187" s="196" t="s">
        <v>3654</v>
      </c>
      <c r="D2187" s="196" t="s">
        <v>209</v>
      </c>
      <c r="E2187" s="170" t="s">
        <v>136</v>
      </c>
      <c r="F2187" s="170" t="s">
        <v>3655</v>
      </c>
      <c r="G2187" s="196" t="s">
        <v>3614</v>
      </c>
      <c r="H2187" s="174"/>
      <c r="I2187" s="196" t="s">
        <v>135</v>
      </c>
      <c r="J2187" s="189">
        <v>45777.62832761574</v>
      </c>
      <c r="K2187" s="173" t="s">
        <v>139</v>
      </c>
      <c r="L2187" s="170" t="s">
        <v>295</v>
      </c>
    </row>
    <row r="2188">
      <c r="A2188" s="168">
        <v>2.0</v>
      </c>
      <c r="B2188" s="193" t="s">
        <v>7</v>
      </c>
      <c r="C2188" s="198"/>
      <c r="D2188" s="193" t="s">
        <v>218</v>
      </c>
      <c r="E2188" s="170" t="s">
        <v>135</v>
      </c>
      <c r="F2188" s="170" t="s">
        <v>3655</v>
      </c>
      <c r="G2188" s="193" t="s">
        <v>3656</v>
      </c>
      <c r="H2188" s="171"/>
      <c r="I2188" s="193" t="s">
        <v>136</v>
      </c>
      <c r="J2188" s="186">
        <v>45777.628622118056</v>
      </c>
      <c r="K2188" s="173" t="s">
        <v>139</v>
      </c>
      <c r="L2188" s="170" t="s">
        <v>295</v>
      </c>
    </row>
    <row r="2189">
      <c r="A2189" s="168">
        <v>3.0</v>
      </c>
      <c r="B2189" s="196" t="s">
        <v>6</v>
      </c>
      <c r="C2189" s="196" t="s">
        <v>1614</v>
      </c>
      <c r="D2189" s="196" t="s">
        <v>143</v>
      </c>
      <c r="E2189" s="170" t="s">
        <v>135</v>
      </c>
      <c r="F2189" s="170" t="s">
        <v>3655</v>
      </c>
      <c r="G2189" s="196" t="s">
        <v>3657</v>
      </c>
      <c r="H2189" s="174"/>
      <c r="I2189" s="196" t="s">
        <v>136</v>
      </c>
      <c r="J2189" s="189">
        <v>45777.630954837965</v>
      </c>
      <c r="K2189" s="173" t="s">
        <v>139</v>
      </c>
      <c r="L2189" s="170" t="s">
        <v>295</v>
      </c>
    </row>
    <row r="2190">
      <c r="A2190" s="168">
        <v>4.0</v>
      </c>
      <c r="B2190" s="193" t="s">
        <v>6</v>
      </c>
      <c r="C2190" s="193" t="s">
        <v>1852</v>
      </c>
      <c r="D2190" s="193" t="s">
        <v>143</v>
      </c>
      <c r="E2190" s="170" t="s">
        <v>136</v>
      </c>
      <c r="F2190" s="170" t="s">
        <v>3655</v>
      </c>
      <c r="G2190" s="193" t="s">
        <v>137</v>
      </c>
      <c r="H2190" s="171"/>
      <c r="I2190" s="193" t="s">
        <v>136</v>
      </c>
      <c r="J2190" s="186">
        <v>45777.6338813426</v>
      </c>
      <c r="K2190" s="173" t="s">
        <v>139</v>
      </c>
      <c r="L2190" s="170" t="s">
        <v>295</v>
      </c>
    </row>
    <row r="2191">
      <c r="A2191" s="168">
        <v>5.0</v>
      </c>
      <c r="B2191" s="196" t="s">
        <v>3658</v>
      </c>
      <c r="C2191" s="196" t="s">
        <v>3659</v>
      </c>
      <c r="D2191" s="196" t="s">
        <v>3660</v>
      </c>
      <c r="E2191" s="170" t="s">
        <v>136</v>
      </c>
      <c r="F2191" s="170" t="s">
        <v>3655</v>
      </c>
      <c r="G2191" s="196" t="s">
        <v>3661</v>
      </c>
      <c r="H2191" s="174"/>
      <c r="I2191" s="196" t="s">
        <v>136</v>
      </c>
      <c r="J2191" s="189">
        <v>45777.6391259375</v>
      </c>
      <c r="K2191" s="173" t="s">
        <v>139</v>
      </c>
      <c r="L2191" s="170" t="s">
        <v>295</v>
      </c>
    </row>
    <row r="2192">
      <c r="A2192" s="168">
        <v>6.0</v>
      </c>
      <c r="B2192" s="193" t="s">
        <v>7</v>
      </c>
      <c r="C2192" s="193" t="s">
        <v>3662</v>
      </c>
      <c r="D2192" s="193" t="s">
        <v>248</v>
      </c>
      <c r="E2192" s="170" t="s">
        <v>136</v>
      </c>
      <c r="F2192" s="170" t="s">
        <v>3655</v>
      </c>
      <c r="G2192" s="183" t="s">
        <v>3663</v>
      </c>
      <c r="I2192" s="183" t="s">
        <v>135</v>
      </c>
      <c r="J2192" s="186">
        <v>45777.64683774306</v>
      </c>
      <c r="K2192" s="173" t="s">
        <v>139</v>
      </c>
      <c r="L2192" s="170" t="s">
        <v>295</v>
      </c>
    </row>
    <row r="2193">
      <c r="A2193" s="168">
        <v>7.0</v>
      </c>
      <c r="B2193" s="196" t="s">
        <v>7</v>
      </c>
      <c r="C2193" s="196" t="s">
        <v>602</v>
      </c>
      <c r="D2193" s="196" t="s">
        <v>143</v>
      </c>
      <c r="E2193" s="170" t="s">
        <v>135</v>
      </c>
      <c r="F2193" s="170" t="s">
        <v>3655</v>
      </c>
      <c r="G2193" s="188" t="s">
        <v>3664</v>
      </c>
      <c r="I2193" s="188" t="s">
        <v>135</v>
      </c>
      <c r="J2193" s="189">
        <v>45777.6532778588</v>
      </c>
      <c r="K2193" s="173" t="s">
        <v>139</v>
      </c>
      <c r="L2193" s="170" t="s">
        <v>295</v>
      </c>
    </row>
    <row r="2194">
      <c r="A2194" s="168">
        <v>8.0</v>
      </c>
      <c r="B2194" s="193" t="s">
        <v>7</v>
      </c>
      <c r="C2194" s="193" t="s">
        <v>3665</v>
      </c>
      <c r="D2194" s="193" t="s">
        <v>223</v>
      </c>
      <c r="E2194" s="170" t="s">
        <v>135</v>
      </c>
      <c r="F2194" s="170" t="s">
        <v>3655</v>
      </c>
      <c r="G2194" s="183" t="s">
        <v>3666</v>
      </c>
      <c r="I2194" s="183" t="s">
        <v>136</v>
      </c>
      <c r="J2194" s="186">
        <v>45777.65486207176</v>
      </c>
      <c r="K2194" s="173" t="s">
        <v>139</v>
      </c>
      <c r="L2194" s="170" t="s">
        <v>295</v>
      </c>
    </row>
    <row r="2195">
      <c r="A2195" s="168">
        <v>1.0</v>
      </c>
      <c r="B2195" s="193" t="s">
        <v>6</v>
      </c>
      <c r="C2195" s="193" t="s">
        <v>225</v>
      </c>
      <c r="D2195" s="193" t="s">
        <v>143</v>
      </c>
      <c r="E2195" s="170" t="s">
        <v>136</v>
      </c>
      <c r="F2195" s="170" t="s">
        <v>3655</v>
      </c>
      <c r="G2195" s="193" t="s">
        <v>3667</v>
      </c>
      <c r="H2195" s="171"/>
      <c r="I2195" s="193" t="s">
        <v>135</v>
      </c>
      <c r="J2195" s="186">
        <v>45728.46051827546</v>
      </c>
      <c r="K2195" s="173" t="s">
        <v>139</v>
      </c>
      <c r="L2195" s="170" t="s">
        <v>300</v>
      </c>
    </row>
    <row r="2196">
      <c r="A2196" s="168">
        <v>2.0</v>
      </c>
      <c r="B2196" s="196" t="s">
        <v>6</v>
      </c>
      <c r="C2196" s="199"/>
      <c r="D2196" s="196" t="s">
        <v>202</v>
      </c>
      <c r="E2196" s="170" t="s">
        <v>136</v>
      </c>
      <c r="F2196" s="170" t="s">
        <v>3655</v>
      </c>
      <c r="G2196" s="196" t="s">
        <v>137</v>
      </c>
      <c r="H2196" s="174"/>
      <c r="I2196" s="196" t="s">
        <v>136</v>
      </c>
      <c r="J2196" s="189">
        <v>45728.462027800924</v>
      </c>
      <c r="K2196" s="173" t="s">
        <v>139</v>
      </c>
      <c r="L2196" s="170" t="s">
        <v>300</v>
      </c>
    </row>
    <row r="2197">
      <c r="A2197" s="168">
        <v>3.0</v>
      </c>
      <c r="B2197" s="193" t="s">
        <v>7</v>
      </c>
      <c r="C2197" s="193" t="s">
        <v>3668</v>
      </c>
      <c r="D2197" s="193" t="s">
        <v>374</v>
      </c>
      <c r="E2197" s="170" t="s">
        <v>136</v>
      </c>
      <c r="F2197" s="170" t="s">
        <v>3655</v>
      </c>
      <c r="G2197" s="193" t="s">
        <v>3643</v>
      </c>
      <c r="H2197" s="171"/>
      <c r="I2197" s="193" t="s">
        <v>136</v>
      </c>
      <c r="J2197" s="186">
        <v>45728.465437858795</v>
      </c>
      <c r="K2197" s="173" t="s">
        <v>139</v>
      </c>
      <c r="L2197" s="170" t="s">
        <v>300</v>
      </c>
    </row>
    <row r="2198">
      <c r="A2198" s="168">
        <v>4.0</v>
      </c>
      <c r="B2198" s="196" t="s">
        <v>6</v>
      </c>
      <c r="C2198" s="199"/>
      <c r="D2198" s="196" t="s">
        <v>202</v>
      </c>
      <c r="E2198" s="170" t="s">
        <v>135</v>
      </c>
      <c r="F2198" s="170" t="s">
        <v>3655</v>
      </c>
      <c r="G2198" s="196" t="s">
        <v>3669</v>
      </c>
      <c r="H2198" s="174"/>
      <c r="I2198" s="196" t="s">
        <v>136</v>
      </c>
      <c r="J2198" s="189">
        <v>45728.46645770833</v>
      </c>
      <c r="K2198" s="173" t="s">
        <v>139</v>
      </c>
      <c r="L2198" s="170" t="s">
        <v>300</v>
      </c>
    </row>
    <row r="2199">
      <c r="A2199" s="168">
        <v>5.0</v>
      </c>
      <c r="B2199" s="193" t="s">
        <v>7</v>
      </c>
      <c r="C2199" s="198"/>
      <c r="D2199" s="193" t="s">
        <v>3670</v>
      </c>
      <c r="E2199" s="170" t="s">
        <v>136</v>
      </c>
      <c r="F2199" s="170" t="s">
        <v>3655</v>
      </c>
      <c r="G2199" s="193" t="s">
        <v>137</v>
      </c>
      <c r="H2199" s="171"/>
      <c r="I2199" s="193" t="s">
        <v>135</v>
      </c>
      <c r="J2199" s="186">
        <v>45728.46652259259</v>
      </c>
      <c r="K2199" s="173" t="s">
        <v>139</v>
      </c>
      <c r="L2199" s="170" t="s">
        <v>300</v>
      </c>
    </row>
    <row r="2200">
      <c r="A2200" s="168">
        <v>6.0</v>
      </c>
      <c r="B2200" s="196" t="s">
        <v>6</v>
      </c>
      <c r="C2200" s="196" t="s">
        <v>3671</v>
      </c>
      <c r="D2200" s="196" t="s">
        <v>3672</v>
      </c>
      <c r="E2200" s="170" t="s">
        <v>136</v>
      </c>
      <c r="F2200" s="170" t="s">
        <v>3655</v>
      </c>
      <c r="G2200" s="196" t="s">
        <v>3673</v>
      </c>
      <c r="H2200" s="174"/>
      <c r="I2200" s="196" t="s">
        <v>136</v>
      </c>
      <c r="J2200" s="189">
        <v>45728.46732628472</v>
      </c>
      <c r="K2200" s="173" t="s">
        <v>139</v>
      </c>
      <c r="L2200" s="170" t="s">
        <v>300</v>
      </c>
    </row>
    <row r="2201">
      <c r="A2201" s="168">
        <v>7.0</v>
      </c>
      <c r="B2201" s="193" t="s">
        <v>7</v>
      </c>
      <c r="C2201" s="193" t="s">
        <v>1991</v>
      </c>
      <c r="D2201" s="193" t="s">
        <v>209</v>
      </c>
      <c r="E2201" s="170" t="s">
        <v>135</v>
      </c>
      <c r="F2201" s="170" t="s">
        <v>3655</v>
      </c>
      <c r="G2201" s="193" t="s">
        <v>137</v>
      </c>
      <c r="H2201" s="171"/>
      <c r="I2201" s="193" t="s">
        <v>136</v>
      </c>
      <c r="J2201" s="186">
        <v>45728.47033768518</v>
      </c>
      <c r="K2201" s="173" t="s">
        <v>139</v>
      </c>
      <c r="L2201" s="170" t="s">
        <v>300</v>
      </c>
    </row>
    <row r="2202">
      <c r="A2202" s="168">
        <v>8.0</v>
      </c>
      <c r="B2202" s="196" t="s">
        <v>7</v>
      </c>
      <c r="C2202" s="196" t="s">
        <v>3674</v>
      </c>
      <c r="D2202" s="196" t="s">
        <v>209</v>
      </c>
      <c r="E2202" s="170" t="s">
        <v>136</v>
      </c>
      <c r="F2202" s="170" t="s">
        <v>3655</v>
      </c>
      <c r="G2202" s="196" t="s">
        <v>1053</v>
      </c>
      <c r="H2202" s="174"/>
      <c r="I2202" s="196" t="s">
        <v>135</v>
      </c>
      <c r="J2202" s="189">
        <v>45728.47261597222</v>
      </c>
      <c r="K2202" s="173" t="s">
        <v>139</v>
      </c>
      <c r="L2202" s="170" t="s">
        <v>300</v>
      </c>
    </row>
    <row r="2203">
      <c r="A2203" s="168">
        <v>9.0</v>
      </c>
      <c r="B2203" s="193" t="s">
        <v>6</v>
      </c>
      <c r="C2203" s="193" t="s">
        <v>3675</v>
      </c>
      <c r="D2203" s="193" t="s">
        <v>202</v>
      </c>
      <c r="E2203" s="170" t="s">
        <v>136</v>
      </c>
      <c r="F2203" s="170" t="s">
        <v>3655</v>
      </c>
      <c r="G2203" s="193" t="s">
        <v>3676</v>
      </c>
      <c r="H2203" s="171"/>
      <c r="I2203" s="193" t="s">
        <v>136</v>
      </c>
      <c r="J2203" s="186">
        <v>45728.47306240741</v>
      </c>
      <c r="K2203" s="173" t="s">
        <v>139</v>
      </c>
      <c r="L2203" s="170" t="s">
        <v>300</v>
      </c>
    </row>
    <row r="2204">
      <c r="A2204" s="168">
        <v>10.0</v>
      </c>
      <c r="B2204" s="196" t="s">
        <v>7</v>
      </c>
      <c r="C2204" s="199"/>
      <c r="D2204" s="196" t="s">
        <v>370</v>
      </c>
      <c r="E2204" s="170" t="s">
        <v>136</v>
      </c>
      <c r="F2204" s="170" t="s">
        <v>3655</v>
      </c>
      <c r="G2204" s="196" t="s">
        <v>3590</v>
      </c>
      <c r="H2204" s="174"/>
      <c r="I2204" s="196" t="s">
        <v>136</v>
      </c>
      <c r="J2204" s="189">
        <v>45728.47350047454</v>
      </c>
      <c r="K2204" s="173" t="s">
        <v>139</v>
      </c>
      <c r="L2204" s="170" t="s">
        <v>300</v>
      </c>
    </row>
    <row r="2205">
      <c r="A2205" s="168">
        <v>11.0</v>
      </c>
      <c r="B2205" s="193" t="s">
        <v>7</v>
      </c>
      <c r="C2205" s="193" t="s">
        <v>3640</v>
      </c>
      <c r="D2205" s="193" t="s">
        <v>202</v>
      </c>
      <c r="E2205" s="170" t="s">
        <v>136</v>
      </c>
      <c r="F2205" s="170" t="s">
        <v>3655</v>
      </c>
      <c r="G2205" s="193" t="s">
        <v>3605</v>
      </c>
      <c r="H2205" s="171"/>
      <c r="I2205" s="193" t="s">
        <v>136</v>
      </c>
      <c r="J2205" s="186">
        <v>45728.47708914352</v>
      </c>
      <c r="K2205" s="173" t="s">
        <v>139</v>
      </c>
      <c r="L2205" s="170" t="s">
        <v>300</v>
      </c>
    </row>
    <row r="2206">
      <c r="A2206" s="168">
        <v>12.0</v>
      </c>
      <c r="B2206" s="196" t="s">
        <v>7</v>
      </c>
      <c r="C2206" s="196" t="s">
        <v>366</v>
      </c>
      <c r="D2206" s="196" t="s">
        <v>218</v>
      </c>
      <c r="E2206" s="170" t="s">
        <v>136</v>
      </c>
      <c r="F2206" s="170" t="s">
        <v>3655</v>
      </c>
      <c r="G2206" s="196" t="s">
        <v>1053</v>
      </c>
      <c r="H2206" s="174"/>
      <c r="I2206" s="196" t="s">
        <v>135</v>
      </c>
      <c r="J2206" s="189">
        <v>45728.47923181713</v>
      </c>
      <c r="K2206" s="173" t="s">
        <v>139</v>
      </c>
      <c r="L2206" s="170" t="s">
        <v>300</v>
      </c>
    </row>
    <row r="2207">
      <c r="A2207" s="168">
        <v>13.0</v>
      </c>
      <c r="B2207" s="193" t="s">
        <v>6</v>
      </c>
      <c r="C2207" s="193" t="s">
        <v>225</v>
      </c>
      <c r="D2207" s="193" t="s">
        <v>143</v>
      </c>
      <c r="E2207" s="170" t="s">
        <v>136</v>
      </c>
      <c r="F2207" s="170" t="s">
        <v>3655</v>
      </c>
      <c r="G2207" s="193" t="s">
        <v>3666</v>
      </c>
      <c r="H2207" s="171"/>
      <c r="I2207" s="193" t="s">
        <v>136</v>
      </c>
      <c r="J2207" s="186">
        <v>45728.47995234954</v>
      </c>
      <c r="K2207" s="173" t="s">
        <v>139</v>
      </c>
      <c r="L2207" s="170" t="s">
        <v>300</v>
      </c>
    </row>
    <row r="2208">
      <c r="A2208" s="168">
        <v>14.0</v>
      </c>
      <c r="B2208" s="196" t="s">
        <v>6</v>
      </c>
      <c r="C2208" s="196" t="s">
        <v>3677</v>
      </c>
      <c r="D2208" s="196" t="s">
        <v>202</v>
      </c>
      <c r="E2208" s="170" t="s">
        <v>136</v>
      </c>
      <c r="F2208" s="170" t="s">
        <v>3655</v>
      </c>
      <c r="G2208" s="196" t="s">
        <v>3678</v>
      </c>
      <c r="H2208" s="174"/>
      <c r="I2208" s="196" t="s">
        <v>136</v>
      </c>
      <c r="J2208" s="189">
        <v>45728.48003366898</v>
      </c>
      <c r="K2208" s="173" t="s">
        <v>139</v>
      </c>
      <c r="L2208" s="170" t="s">
        <v>300</v>
      </c>
    </row>
    <row r="2209">
      <c r="A2209" s="168">
        <v>15.0</v>
      </c>
      <c r="B2209" s="193" t="s">
        <v>7</v>
      </c>
      <c r="C2209" s="193" t="s">
        <v>3679</v>
      </c>
      <c r="D2209" s="193" t="s">
        <v>374</v>
      </c>
      <c r="E2209" s="170" t="s">
        <v>135</v>
      </c>
      <c r="F2209" s="170" t="s">
        <v>3655</v>
      </c>
      <c r="G2209" s="193" t="s">
        <v>3643</v>
      </c>
      <c r="H2209" s="171"/>
      <c r="I2209" s="193" t="s">
        <v>136</v>
      </c>
      <c r="J2209" s="186">
        <v>45728.48076021991</v>
      </c>
      <c r="K2209" s="173" t="s">
        <v>139</v>
      </c>
      <c r="L2209" s="170" t="s">
        <v>300</v>
      </c>
    </row>
    <row r="2210">
      <c r="A2210" s="168">
        <v>16.0</v>
      </c>
      <c r="B2210" s="196" t="s">
        <v>6</v>
      </c>
      <c r="C2210" s="196" t="s">
        <v>3680</v>
      </c>
      <c r="D2210" s="196" t="s">
        <v>134</v>
      </c>
      <c r="E2210" s="170" t="s">
        <v>136</v>
      </c>
      <c r="F2210" s="170" t="s">
        <v>3655</v>
      </c>
      <c r="G2210" s="196" t="s">
        <v>3681</v>
      </c>
      <c r="H2210" s="174"/>
      <c r="I2210" s="196" t="s">
        <v>135</v>
      </c>
      <c r="J2210" s="189">
        <v>45728.48143356481</v>
      </c>
      <c r="K2210" s="173" t="s">
        <v>139</v>
      </c>
      <c r="L2210" s="170" t="s">
        <v>300</v>
      </c>
    </row>
    <row r="2211">
      <c r="A2211" s="168">
        <v>17.0</v>
      </c>
      <c r="B2211" s="193" t="s">
        <v>7</v>
      </c>
      <c r="C2211" s="193" t="s">
        <v>2826</v>
      </c>
      <c r="D2211" s="193" t="s">
        <v>202</v>
      </c>
      <c r="E2211" s="170" t="s">
        <v>136</v>
      </c>
      <c r="F2211" s="170" t="s">
        <v>3655</v>
      </c>
      <c r="G2211" s="193" t="s">
        <v>2179</v>
      </c>
      <c r="H2211" s="171"/>
      <c r="I2211" s="193" t="s">
        <v>136</v>
      </c>
      <c r="J2211" s="186">
        <v>45728.50333289352</v>
      </c>
      <c r="K2211" s="173" t="s">
        <v>139</v>
      </c>
      <c r="L2211" s="170" t="s">
        <v>300</v>
      </c>
    </row>
    <row r="2212">
      <c r="A2212" s="200">
        <v>22.0</v>
      </c>
      <c r="B2212" s="201" t="s">
        <v>6</v>
      </c>
      <c r="C2212" s="201" t="s">
        <v>3682</v>
      </c>
      <c r="D2212" s="201" t="s">
        <v>143</v>
      </c>
      <c r="E2212" s="201" t="s">
        <v>135</v>
      </c>
      <c r="F2212" s="201" t="s">
        <v>136</v>
      </c>
      <c r="G2212" s="202" t="s">
        <v>221</v>
      </c>
      <c r="H2212" s="203"/>
      <c r="I2212" s="201" t="s">
        <v>135</v>
      </c>
      <c r="J2212" s="204">
        <v>45890.75833333333</v>
      </c>
      <c r="K2212" s="201" t="s">
        <v>2513</v>
      </c>
      <c r="L2212" s="201" t="s">
        <v>55</v>
      </c>
    </row>
    <row r="2213">
      <c r="A2213" s="200">
        <v>12.0</v>
      </c>
      <c r="B2213" s="201" t="s">
        <v>6</v>
      </c>
      <c r="C2213" s="201" t="s">
        <v>3683</v>
      </c>
      <c r="D2213" s="201" t="s">
        <v>143</v>
      </c>
      <c r="E2213" s="201" t="s">
        <v>136</v>
      </c>
      <c r="F2213" s="201" t="s">
        <v>136</v>
      </c>
      <c r="G2213" s="201" t="s">
        <v>3684</v>
      </c>
      <c r="H2213" s="203"/>
      <c r="I2213" s="201" t="s">
        <v>136</v>
      </c>
      <c r="J2213" s="204">
        <v>45814.489583333336</v>
      </c>
      <c r="K2213" s="201" t="s">
        <v>2513</v>
      </c>
      <c r="L2213" s="201" t="s">
        <v>55</v>
      </c>
    </row>
    <row r="2214">
      <c r="A2214" s="200">
        <v>11.0</v>
      </c>
      <c r="B2214" s="201" t="s">
        <v>7</v>
      </c>
      <c r="C2214" s="201" t="s">
        <v>3685</v>
      </c>
      <c r="D2214" s="201" t="s">
        <v>143</v>
      </c>
      <c r="E2214" s="201" t="s">
        <v>135</v>
      </c>
      <c r="F2214" s="201" t="s">
        <v>136</v>
      </c>
      <c r="G2214" s="201" t="s">
        <v>3686</v>
      </c>
      <c r="H2214" s="201" t="s">
        <v>3687</v>
      </c>
      <c r="I2214" s="201" t="s">
        <v>136</v>
      </c>
      <c r="J2214" s="204">
        <v>45813.65625</v>
      </c>
      <c r="K2214" s="201" t="s">
        <v>2509</v>
      </c>
      <c r="L2214" s="201" t="s">
        <v>55</v>
      </c>
    </row>
    <row r="2215">
      <c r="A2215" s="200">
        <v>10.0</v>
      </c>
      <c r="B2215" s="201" t="s">
        <v>6</v>
      </c>
      <c r="C2215" s="201" t="s">
        <v>3688</v>
      </c>
      <c r="D2215" s="201" t="s">
        <v>143</v>
      </c>
      <c r="E2215" s="201" t="s">
        <v>135</v>
      </c>
      <c r="F2215" s="201" t="s">
        <v>136</v>
      </c>
      <c r="G2215" s="201" t="s">
        <v>3689</v>
      </c>
      <c r="H2215" s="203"/>
      <c r="I2215" s="201" t="s">
        <v>135</v>
      </c>
      <c r="J2215" s="204">
        <v>45811.708333333336</v>
      </c>
      <c r="K2215" s="201" t="s">
        <v>3690</v>
      </c>
      <c r="L2215" s="201" t="s">
        <v>55</v>
      </c>
    </row>
    <row r="2216">
      <c r="A2216" s="200">
        <v>13.0</v>
      </c>
      <c r="B2216" s="201" t="s">
        <v>7</v>
      </c>
      <c r="C2216" s="201" t="s">
        <v>3691</v>
      </c>
      <c r="D2216" s="201" t="s">
        <v>143</v>
      </c>
      <c r="E2216" s="201" t="s">
        <v>135</v>
      </c>
      <c r="F2216" s="201" t="s">
        <v>136</v>
      </c>
      <c r="G2216" s="201" t="s">
        <v>1393</v>
      </c>
      <c r="H2216" s="203"/>
      <c r="I2216" s="201" t="s">
        <v>136</v>
      </c>
      <c r="J2216" s="204">
        <v>45817.665972222225</v>
      </c>
      <c r="K2216" s="201" t="s">
        <v>2513</v>
      </c>
      <c r="L2216" s="201" t="s">
        <v>55</v>
      </c>
    </row>
    <row r="2217">
      <c r="A2217" s="200">
        <v>4.0</v>
      </c>
      <c r="B2217" s="201" t="s">
        <v>7</v>
      </c>
      <c r="C2217" s="201" t="s">
        <v>3692</v>
      </c>
      <c r="D2217" s="201" t="s">
        <v>143</v>
      </c>
      <c r="E2217" s="201" t="s">
        <v>135</v>
      </c>
      <c r="F2217" s="201" t="s">
        <v>136</v>
      </c>
      <c r="G2217" s="201" t="s">
        <v>457</v>
      </c>
      <c r="H2217" s="203"/>
      <c r="I2217" s="201" t="s">
        <v>136</v>
      </c>
      <c r="J2217" s="204">
        <v>45798.433333333334</v>
      </c>
      <c r="K2217" s="201" t="s">
        <v>2513</v>
      </c>
      <c r="L2217" s="201" t="s">
        <v>55</v>
      </c>
    </row>
    <row r="2218">
      <c r="A2218" s="200">
        <v>21.0</v>
      </c>
      <c r="B2218" s="201" t="s">
        <v>7</v>
      </c>
      <c r="C2218" s="201" t="s">
        <v>719</v>
      </c>
      <c r="D2218" s="201" t="s">
        <v>143</v>
      </c>
      <c r="E2218" s="201" t="s">
        <v>135</v>
      </c>
      <c r="F2218" s="201" t="s">
        <v>135</v>
      </c>
      <c r="G2218" s="201" t="s">
        <v>157</v>
      </c>
      <c r="H2218" s="203"/>
      <c r="I2218" s="201" t="s">
        <v>136</v>
      </c>
      <c r="J2218" s="204">
        <v>45878.90625</v>
      </c>
      <c r="K2218" s="201" t="s">
        <v>3690</v>
      </c>
      <c r="L2218" s="201" t="s">
        <v>55</v>
      </c>
    </row>
    <row r="2219">
      <c r="A2219" s="200">
        <v>15.0</v>
      </c>
      <c r="B2219" s="201" t="s">
        <v>6</v>
      </c>
      <c r="C2219" s="201" t="s">
        <v>3693</v>
      </c>
      <c r="D2219" s="201" t="s">
        <v>143</v>
      </c>
      <c r="E2219" s="201" t="s">
        <v>135</v>
      </c>
      <c r="F2219" s="201" t="s">
        <v>136</v>
      </c>
      <c r="G2219" s="201" t="s">
        <v>582</v>
      </c>
      <c r="H2219" s="201" t="s">
        <v>3694</v>
      </c>
      <c r="I2219" s="201" t="s">
        <v>136</v>
      </c>
      <c r="J2219" s="204">
        <v>45817.847916666666</v>
      </c>
      <c r="K2219" s="201" t="s">
        <v>2507</v>
      </c>
      <c r="L2219" s="201" t="s">
        <v>55</v>
      </c>
    </row>
    <row r="2220">
      <c r="A2220" s="200">
        <v>3.0</v>
      </c>
      <c r="B2220" s="201" t="s">
        <v>6</v>
      </c>
      <c r="C2220" s="201" t="s">
        <v>3695</v>
      </c>
      <c r="D2220" s="201" t="s">
        <v>233</v>
      </c>
      <c r="E2220" s="201" t="s">
        <v>136</v>
      </c>
      <c r="F2220" s="201" t="s">
        <v>136</v>
      </c>
      <c r="G2220" s="201" t="s">
        <v>3696</v>
      </c>
      <c r="H2220" s="202" t="s">
        <v>3697</v>
      </c>
      <c r="I2220" s="201" t="s">
        <v>136</v>
      </c>
      <c r="J2220" s="204">
        <v>45791.82916666667</v>
      </c>
      <c r="K2220" s="201" t="s">
        <v>2513</v>
      </c>
      <c r="L2220" s="201" t="s">
        <v>55</v>
      </c>
    </row>
    <row r="2221">
      <c r="A2221" s="200">
        <v>6.0</v>
      </c>
      <c r="B2221" s="201" t="s">
        <v>6</v>
      </c>
      <c r="C2221" s="201" t="s">
        <v>3698</v>
      </c>
      <c r="D2221" s="201" t="s">
        <v>143</v>
      </c>
      <c r="E2221" s="201" t="s">
        <v>135</v>
      </c>
      <c r="F2221" s="201" t="s">
        <v>136</v>
      </c>
      <c r="G2221" s="201" t="s">
        <v>3699</v>
      </c>
      <c r="H2221" s="201" t="s">
        <v>3700</v>
      </c>
      <c r="I2221" s="201" t="s">
        <v>136</v>
      </c>
      <c r="J2221" s="204">
        <v>45804.50486111111</v>
      </c>
      <c r="K2221" s="201" t="s">
        <v>2513</v>
      </c>
      <c r="L2221" s="201" t="s">
        <v>55</v>
      </c>
    </row>
    <row r="2222">
      <c r="A2222" s="200">
        <v>5.0</v>
      </c>
      <c r="B2222" s="201" t="s">
        <v>7</v>
      </c>
      <c r="C2222" s="201" t="s">
        <v>3701</v>
      </c>
      <c r="D2222" s="201" t="s">
        <v>143</v>
      </c>
      <c r="E2222" s="201" t="s">
        <v>135</v>
      </c>
      <c r="F2222" s="201" t="s">
        <v>136</v>
      </c>
      <c r="G2222" s="201" t="s">
        <v>1225</v>
      </c>
      <c r="H2222" s="203"/>
      <c r="I2222" s="201" t="s">
        <v>136</v>
      </c>
      <c r="J2222" s="204">
        <v>45804.42291666667</v>
      </c>
      <c r="K2222" s="201" t="s">
        <v>2513</v>
      </c>
      <c r="L2222" s="201" t="s">
        <v>55</v>
      </c>
    </row>
    <row r="2223">
      <c r="A2223" s="200">
        <v>20.0</v>
      </c>
      <c r="B2223" s="201" t="s">
        <v>7</v>
      </c>
      <c r="C2223" s="201" t="s">
        <v>306</v>
      </c>
      <c r="D2223" s="201" t="s">
        <v>143</v>
      </c>
      <c r="E2223" s="201" t="s">
        <v>135</v>
      </c>
      <c r="F2223" s="201" t="s">
        <v>136</v>
      </c>
      <c r="G2223" s="201" t="s">
        <v>150</v>
      </c>
      <c r="H2223" s="203"/>
      <c r="I2223" s="201" t="s">
        <v>135</v>
      </c>
      <c r="J2223" s="204">
        <v>45869.57430555556</v>
      </c>
      <c r="K2223" s="201" t="s">
        <v>2513</v>
      </c>
      <c r="L2223" s="201" t="s">
        <v>55</v>
      </c>
    </row>
    <row r="2224">
      <c r="A2224" s="200">
        <v>16.0</v>
      </c>
      <c r="B2224" s="201" t="s">
        <v>7</v>
      </c>
      <c r="C2224" s="201" t="s">
        <v>3702</v>
      </c>
      <c r="D2224" s="201" t="s">
        <v>143</v>
      </c>
      <c r="E2224" s="201" t="s">
        <v>135</v>
      </c>
      <c r="F2224" s="201" t="s">
        <v>136</v>
      </c>
      <c r="G2224" s="201" t="s">
        <v>3703</v>
      </c>
      <c r="H2224" s="203"/>
      <c r="I2224" s="201" t="s">
        <v>136</v>
      </c>
      <c r="J2224" s="204">
        <v>45818.614583333336</v>
      </c>
      <c r="K2224" s="201" t="s">
        <v>2513</v>
      </c>
      <c r="L2224" s="201" t="s">
        <v>55</v>
      </c>
    </row>
    <row r="2225">
      <c r="A2225" s="200">
        <v>7.0</v>
      </c>
      <c r="B2225" s="201" t="s">
        <v>6</v>
      </c>
      <c r="C2225" s="201" t="s">
        <v>3704</v>
      </c>
      <c r="D2225" s="201" t="s">
        <v>352</v>
      </c>
      <c r="E2225" s="201" t="s">
        <v>135</v>
      </c>
      <c r="F2225" s="201" t="s">
        <v>136</v>
      </c>
      <c r="G2225" s="201" t="s">
        <v>3705</v>
      </c>
      <c r="H2225" s="203"/>
      <c r="I2225" s="201" t="s">
        <v>136</v>
      </c>
      <c r="J2225" s="204">
        <v>45806.90902777778</v>
      </c>
      <c r="K2225" s="201" t="s">
        <v>2513</v>
      </c>
      <c r="L2225" s="201" t="s">
        <v>55</v>
      </c>
    </row>
    <row r="2226">
      <c r="A2226" s="200">
        <v>2.0</v>
      </c>
      <c r="B2226" s="201" t="s">
        <v>7</v>
      </c>
      <c r="C2226" s="201" t="s">
        <v>3695</v>
      </c>
      <c r="D2226" s="201" t="s">
        <v>233</v>
      </c>
      <c r="E2226" s="201" t="s">
        <v>135</v>
      </c>
      <c r="F2226" s="201" t="s">
        <v>136</v>
      </c>
      <c r="G2226" s="201" t="s">
        <v>1225</v>
      </c>
      <c r="H2226" s="203"/>
      <c r="I2226" s="201" t="s">
        <v>136</v>
      </c>
      <c r="J2226" s="204">
        <v>45791.82916666667</v>
      </c>
      <c r="K2226" s="201" t="s">
        <v>2513</v>
      </c>
      <c r="L2226" s="201" t="s">
        <v>55</v>
      </c>
    </row>
    <row r="2227">
      <c r="A2227" s="200">
        <v>9.0</v>
      </c>
      <c r="B2227" s="201" t="s">
        <v>7</v>
      </c>
      <c r="C2227" s="201" t="s">
        <v>3706</v>
      </c>
      <c r="D2227" s="201" t="s">
        <v>143</v>
      </c>
      <c r="E2227" s="201" t="s">
        <v>135</v>
      </c>
      <c r="F2227" s="201" t="s">
        <v>136</v>
      </c>
      <c r="G2227" s="201" t="s">
        <v>3707</v>
      </c>
      <c r="H2227" s="202" t="s">
        <v>3708</v>
      </c>
      <c r="I2227" s="201" t="s">
        <v>135</v>
      </c>
      <c r="J2227" s="204">
        <v>45808.85208333333</v>
      </c>
      <c r="K2227" s="201" t="s">
        <v>3690</v>
      </c>
      <c r="L2227" s="201" t="s">
        <v>55</v>
      </c>
    </row>
    <row r="2228">
      <c r="A2228" s="200">
        <v>38.0</v>
      </c>
      <c r="B2228" s="201" t="s">
        <v>6</v>
      </c>
      <c r="C2228" s="201" t="s">
        <v>3709</v>
      </c>
      <c r="D2228" s="201" t="s">
        <v>279</v>
      </c>
      <c r="E2228" s="201" t="s">
        <v>136</v>
      </c>
      <c r="F2228" s="201" t="s">
        <v>135</v>
      </c>
      <c r="G2228" s="201" t="s">
        <v>3710</v>
      </c>
      <c r="H2228" s="201" t="s">
        <v>3711</v>
      </c>
      <c r="I2228" s="201" t="s">
        <v>416</v>
      </c>
      <c r="J2228" s="204">
        <v>45908.59027777778</v>
      </c>
      <c r="K2228" s="201" t="s">
        <v>185</v>
      </c>
      <c r="L2228" s="201" t="s">
        <v>56</v>
      </c>
    </row>
    <row r="2229">
      <c r="A2229" s="200">
        <v>37.0</v>
      </c>
      <c r="B2229" s="201" t="s">
        <v>6</v>
      </c>
      <c r="C2229" s="201" t="s">
        <v>3712</v>
      </c>
      <c r="D2229" s="201" t="s">
        <v>143</v>
      </c>
      <c r="E2229" s="201" t="s">
        <v>136</v>
      </c>
      <c r="F2229" s="201" t="s">
        <v>136</v>
      </c>
      <c r="G2229" s="201" t="s">
        <v>3713</v>
      </c>
      <c r="H2229" s="203"/>
      <c r="I2229" s="201" t="s">
        <v>416</v>
      </c>
      <c r="J2229" s="204">
        <v>45908.52291666667</v>
      </c>
      <c r="K2229" s="201" t="s">
        <v>185</v>
      </c>
      <c r="L2229" s="201" t="s">
        <v>56</v>
      </c>
    </row>
    <row r="2230">
      <c r="A2230" s="200">
        <v>16.0</v>
      </c>
      <c r="B2230" s="201" t="s">
        <v>6</v>
      </c>
      <c r="C2230" s="201" t="s">
        <v>2643</v>
      </c>
      <c r="D2230" s="201" t="s">
        <v>164</v>
      </c>
      <c r="E2230" s="201" t="s">
        <v>136</v>
      </c>
      <c r="F2230" s="201" t="s">
        <v>136</v>
      </c>
      <c r="G2230" s="201" t="s">
        <v>168</v>
      </c>
      <c r="H2230" s="203"/>
      <c r="I2230" s="201" t="s">
        <v>416</v>
      </c>
      <c r="J2230" s="204">
        <v>45877.683333333334</v>
      </c>
      <c r="K2230" s="201" t="s">
        <v>2509</v>
      </c>
      <c r="L2230" s="201" t="s">
        <v>56</v>
      </c>
    </row>
    <row r="2231">
      <c r="A2231" s="200">
        <v>18.0</v>
      </c>
      <c r="B2231" s="201" t="s">
        <v>8</v>
      </c>
      <c r="C2231" s="201" t="s">
        <v>379</v>
      </c>
      <c r="D2231" s="201" t="s">
        <v>202</v>
      </c>
      <c r="E2231" s="201" t="s">
        <v>136</v>
      </c>
      <c r="F2231" s="201" t="s">
        <v>136</v>
      </c>
      <c r="G2231" s="201" t="s">
        <v>3714</v>
      </c>
      <c r="H2231" s="201" t="s">
        <v>3715</v>
      </c>
      <c r="I2231" s="201" t="s">
        <v>416</v>
      </c>
      <c r="J2231" s="204">
        <v>45879.88333333333</v>
      </c>
      <c r="K2231" s="201" t="s">
        <v>2513</v>
      </c>
      <c r="L2231" s="201" t="s">
        <v>56</v>
      </c>
    </row>
    <row r="2232">
      <c r="A2232" s="200">
        <v>8.0</v>
      </c>
      <c r="B2232" s="201" t="s">
        <v>7</v>
      </c>
      <c r="C2232" s="201" t="s">
        <v>3716</v>
      </c>
      <c r="D2232" s="201" t="s">
        <v>369</v>
      </c>
      <c r="E2232" s="201" t="s">
        <v>135</v>
      </c>
      <c r="F2232" s="201" t="s">
        <v>135</v>
      </c>
      <c r="G2232" s="201" t="s">
        <v>594</v>
      </c>
      <c r="H2232" s="203"/>
      <c r="I2232" s="201" t="s">
        <v>416</v>
      </c>
      <c r="J2232" s="204">
        <v>45870.85833333333</v>
      </c>
      <c r="K2232" s="201" t="s">
        <v>2509</v>
      </c>
      <c r="L2232" s="201" t="s">
        <v>56</v>
      </c>
    </row>
    <row r="2233">
      <c r="A2233" s="200">
        <v>34.0</v>
      </c>
      <c r="B2233" s="201" t="s">
        <v>7</v>
      </c>
      <c r="C2233" s="201" t="s">
        <v>184</v>
      </c>
      <c r="D2233" s="201" t="s">
        <v>143</v>
      </c>
      <c r="E2233" s="201" t="s">
        <v>136</v>
      </c>
      <c r="F2233" s="201" t="s">
        <v>135</v>
      </c>
      <c r="G2233" s="201" t="s">
        <v>174</v>
      </c>
      <c r="H2233" s="203"/>
      <c r="I2233" s="201" t="s">
        <v>416</v>
      </c>
      <c r="J2233" s="204">
        <v>45905.47777777778</v>
      </c>
      <c r="K2233" s="201" t="s">
        <v>2502</v>
      </c>
      <c r="L2233" s="201" t="s">
        <v>56</v>
      </c>
    </row>
    <row r="2234">
      <c r="A2234" s="200">
        <v>1.0</v>
      </c>
      <c r="B2234" s="201" t="s">
        <v>7</v>
      </c>
      <c r="C2234" s="201" t="s">
        <v>195</v>
      </c>
      <c r="D2234" s="201" t="s">
        <v>164</v>
      </c>
      <c r="E2234" s="201" t="s">
        <v>136</v>
      </c>
      <c r="F2234" s="201" t="s">
        <v>136</v>
      </c>
      <c r="G2234" s="201" t="s">
        <v>174</v>
      </c>
      <c r="H2234" s="201" t="s">
        <v>2787</v>
      </c>
      <c r="I2234" s="201" t="s">
        <v>416</v>
      </c>
      <c r="J2234" s="204">
        <v>45862.368055555555</v>
      </c>
      <c r="K2234" s="201" t="s">
        <v>2509</v>
      </c>
      <c r="L2234" s="201" t="s">
        <v>56</v>
      </c>
    </row>
    <row r="2235">
      <c r="A2235" s="200">
        <v>28.0</v>
      </c>
      <c r="B2235" s="201" t="s">
        <v>6</v>
      </c>
      <c r="C2235" s="201" t="s">
        <v>315</v>
      </c>
      <c r="D2235" s="201" t="s">
        <v>164</v>
      </c>
      <c r="E2235" s="201" t="s">
        <v>135</v>
      </c>
      <c r="F2235" s="201" t="s">
        <v>135</v>
      </c>
      <c r="G2235" s="201" t="s">
        <v>174</v>
      </c>
      <c r="H2235" s="203"/>
      <c r="I2235" s="201" t="s">
        <v>416</v>
      </c>
      <c r="J2235" s="204">
        <v>45897.48125</v>
      </c>
      <c r="K2235" s="201" t="s">
        <v>2502</v>
      </c>
      <c r="L2235" s="201" t="s">
        <v>56</v>
      </c>
    </row>
    <row r="2236">
      <c r="A2236" s="200">
        <v>14.0</v>
      </c>
      <c r="B2236" s="201" t="s">
        <v>7</v>
      </c>
      <c r="C2236" s="201" t="s">
        <v>3717</v>
      </c>
      <c r="D2236" s="201" t="s">
        <v>202</v>
      </c>
      <c r="E2236" s="201" t="s">
        <v>136</v>
      </c>
      <c r="F2236" s="201" t="s">
        <v>136</v>
      </c>
      <c r="G2236" s="201" t="s">
        <v>157</v>
      </c>
      <c r="H2236" s="203"/>
      <c r="I2236" s="201" t="s">
        <v>416</v>
      </c>
      <c r="J2236" s="204">
        <v>45877.63402777778</v>
      </c>
      <c r="K2236" s="201" t="s">
        <v>2509</v>
      </c>
      <c r="L2236" s="201" t="s">
        <v>56</v>
      </c>
    </row>
    <row r="2237">
      <c r="A2237" s="200">
        <v>17.0</v>
      </c>
      <c r="B2237" s="201" t="s">
        <v>6</v>
      </c>
      <c r="C2237" s="201" t="s">
        <v>2991</v>
      </c>
      <c r="D2237" s="201" t="s">
        <v>202</v>
      </c>
      <c r="E2237" s="201" t="s">
        <v>136</v>
      </c>
      <c r="F2237" s="201" t="s">
        <v>136</v>
      </c>
      <c r="G2237" s="201" t="s">
        <v>3718</v>
      </c>
      <c r="H2237" s="203"/>
      <c r="I2237" s="201" t="s">
        <v>416</v>
      </c>
      <c r="J2237" s="204">
        <v>45879.43402777778</v>
      </c>
      <c r="K2237" s="201" t="s">
        <v>2509</v>
      </c>
      <c r="L2237" s="201" t="s">
        <v>56</v>
      </c>
    </row>
    <row r="2238">
      <c r="A2238" s="200">
        <v>20.0</v>
      </c>
      <c r="B2238" s="201" t="s">
        <v>6</v>
      </c>
      <c r="C2238" s="201" t="s">
        <v>1000</v>
      </c>
      <c r="D2238" s="201" t="s">
        <v>202</v>
      </c>
      <c r="E2238" s="201" t="s">
        <v>135</v>
      </c>
      <c r="F2238" s="201" t="s">
        <v>136</v>
      </c>
      <c r="G2238" s="201" t="s">
        <v>3719</v>
      </c>
      <c r="H2238" s="203"/>
      <c r="I2238" s="201" t="s">
        <v>416</v>
      </c>
      <c r="J2238" s="204">
        <v>45888.518055555556</v>
      </c>
      <c r="K2238" s="201" t="s">
        <v>2509</v>
      </c>
      <c r="L2238" s="201" t="s">
        <v>56</v>
      </c>
    </row>
    <row r="2239">
      <c r="A2239" s="200">
        <v>19.0</v>
      </c>
      <c r="B2239" s="201" t="s">
        <v>6</v>
      </c>
      <c r="C2239" s="201" t="s">
        <v>342</v>
      </c>
      <c r="D2239" s="201" t="s">
        <v>218</v>
      </c>
      <c r="E2239" s="201" t="s">
        <v>136</v>
      </c>
      <c r="F2239" s="201" t="s">
        <v>136</v>
      </c>
      <c r="G2239" s="201" t="s">
        <v>650</v>
      </c>
      <c r="H2239" s="203"/>
      <c r="I2239" s="201" t="s">
        <v>416</v>
      </c>
      <c r="J2239" s="204">
        <v>45879.94861111111</v>
      </c>
      <c r="K2239" s="201" t="s">
        <v>2509</v>
      </c>
      <c r="L2239" s="201" t="s">
        <v>56</v>
      </c>
    </row>
    <row r="2240">
      <c r="A2240" s="200">
        <v>10.0</v>
      </c>
      <c r="B2240" s="201" t="s">
        <v>7</v>
      </c>
      <c r="C2240" s="201" t="s">
        <v>3720</v>
      </c>
      <c r="D2240" s="201" t="s">
        <v>202</v>
      </c>
      <c r="E2240" s="201" t="s">
        <v>135</v>
      </c>
      <c r="F2240" s="201" t="s">
        <v>136</v>
      </c>
      <c r="G2240" s="201" t="s">
        <v>1823</v>
      </c>
      <c r="H2240" s="203"/>
      <c r="I2240" s="201" t="s">
        <v>416</v>
      </c>
      <c r="J2240" s="204">
        <v>45877.44305555556</v>
      </c>
      <c r="K2240" s="201" t="s">
        <v>185</v>
      </c>
      <c r="L2240" s="201" t="s">
        <v>56</v>
      </c>
    </row>
    <row r="2241">
      <c r="A2241" s="200">
        <v>40.0</v>
      </c>
      <c r="B2241" s="201" t="s">
        <v>7</v>
      </c>
      <c r="C2241" s="201" t="s">
        <v>245</v>
      </c>
      <c r="D2241" s="201" t="s">
        <v>202</v>
      </c>
      <c r="E2241" s="201" t="s">
        <v>135</v>
      </c>
      <c r="F2241" s="201" t="s">
        <v>136</v>
      </c>
      <c r="G2241" s="201" t="s">
        <v>3721</v>
      </c>
      <c r="H2241" s="203"/>
      <c r="I2241" s="201" t="s">
        <v>416</v>
      </c>
      <c r="J2241" s="204">
        <v>45909.42361111111</v>
      </c>
      <c r="K2241" s="201" t="s">
        <v>2509</v>
      </c>
      <c r="L2241" s="201" t="s">
        <v>56</v>
      </c>
    </row>
    <row r="2242">
      <c r="A2242" s="200">
        <v>7.0</v>
      </c>
      <c r="B2242" s="201" t="s">
        <v>6</v>
      </c>
      <c r="C2242" s="201" t="s">
        <v>2643</v>
      </c>
      <c r="D2242" s="201" t="s">
        <v>164</v>
      </c>
      <c r="E2242" s="201" t="s">
        <v>136</v>
      </c>
      <c r="F2242" s="201" t="s">
        <v>136</v>
      </c>
      <c r="G2242" s="201" t="s">
        <v>157</v>
      </c>
      <c r="H2242" s="203"/>
      <c r="I2242" s="201" t="s">
        <v>416</v>
      </c>
      <c r="J2242" s="204">
        <v>45869.46388888889</v>
      </c>
      <c r="K2242" s="201" t="s">
        <v>2509</v>
      </c>
      <c r="L2242" s="201" t="s">
        <v>56</v>
      </c>
    </row>
    <row r="2243">
      <c r="A2243" s="200">
        <v>32.0</v>
      </c>
      <c r="B2243" s="201" t="s">
        <v>6</v>
      </c>
      <c r="C2243" s="201" t="s">
        <v>3722</v>
      </c>
      <c r="D2243" s="201" t="s">
        <v>214</v>
      </c>
      <c r="E2243" s="201" t="s">
        <v>135</v>
      </c>
      <c r="F2243" s="201" t="s">
        <v>136</v>
      </c>
      <c r="G2243" s="201" t="s">
        <v>3723</v>
      </c>
      <c r="H2243" s="203"/>
      <c r="I2243" s="201" t="s">
        <v>416</v>
      </c>
      <c r="J2243" s="204">
        <v>45903.71666666667</v>
      </c>
      <c r="K2243" s="201" t="s">
        <v>2502</v>
      </c>
      <c r="L2243" s="201" t="s">
        <v>56</v>
      </c>
    </row>
    <row r="2244">
      <c r="A2244" s="200">
        <v>9.0</v>
      </c>
      <c r="B2244" s="201" t="s">
        <v>7</v>
      </c>
      <c r="C2244" s="201" t="s">
        <v>184</v>
      </c>
      <c r="D2244" s="201" t="s">
        <v>143</v>
      </c>
      <c r="E2244" s="201" t="s">
        <v>136</v>
      </c>
      <c r="F2244" s="201" t="s">
        <v>135</v>
      </c>
      <c r="G2244" s="201" t="s">
        <v>174</v>
      </c>
      <c r="H2244" s="203"/>
      <c r="I2244" s="201" t="s">
        <v>416</v>
      </c>
      <c r="J2244" s="204">
        <v>45874.350694444445</v>
      </c>
      <c r="K2244" s="201" t="s">
        <v>2502</v>
      </c>
      <c r="L2244" s="201" t="s">
        <v>56</v>
      </c>
    </row>
    <row r="2245">
      <c r="A2245" s="200">
        <v>22.0</v>
      </c>
      <c r="B2245" s="201" t="s">
        <v>6</v>
      </c>
      <c r="C2245" s="201" t="s">
        <v>280</v>
      </c>
      <c r="D2245" s="201" t="s">
        <v>202</v>
      </c>
      <c r="E2245" s="201" t="s">
        <v>136</v>
      </c>
      <c r="F2245" s="201" t="s">
        <v>136</v>
      </c>
      <c r="G2245" s="201" t="s">
        <v>168</v>
      </c>
      <c r="H2245" s="202" t="s">
        <v>3724</v>
      </c>
      <c r="I2245" s="201" t="s">
        <v>416</v>
      </c>
      <c r="J2245" s="204">
        <v>45891.72152777778</v>
      </c>
      <c r="K2245" s="201" t="s">
        <v>2509</v>
      </c>
      <c r="L2245" s="201" t="s">
        <v>56</v>
      </c>
    </row>
    <row r="2246">
      <c r="A2246" s="200">
        <v>11.0</v>
      </c>
      <c r="B2246" s="201" t="s">
        <v>7</v>
      </c>
      <c r="C2246" s="201" t="s">
        <v>342</v>
      </c>
      <c r="D2246" s="201" t="s">
        <v>218</v>
      </c>
      <c r="E2246" s="201" t="s">
        <v>136</v>
      </c>
      <c r="F2246" s="201" t="s">
        <v>136</v>
      </c>
      <c r="G2246" s="201" t="s">
        <v>3447</v>
      </c>
      <c r="H2246" s="203"/>
      <c r="I2246" s="201" t="s">
        <v>416</v>
      </c>
      <c r="J2246" s="204">
        <v>45877.46597222222</v>
      </c>
      <c r="K2246" s="201" t="s">
        <v>185</v>
      </c>
      <c r="L2246" s="201" t="s">
        <v>56</v>
      </c>
    </row>
    <row r="2247">
      <c r="A2247" s="200">
        <v>6.0</v>
      </c>
      <c r="B2247" s="201" t="s">
        <v>6</v>
      </c>
      <c r="C2247" s="201" t="s">
        <v>2828</v>
      </c>
      <c r="D2247" s="201" t="s">
        <v>228</v>
      </c>
      <c r="E2247" s="201" t="s">
        <v>135</v>
      </c>
      <c r="F2247" s="201" t="s">
        <v>136</v>
      </c>
      <c r="G2247" s="201" t="s">
        <v>256</v>
      </c>
      <c r="H2247" s="203"/>
      <c r="I2247" s="201" t="s">
        <v>416</v>
      </c>
      <c r="J2247" s="204">
        <v>45868.62430555555</v>
      </c>
      <c r="K2247" s="201" t="s">
        <v>2502</v>
      </c>
      <c r="L2247" s="201" t="s">
        <v>56</v>
      </c>
    </row>
    <row r="2248">
      <c r="A2248" s="200">
        <v>39.0</v>
      </c>
      <c r="B2248" s="201" t="s">
        <v>7</v>
      </c>
      <c r="C2248" s="201" t="s">
        <v>245</v>
      </c>
      <c r="D2248" s="201" t="s">
        <v>202</v>
      </c>
      <c r="E2248" s="201" t="s">
        <v>136</v>
      </c>
      <c r="F2248" s="201" t="s">
        <v>136</v>
      </c>
      <c r="G2248" s="201" t="s">
        <v>1823</v>
      </c>
      <c r="H2248" s="203"/>
      <c r="I2248" s="201" t="s">
        <v>416</v>
      </c>
      <c r="J2248" s="204">
        <v>45909.41180555556</v>
      </c>
      <c r="K2248" s="201" t="s">
        <v>2509</v>
      </c>
      <c r="L2248" s="201" t="s">
        <v>56</v>
      </c>
    </row>
    <row r="2249">
      <c r="A2249" s="200">
        <v>4.0</v>
      </c>
      <c r="B2249" s="201" t="s">
        <v>6</v>
      </c>
      <c r="C2249" s="201" t="s">
        <v>142</v>
      </c>
      <c r="D2249" s="201" t="s">
        <v>143</v>
      </c>
      <c r="E2249" s="201" t="s">
        <v>136</v>
      </c>
      <c r="F2249" s="201" t="s">
        <v>136</v>
      </c>
      <c r="G2249" s="201" t="s">
        <v>144</v>
      </c>
      <c r="H2249" s="203"/>
      <c r="I2249" s="201" t="s">
        <v>416</v>
      </c>
      <c r="J2249" s="204">
        <v>45868.54236111111</v>
      </c>
      <c r="K2249" s="201" t="s">
        <v>2509</v>
      </c>
      <c r="L2249" s="201" t="s">
        <v>56</v>
      </c>
    </row>
    <row r="2250">
      <c r="A2250" s="200">
        <v>2.0</v>
      </c>
      <c r="B2250" s="201" t="s">
        <v>8</v>
      </c>
      <c r="C2250" s="201" t="s">
        <v>167</v>
      </c>
      <c r="D2250" s="201" t="s">
        <v>143</v>
      </c>
      <c r="E2250" s="201" t="s">
        <v>136</v>
      </c>
      <c r="F2250" s="201" t="s">
        <v>136</v>
      </c>
      <c r="G2250" s="201" t="s">
        <v>1393</v>
      </c>
      <c r="H2250" s="203"/>
      <c r="I2250" s="201" t="s">
        <v>416</v>
      </c>
      <c r="J2250" s="204">
        <v>45863.59305555555</v>
      </c>
      <c r="K2250" s="201" t="s">
        <v>2509</v>
      </c>
      <c r="L2250" s="201" t="s">
        <v>56</v>
      </c>
    </row>
    <row r="2251">
      <c r="A2251" s="200">
        <v>13.0</v>
      </c>
      <c r="B2251" s="201" t="s">
        <v>7</v>
      </c>
      <c r="C2251" s="201" t="s">
        <v>469</v>
      </c>
      <c r="D2251" s="201" t="s">
        <v>202</v>
      </c>
      <c r="E2251" s="201" t="s">
        <v>136</v>
      </c>
      <c r="F2251" s="201" t="s">
        <v>136</v>
      </c>
      <c r="G2251" s="201" t="s">
        <v>221</v>
      </c>
      <c r="H2251" s="203"/>
      <c r="I2251" s="201" t="s">
        <v>416</v>
      </c>
      <c r="J2251" s="204">
        <v>45877.618055555555</v>
      </c>
      <c r="K2251" s="201" t="s">
        <v>2509</v>
      </c>
      <c r="L2251" s="201" t="s">
        <v>56</v>
      </c>
    </row>
    <row r="2252">
      <c r="A2252" s="200">
        <v>26.0</v>
      </c>
      <c r="B2252" s="201" t="s">
        <v>6</v>
      </c>
      <c r="C2252" s="201" t="s">
        <v>3725</v>
      </c>
      <c r="D2252" s="201" t="s">
        <v>218</v>
      </c>
      <c r="E2252" s="201" t="s">
        <v>136</v>
      </c>
      <c r="F2252" s="201" t="s">
        <v>136</v>
      </c>
      <c r="G2252" s="201" t="s">
        <v>2756</v>
      </c>
      <c r="H2252" s="203"/>
      <c r="I2252" s="201" t="s">
        <v>416</v>
      </c>
      <c r="J2252" s="204">
        <v>45896.59583333333</v>
      </c>
      <c r="K2252" s="201" t="s">
        <v>2502</v>
      </c>
      <c r="L2252" s="201" t="s">
        <v>56</v>
      </c>
    </row>
    <row r="2253">
      <c r="A2253" s="200">
        <v>25.0</v>
      </c>
      <c r="B2253" s="201" t="s">
        <v>6</v>
      </c>
      <c r="C2253" s="201" t="s">
        <v>2854</v>
      </c>
      <c r="D2253" s="201" t="s">
        <v>202</v>
      </c>
      <c r="E2253" s="201" t="s">
        <v>135</v>
      </c>
      <c r="F2253" s="201" t="s">
        <v>136</v>
      </c>
      <c r="G2253" s="201" t="s">
        <v>3726</v>
      </c>
      <c r="H2253" s="203"/>
      <c r="I2253" s="201" t="s">
        <v>416</v>
      </c>
      <c r="J2253" s="204">
        <v>45895.47222222222</v>
      </c>
      <c r="K2253" s="201" t="s">
        <v>2509</v>
      </c>
      <c r="L2253" s="201" t="s">
        <v>56</v>
      </c>
    </row>
    <row r="2254">
      <c r="A2254" s="200">
        <v>30.0</v>
      </c>
      <c r="B2254" s="201" t="s">
        <v>6</v>
      </c>
      <c r="C2254" s="201" t="s">
        <v>3727</v>
      </c>
      <c r="D2254" s="201" t="s">
        <v>143</v>
      </c>
      <c r="E2254" s="201" t="s">
        <v>135</v>
      </c>
      <c r="F2254" s="201" t="s">
        <v>136</v>
      </c>
      <c r="G2254" s="201" t="s">
        <v>320</v>
      </c>
      <c r="H2254" s="203"/>
      <c r="I2254" s="201" t="s">
        <v>416</v>
      </c>
      <c r="J2254" s="204">
        <v>45901.694444444445</v>
      </c>
      <c r="K2254" s="201" t="s">
        <v>2513</v>
      </c>
      <c r="L2254" s="201" t="s">
        <v>56</v>
      </c>
    </row>
    <row r="2255">
      <c r="A2255" s="200">
        <v>15.0</v>
      </c>
      <c r="B2255" s="201" t="s">
        <v>6</v>
      </c>
      <c r="C2255" s="201" t="s">
        <v>338</v>
      </c>
      <c r="D2255" s="201" t="s">
        <v>143</v>
      </c>
      <c r="E2255" s="201" t="s">
        <v>136</v>
      </c>
      <c r="F2255" s="201" t="s">
        <v>136</v>
      </c>
      <c r="G2255" s="201" t="s">
        <v>180</v>
      </c>
      <c r="H2255" s="203"/>
      <c r="I2255" s="201" t="s">
        <v>416</v>
      </c>
      <c r="J2255" s="204">
        <v>45877.63680555556</v>
      </c>
      <c r="K2255" s="201" t="s">
        <v>2509</v>
      </c>
      <c r="L2255" s="201" t="s">
        <v>56</v>
      </c>
    </row>
    <row r="2256">
      <c r="A2256" s="200">
        <v>23.0</v>
      </c>
      <c r="B2256" s="201" t="s">
        <v>7</v>
      </c>
      <c r="C2256" s="201" t="s">
        <v>3728</v>
      </c>
      <c r="D2256" s="201" t="s">
        <v>3729</v>
      </c>
      <c r="E2256" s="201" t="s">
        <v>135</v>
      </c>
      <c r="F2256" s="201" t="s">
        <v>136</v>
      </c>
      <c r="G2256" s="201" t="s">
        <v>221</v>
      </c>
      <c r="H2256" s="203"/>
      <c r="I2256" s="201" t="s">
        <v>416</v>
      </c>
      <c r="J2256" s="204">
        <v>45894.69305555556</v>
      </c>
      <c r="K2256" s="201" t="s">
        <v>2502</v>
      </c>
      <c r="L2256" s="201" t="s">
        <v>56</v>
      </c>
    </row>
    <row r="2257">
      <c r="A2257" s="200">
        <v>35.0</v>
      </c>
      <c r="B2257" s="201" t="s">
        <v>7</v>
      </c>
      <c r="C2257" s="201" t="s">
        <v>338</v>
      </c>
      <c r="D2257" s="201" t="s">
        <v>143</v>
      </c>
      <c r="E2257" s="201" t="s">
        <v>136</v>
      </c>
      <c r="F2257" s="201" t="s">
        <v>136</v>
      </c>
      <c r="G2257" s="201" t="s">
        <v>1872</v>
      </c>
      <c r="H2257" s="203"/>
      <c r="I2257" s="201" t="s">
        <v>416</v>
      </c>
      <c r="J2257" s="204">
        <v>45905.629166666666</v>
      </c>
      <c r="K2257" s="201" t="s">
        <v>2509</v>
      </c>
      <c r="L2257" s="201" t="s">
        <v>56</v>
      </c>
    </row>
    <row r="2258">
      <c r="A2258" s="200">
        <v>3.0</v>
      </c>
      <c r="B2258" s="201" t="s">
        <v>7</v>
      </c>
      <c r="C2258" s="201" t="s">
        <v>3730</v>
      </c>
      <c r="D2258" s="201" t="s">
        <v>177</v>
      </c>
      <c r="E2258" s="201" t="s">
        <v>135</v>
      </c>
      <c r="F2258" s="201" t="s">
        <v>136</v>
      </c>
      <c r="G2258" s="201" t="s">
        <v>599</v>
      </c>
      <c r="H2258" s="202" t="s">
        <v>3731</v>
      </c>
      <c r="I2258" s="201" t="s">
        <v>416</v>
      </c>
      <c r="J2258" s="204">
        <v>45866.595138888886</v>
      </c>
      <c r="K2258" s="201" t="s">
        <v>2502</v>
      </c>
      <c r="L2258" s="201" t="s">
        <v>56</v>
      </c>
    </row>
    <row r="2259">
      <c r="A2259" s="200">
        <v>21.0</v>
      </c>
      <c r="B2259" s="201" t="s">
        <v>6</v>
      </c>
      <c r="C2259" s="201" t="s">
        <v>1644</v>
      </c>
      <c r="D2259" s="201" t="s">
        <v>143</v>
      </c>
      <c r="E2259" s="201" t="s">
        <v>135</v>
      </c>
      <c r="F2259" s="201" t="s">
        <v>136</v>
      </c>
      <c r="G2259" s="201" t="s">
        <v>606</v>
      </c>
      <c r="H2259" s="203"/>
      <c r="I2259" s="201" t="s">
        <v>416</v>
      </c>
      <c r="J2259" s="204">
        <v>45889.56875</v>
      </c>
      <c r="K2259" s="201" t="s">
        <v>2502</v>
      </c>
      <c r="L2259" s="201" t="s">
        <v>56</v>
      </c>
    </row>
    <row r="2260">
      <c r="A2260" s="200">
        <v>36.0</v>
      </c>
      <c r="B2260" s="201" t="s">
        <v>7</v>
      </c>
      <c r="C2260" s="201" t="s">
        <v>3209</v>
      </c>
      <c r="D2260" s="201" t="s">
        <v>153</v>
      </c>
      <c r="E2260" s="201" t="s">
        <v>135</v>
      </c>
      <c r="F2260" s="201" t="s">
        <v>136</v>
      </c>
      <c r="G2260" s="201" t="s">
        <v>137</v>
      </c>
      <c r="H2260" s="203"/>
      <c r="I2260" s="201" t="s">
        <v>416</v>
      </c>
      <c r="J2260" s="204">
        <v>45905.99652777778</v>
      </c>
      <c r="K2260" s="201" t="s">
        <v>2502</v>
      </c>
      <c r="L2260" s="201" t="s">
        <v>56</v>
      </c>
    </row>
    <row r="2261">
      <c r="A2261" s="200">
        <v>33.0</v>
      </c>
      <c r="B2261" s="201" t="s">
        <v>6</v>
      </c>
      <c r="C2261" s="201" t="s">
        <v>167</v>
      </c>
      <c r="D2261" s="201" t="s">
        <v>143</v>
      </c>
      <c r="E2261" s="201" t="s">
        <v>136</v>
      </c>
      <c r="F2261" s="201" t="s">
        <v>136</v>
      </c>
      <c r="G2261" s="201" t="s">
        <v>349</v>
      </c>
      <c r="H2261" s="203"/>
      <c r="I2261" s="201" t="s">
        <v>416</v>
      </c>
      <c r="J2261" s="204">
        <v>45904.55902777778</v>
      </c>
      <c r="K2261" s="201" t="s">
        <v>2513</v>
      </c>
      <c r="L2261" s="201" t="s">
        <v>56</v>
      </c>
    </row>
    <row r="2262">
      <c r="A2262" s="200">
        <v>31.0</v>
      </c>
      <c r="B2262" s="201" t="s">
        <v>6</v>
      </c>
      <c r="C2262" s="201" t="s">
        <v>3732</v>
      </c>
      <c r="D2262" s="201" t="s">
        <v>143</v>
      </c>
      <c r="E2262" s="201" t="s">
        <v>136</v>
      </c>
      <c r="F2262" s="201" t="s">
        <v>135</v>
      </c>
      <c r="G2262" s="201" t="s">
        <v>1257</v>
      </c>
      <c r="H2262" s="203"/>
      <c r="I2262" s="201" t="s">
        <v>416</v>
      </c>
      <c r="J2262" s="204">
        <v>45902.728472222225</v>
      </c>
      <c r="K2262" s="201" t="s">
        <v>2513</v>
      </c>
      <c r="L2262" s="201" t="s">
        <v>56</v>
      </c>
    </row>
    <row r="2263">
      <c r="A2263" s="200">
        <v>24.0</v>
      </c>
      <c r="B2263" s="201" t="s">
        <v>7</v>
      </c>
      <c r="C2263" s="201" t="s">
        <v>338</v>
      </c>
      <c r="D2263" s="201" t="s">
        <v>143</v>
      </c>
      <c r="E2263" s="201" t="s">
        <v>136</v>
      </c>
      <c r="F2263" s="201" t="s">
        <v>136</v>
      </c>
      <c r="G2263" s="201" t="s">
        <v>168</v>
      </c>
      <c r="H2263" s="203"/>
      <c r="I2263" s="201" t="s">
        <v>416</v>
      </c>
      <c r="J2263" s="204">
        <v>45895.40555555555</v>
      </c>
      <c r="K2263" s="201" t="s">
        <v>2509</v>
      </c>
      <c r="L2263" s="201" t="s">
        <v>56</v>
      </c>
    </row>
    <row r="2264">
      <c r="A2264" s="200">
        <v>27.0</v>
      </c>
      <c r="B2264" s="201" t="s">
        <v>6</v>
      </c>
      <c r="C2264" s="201" t="s">
        <v>3733</v>
      </c>
      <c r="D2264" s="201" t="s">
        <v>164</v>
      </c>
      <c r="E2264" s="201" t="s">
        <v>136</v>
      </c>
      <c r="F2264" s="201" t="s">
        <v>135</v>
      </c>
      <c r="G2264" s="201" t="s">
        <v>174</v>
      </c>
      <c r="H2264" s="202" t="s">
        <v>3734</v>
      </c>
      <c r="I2264" s="201" t="s">
        <v>416</v>
      </c>
      <c r="J2264" s="204">
        <v>45897.475694444445</v>
      </c>
      <c r="K2264" s="201" t="s">
        <v>2513</v>
      </c>
      <c r="L2264" s="201" t="s">
        <v>56</v>
      </c>
    </row>
    <row r="2265">
      <c r="A2265" s="200">
        <v>29.0</v>
      </c>
      <c r="B2265" s="201" t="s">
        <v>7</v>
      </c>
      <c r="C2265" s="201" t="s">
        <v>379</v>
      </c>
      <c r="D2265" s="201" t="s">
        <v>202</v>
      </c>
      <c r="E2265" s="201" t="s">
        <v>136</v>
      </c>
      <c r="F2265" s="201" t="s">
        <v>136</v>
      </c>
      <c r="G2265" s="201" t="s">
        <v>606</v>
      </c>
      <c r="H2265" s="203"/>
      <c r="I2265" s="201" t="s">
        <v>416</v>
      </c>
      <c r="J2265" s="204">
        <v>45901.68958333333</v>
      </c>
      <c r="K2265" s="201" t="s">
        <v>2509</v>
      </c>
      <c r="L2265" s="201" t="s">
        <v>56</v>
      </c>
    </row>
    <row r="2266">
      <c r="A2266" s="200">
        <v>5.0</v>
      </c>
      <c r="B2266" s="201" t="s">
        <v>6</v>
      </c>
      <c r="C2266" s="201" t="s">
        <v>3735</v>
      </c>
      <c r="D2266" s="201" t="s">
        <v>164</v>
      </c>
      <c r="E2266" s="201" t="s">
        <v>135</v>
      </c>
      <c r="F2266" s="201" t="s">
        <v>136</v>
      </c>
      <c r="G2266" s="201" t="s">
        <v>150</v>
      </c>
      <c r="H2266" s="203"/>
      <c r="I2266" s="201" t="s">
        <v>416</v>
      </c>
      <c r="J2266" s="204">
        <v>45868.549305555556</v>
      </c>
      <c r="K2266" s="201" t="s">
        <v>2513</v>
      </c>
      <c r="L2266" s="201" t="s">
        <v>56</v>
      </c>
    </row>
    <row r="2267">
      <c r="A2267" s="200">
        <v>19.0</v>
      </c>
      <c r="B2267" s="201" t="s">
        <v>7</v>
      </c>
      <c r="C2267" s="201" t="s">
        <v>1510</v>
      </c>
      <c r="D2267" s="201" t="s">
        <v>177</v>
      </c>
      <c r="E2267" s="201" t="s">
        <v>135</v>
      </c>
      <c r="F2267" s="201" t="s">
        <v>136</v>
      </c>
      <c r="G2267" s="202" t="s">
        <v>2672</v>
      </c>
      <c r="H2267" s="203"/>
      <c r="I2267" s="201" t="s">
        <v>136</v>
      </c>
      <c r="J2267" s="204">
        <v>45809.10763888889</v>
      </c>
      <c r="K2267" s="201" t="s">
        <v>2502</v>
      </c>
      <c r="L2267" s="201" t="s">
        <v>312</v>
      </c>
    </row>
    <row r="2268">
      <c r="A2268" s="200">
        <v>25.0</v>
      </c>
      <c r="B2268" s="201" t="s">
        <v>6</v>
      </c>
      <c r="C2268" s="201" t="s">
        <v>3736</v>
      </c>
      <c r="D2268" s="201" t="s">
        <v>202</v>
      </c>
      <c r="E2268" s="201" t="s">
        <v>136</v>
      </c>
      <c r="F2268" s="201" t="s">
        <v>136</v>
      </c>
      <c r="G2268" s="201" t="s">
        <v>3737</v>
      </c>
      <c r="H2268" s="201" t="s">
        <v>3738</v>
      </c>
      <c r="I2268" s="201" t="s">
        <v>136</v>
      </c>
      <c r="J2268" s="204">
        <v>45821.444444444445</v>
      </c>
      <c r="K2268" s="201" t="s">
        <v>2513</v>
      </c>
      <c r="L2268" s="201" t="s">
        <v>312</v>
      </c>
    </row>
    <row r="2269">
      <c r="A2269" s="200">
        <v>26.0</v>
      </c>
      <c r="B2269" s="201" t="s">
        <v>6</v>
      </c>
      <c r="C2269" s="201" t="s">
        <v>3739</v>
      </c>
      <c r="D2269" s="201" t="s">
        <v>313</v>
      </c>
      <c r="E2269" s="201" t="s">
        <v>136</v>
      </c>
      <c r="F2269" s="201" t="s">
        <v>136</v>
      </c>
      <c r="G2269" s="201" t="s">
        <v>3740</v>
      </c>
      <c r="H2269" s="202" t="s">
        <v>455</v>
      </c>
      <c r="I2269" s="201" t="s">
        <v>135</v>
      </c>
      <c r="J2269" s="204">
        <v>45821.76666666667</v>
      </c>
      <c r="K2269" s="201" t="s">
        <v>3690</v>
      </c>
      <c r="L2269" s="201" t="s">
        <v>312</v>
      </c>
    </row>
    <row r="2270">
      <c r="A2270" s="200">
        <v>7.0</v>
      </c>
      <c r="B2270" s="201" t="s">
        <v>6</v>
      </c>
      <c r="C2270" s="201" t="s">
        <v>3741</v>
      </c>
      <c r="D2270" s="201" t="s">
        <v>160</v>
      </c>
      <c r="E2270" s="201" t="s">
        <v>135</v>
      </c>
      <c r="F2270" s="201" t="s">
        <v>135</v>
      </c>
      <c r="G2270" s="201" t="s">
        <v>221</v>
      </c>
      <c r="H2270" s="203"/>
      <c r="I2270" s="201" t="s">
        <v>136</v>
      </c>
      <c r="J2270" s="204">
        <v>45799.61111111111</v>
      </c>
      <c r="K2270" s="201" t="s">
        <v>2502</v>
      </c>
      <c r="L2270" s="201" t="s">
        <v>312</v>
      </c>
    </row>
    <row r="2271">
      <c r="A2271" s="200">
        <v>10.0</v>
      </c>
      <c r="B2271" s="201" t="s">
        <v>6</v>
      </c>
      <c r="C2271" s="201" t="s">
        <v>3688</v>
      </c>
      <c r="D2271" s="201" t="s">
        <v>143</v>
      </c>
      <c r="E2271" s="201" t="s">
        <v>135</v>
      </c>
      <c r="F2271" s="201" t="s">
        <v>136</v>
      </c>
      <c r="G2271" s="201" t="s">
        <v>448</v>
      </c>
      <c r="H2271" s="203"/>
      <c r="I2271" s="201" t="s">
        <v>135</v>
      </c>
      <c r="J2271" s="204">
        <v>45803.71111111111</v>
      </c>
      <c r="K2271" s="201" t="s">
        <v>3690</v>
      </c>
      <c r="L2271" s="201" t="s">
        <v>312</v>
      </c>
    </row>
    <row r="2272">
      <c r="A2272" s="200">
        <v>23.0</v>
      </c>
      <c r="B2272" s="201" t="s">
        <v>6</v>
      </c>
      <c r="C2272" s="201" t="s">
        <v>1000</v>
      </c>
      <c r="D2272" s="201" t="s">
        <v>202</v>
      </c>
      <c r="E2272" s="201" t="s">
        <v>135</v>
      </c>
      <c r="F2272" s="201" t="s">
        <v>136</v>
      </c>
      <c r="G2272" s="201" t="s">
        <v>460</v>
      </c>
      <c r="H2272" s="203"/>
      <c r="I2272" s="201" t="s">
        <v>135</v>
      </c>
      <c r="J2272" s="204">
        <v>45817.805555555555</v>
      </c>
      <c r="K2272" s="201" t="s">
        <v>2513</v>
      </c>
      <c r="L2272" s="201" t="s">
        <v>312</v>
      </c>
    </row>
    <row r="2273">
      <c r="A2273" s="200">
        <v>22.0</v>
      </c>
      <c r="B2273" s="201" t="s">
        <v>6</v>
      </c>
      <c r="C2273" s="201" t="s">
        <v>1014</v>
      </c>
      <c r="D2273" s="201" t="s">
        <v>202</v>
      </c>
      <c r="E2273" s="201" t="s">
        <v>135</v>
      </c>
      <c r="F2273" s="201" t="s">
        <v>136</v>
      </c>
      <c r="G2273" s="201" t="s">
        <v>349</v>
      </c>
      <c r="H2273" s="203"/>
      <c r="I2273" s="201" t="s">
        <v>135</v>
      </c>
      <c r="J2273" s="204">
        <v>45813.55694444444</v>
      </c>
      <c r="K2273" s="201" t="s">
        <v>2513</v>
      </c>
      <c r="L2273" s="201" t="s">
        <v>312</v>
      </c>
    </row>
    <row r="2274">
      <c r="A2274" s="200">
        <v>12.0</v>
      </c>
      <c r="B2274" s="201" t="s">
        <v>6</v>
      </c>
      <c r="C2274" s="201" t="s">
        <v>3742</v>
      </c>
      <c r="D2274" s="201" t="s">
        <v>202</v>
      </c>
      <c r="E2274" s="201" t="s">
        <v>136</v>
      </c>
      <c r="F2274" s="201" t="s">
        <v>136</v>
      </c>
      <c r="G2274" s="201" t="s">
        <v>3743</v>
      </c>
      <c r="H2274" s="203"/>
      <c r="I2274" s="201" t="s">
        <v>135</v>
      </c>
      <c r="J2274" s="204">
        <v>45804.63333333333</v>
      </c>
      <c r="K2274" s="201" t="s">
        <v>2513</v>
      </c>
      <c r="L2274" s="201" t="s">
        <v>312</v>
      </c>
    </row>
    <row r="2275">
      <c r="A2275" s="200">
        <v>11.0</v>
      </c>
      <c r="B2275" s="201" t="s">
        <v>7</v>
      </c>
      <c r="C2275" s="201" t="s">
        <v>2829</v>
      </c>
      <c r="D2275" s="201" t="s">
        <v>202</v>
      </c>
      <c r="E2275" s="201" t="s">
        <v>136</v>
      </c>
      <c r="F2275" s="201" t="s">
        <v>136</v>
      </c>
      <c r="G2275" s="201" t="s">
        <v>1038</v>
      </c>
      <c r="H2275" s="203"/>
      <c r="I2275" s="201" t="s">
        <v>135</v>
      </c>
      <c r="J2275" s="204">
        <v>45804.46527777778</v>
      </c>
      <c r="K2275" s="201" t="s">
        <v>2507</v>
      </c>
      <c r="L2275" s="201" t="s">
        <v>312</v>
      </c>
    </row>
    <row r="2276">
      <c r="A2276" s="200">
        <v>14.0</v>
      </c>
      <c r="B2276" s="201" t="s">
        <v>6</v>
      </c>
      <c r="C2276" s="201" t="s">
        <v>3744</v>
      </c>
      <c r="D2276" s="201" t="s">
        <v>177</v>
      </c>
      <c r="E2276" s="201" t="s">
        <v>135</v>
      </c>
      <c r="F2276" s="201" t="s">
        <v>136</v>
      </c>
      <c r="G2276" s="201" t="s">
        <v>271</v>
      </c>
      <c r="H2276" s="203"/>
      <c r="I2276" s="201" t="s">
        <v>135</v>
      </c>
      <c r="J2276" s="204">
        <v>45805.72986111111</v>
      </c>
      <c r="K2276" s="201" t="s">
        <v>2502</v>
      </c>
      <c r="L2276" s="201" t="s">
        <v>312</v>
      </c>
    </row>
    <row r="2277">
      <c r="A2277" s="200">
        <v>2.0</v>
      </c>
      <c r="B2277" s="201" t="s">
        <v>6</v>
      </c>
      <c r="C2277" s="201" t="s">
        <v>1322</v>
      </c>
      <c r="D2277" s="201" t="s">
        <v>228</v>
      </c>
      <c r="E2277" s="201" t="s">
        <v>135</v>
      </c>
      <c r="F2277" s="201" t="s">
        <v>136</v>
      </c>
      <c r="G2277" s="201" t="s">
        <v>3745</v>
      </c>
      <c r="H2277" s="201" t="s">
        <v>3746</v>
      </c>
      <c r="I2277" s="201" t="s">
        <v>136</v>
      </c>
      <c r="J2277" s="204">
        <v>45782.79861111111</v>
      </c>
      <c r="K2277" s="201" t="s">
        <v>2502</v>
      </c>
      <c r="L2277" s="201" t="s">
        <v>312</v>
      </c>
    </row>
    <row r="2278">
      <c r="A2278" s="200">
        <v>16.0</v>
      </c>
      <c r="B2278" s="201" t="s">
        <v>6</v>
      </c>
      <c r="C2278" s="201" t="s">
        <v>2845</v>
      </c>
      <c r="D2278" s="201" t="s">
        <v>177</v>
      </c>
      <c r="E2278" s="201" t="s">
        <v>135</v>
      </c>
      <c r="F2278" s="201" t="s">
        <v>136</v>
      </c>
      <c r="G2278" s="201" t="s">
        <v>1295</v>
      </c>
      <c r="H2278" s="201" t="s">
        <v>3747</v>
      </c>
      <c r="I2278" s="201" t="s">
        <v>135</v>
      </c>
      <c r="J2278" s="204">
        <v>45807.55138888889</v>
      </c>
      <c r="K2278" s="201" t="s">
        <v>3690</v>
      </c>
      <c r="L2278" s="201" t="s">
        <v>312</v>
      </c>
    </row>
    <row r="2279">
      <c r="A2279" s="200">
        <v>4.0</v>
      </c>
      <c r="B2279" s="201" t="s">
        <v>7</v>
      </c>
      <c r="C2279" s="201" t="s">
        <v>3748</v>
      </c>
      <c r="D2279" s="201" t="s">
        <v>290</v>
      </c>
      <c r="E2279" s="201" t="s">
        <v>135</v>
      </c>
      <c r="F2279" s="201" t="s">
        <v>136</v>
      </c>
      <c r="G2279" s="201" t="s">
        <v>3749</v>
      </c>
      <c r="H2279" s="201" t="s">
        <v>3750</v>
      </c>
      <c r="I2279" s="201" t="s">
        <v>135</v>
      </c>
      <c r="J2279" s="204">
        <v>45790.38888888889</v>
      </c>
      <c r="K2279" s="201" t="s">
        <v>185</v>
      </c>
      <c r="L2279" s="201" t="s">
        <v>312</v>
      </c>
    </row>
    <row r="2280">
      <c r="A2280" s="200">
        <v>5.0</v>
      </c>
      <c r="B2280" s="201" t="s">
        <v>7</v>
      </c>
      <c r="C2280" s="201" t="s">
        <v>513</v>
      </c>
      <c r="D2280" s="201" t="s">
        <v>213</v>
      </c>
      <c r="E2280" s="201" t="s">
        <v>135</v>
      </c>
      <c r="F2280" s="201" t="s">
        <v>136</v>
      </c>
      <c r="G2280" s="201" t="s">
        <v>3751</v>
      </c>
      <c r="H2280" s="201" t="s">
        <v>3752</v>
      </c>
      <c r="I2280" s="201" t="s">
        <v>135</v>
      </c>
      <c r="J2280" s="204">
        <v>45790.52222222222</v>
      </c>
      <c r="K2280" s="201" t="s">
        <v>2509</v>
      </c>
      <c r="L2280" s="201" t="s">
        <v>312</v>
      </c>
    </row>
    <row r="2281">
      <c r="A2281" s="200">
        <v>24.0</v>
      </c>
      <c r="B2281" s="201" t="s">
        <v>6</v>
      </c>
      <c r="C2281" s="201" t="s">
        <v>1066</v>
      </c>
      <c r="D2281" s="201" t="s">
        <v>202</v>
      </c>
      <c r="E2281" s="201" t="s">
        <v>136</v>
      </c>
      <c r="F2281" s="201" t="s">
        <v>136</v>
      </c>
      <c r="G2281" s="201" t="s">
        <v>650</v>
      </c>
      <c r="H2281" s="201" t="s">
        <v>3753</v>
      </c>
      <c r="I2281" s="201" t="s">
        <v>136</v>
      </c>
      <c r="J2281" s="204">
        <v>45821.40347222222</v>
      </c>
      <c r="K2281" s="201" t="s">
        <v>2513</v>
      </c>
      <c r="L2281" s="201" t="s">
        <v>312</v>
      </c>
    </row>
    <row r="2282">
      <c r="A2282" s="200">
        <v>20.0</v>
      </c>
      <c r="B2282" s="201" t="s">
        <v>6</v>
      </c>
      <c r="C2282" s="201" t="s">
        <v>2854</v>
      </c>
      <c r="D2282" s="201" t="s">
        <v>202</v>
      </c>
      <c r="E2282" s="201" t="s">
        <v>135</v>
      </c>
      <c r="F2282" s="201" t="s">
        <v>135</v>
      </c>
      <c r="G2282" s="201" t="s">
        <v>3754</v>
      </c>
      <c r="H2282" s="203"/>
      <c r="I2282" s="201" t="s">
        <v>135</v>
      </c>
      <c r="J2282" s="204">
        <v>45813.552777777775</v>
      </c>
      <c r="K2282" s="201" t="s">
        <v>2513</v>
      </c>
      <c r="L2282" s="201" t="s">
        <v>312</v>
      </c>
    </row>
    <row r="2283">
      <c r="A2283" s="200">
        <v>13.0</v>
      </c>
      <c r="B2283" s="201" t="s">
        <v>7</v>
      </c>
      <c r="C2283" s="201" t="s">
        <v>3755</v>
      </c>
      <c r="D2283" s="201" t="s">
        <v>313</v>
      </c>
      <c r="E2283" s="201" t="s">
        <v>135</v>
      </c>
      <c r="F2283" s="201" t="s">
        <v>136</v>
      </c>
      <c r="G2283" s="201" t="s">
        <v>271</v>
      </c>
      <c r="H2283" s="203"/>
      <c r="I2283" s="201" t="s">
        <v>136</v>
      </c>
      <c r="J2283" s="204">
        <v>45804.888194444444</v>
      </c>
      <c r="K2283" s="201" t="s">
        <v>2513</v>
      </c>
      <c r="L2283" s="201" t="s">
        <v>312</v>
      </c>
    </row>
    <row r="2284">
      <c r="A2284" s="200">
        <v>21.0</v>
      </c>
      <c r="B2284" s="201" t="s">
        <v>6</v>
      </c>
      <c r="C2284" s="201" t="s">
        <v>167</v>
      </c>
      <c r="D2284" s="201" t="s">
        <v>202</v>
      </c>
      <c r="E2284" s="201" t="s">
        <v>135</v>
      </c>
      <c r="F2284" s="201" t="s">
        <v>136</v>
      </c>
      <c r="G2284" s="201" t="s">
        <v>349</v>
      </c>
      <c r="H2284" s="203"/>
      <c r="I2284" s="201" t="s">
        <v>135</v>
      </c>
      <c r="J2284" s="204">
        <v>45813.55625</v>
      </c>
      <c r="K2284" s="201" t="s">
        <v>2513</v>
      </c>
      <c r="L2284" s="201" t="s">
        <v>312</v>
      </c>
    </row>
    <row r="2285">
      <c r="A2285" s="200">
        <v>3.0</v>
      </c>
      <c r="B2285" s="201" t="s">
        <v>6</v>
      </c>
      <c r="C2285" s="201" t="s">
        <v>1515</v>
      </c>
      <c r="D2285" s="201" t="s">
        <v>209</v>
      </c>
      <c r="E2285" s="201" t="s">
        <v>136</v>
      </c>
      <c r="F2285" s="201" t="s">
        <v>136</v>
      </c>
      <c r="G2285" s="201" t="s">
        <v>613</v>
      </c>
      <c r="H2285" s="202" t="s">
        <v>1178</v>
      </c>
      <c r="I2285" s="201" t="s">
        <v>135</v>
      </c>
      <c r="J2285" s="204">
        <v>45787.93263888889</v>
      </c>
      <c r="K2285" s="201" t="s">
        <v>2507</v>
      </c>
      <c r="L2285" s="201" t="s">
        <v>312</v>
      </c>
    </row>
    <row r="2286">
      <c r="A2286" s="200">
        <v>9.0</v>
      </c>
      <c r="B2286" s="201" t="s">
        <v>6</v>
      </c>
      <c r="C2286" s="201" t="s">
        <v>2854</v>
      </c>
      <c r="D2286" s="201" t="s">
        <v>202</v>
      </c>
      <c r="E2286" s="201" t="s">
        <v>136</v>
      </c>
      <c r="F2286" s="201" t="s">
        <v>136</v>
      </c>
      <c r="G2286" s="201" t="s">
        <v>349</v>
      </c>
      <c r="H2286" s="203"/>
      <c r="I2286" s="201" t="s">
        <v>135</v>
      </c>
      <c r="J2286" s="204">
        <v>45803.54236111111</v>
      </c>
      <c r="K2286" s="201" t="s">
        <v>3690</v>
      </c>
      <c r="L2286" s="201" t="s">
        <v>312</v>
      </c>
    </row>
    <row r="2287">
      <c r="A2287" s="200">
        <v>6.0</v>
      </c>
      <c r="B2287" s="201" t="s">
        <v>6</v>
      </c>
      <c r="C2287" s="201" t="s">
        <v>3756</v>
      </c>
      <c r="D2287" s="201" t="s">
        <v>263</v>
      </c>
      <c r="E2287" s="201" t="s">
        <v>136</v>
      </c>
      <c r="F2287" s="201" t="s">
        <v>136</v>
      </c>
      <c r="G2287" s="201" t="s">
        <v>1888</v>
      </c>
      <c r="H2287" s="203"/>
      <c r="I2287" s="201" t="s">
        <v>136</v>
      </c>
      <c r="J2287" s="204">
        <v>45795.70277777778</v>
      </c>
      <c r="K2287" s="201" t="s">
        <v>2513</v>
      </c>
      <c r="L2287" s="201" t="s">
        <v>312</v>
      </c>
    </row>
    <row r="2288">
      <c r="A2288" s="200">
        <v>15.0</v>
      </c>
      <c r="B2288" s="201" t="s">
        <v>7</v>
      </c>
      <c r="C2288" s="201" t="s">
        <v>2829</v>
      </c>
      <c r="D2288" s="201" t="s">
        <v>202</v>
      </c>
      <c r="E2288" s="201" t="s">
        <v>135</v>
      </c>
      <c r="F2288" s="201" t="s">
        <v>136</v>
      </c>
      <c r="G2288" s="201" t="s">
        <v>650</v>
      </c>
      <c r="H2288" s="203"/>
      <c r="I2288" s="201" t="s">
        <v>135</v>
      </c>
      <c r="J2288" s="204">
        <v>45806.436111111114</v>
      </c>
      <c r="K2288" s="201" t="s">
        <v>2513</v>
      </c>
      <c r="L2288" s="201" t="s">
        <v>312</v>
      </c>
    </row>
    <row r="2289">
      <c r="A2289" s="200">
        <v>17.0</v>
      </c>
      <c r="B2289" s="201" t="s">
        <v>6</v>
      </c>
      <c r="C2289" s="201" t="s">
        <v>1644</v>
      </c>
      <c r="D2289" s="201" t="s">
        <v>143</v>
      </c>
      <c r="E2289" s="201" t="s">
        <v>135</v>
      </c>
      <c r="F2289" s="201" t="s">
        <v>136</v>
      </c>
      <c r="G2289" s="201" t="s">
        <v>168</v>
      </c>
      <c r="H2289" s="203"/>
      <c r="I2289" s="201" t="s">
        <v>135</v>
      </c>
      <c r="J2289" s="204">
        <v>45807.558333333334</v>
      </c>
      <c r="K2289" s="201" t="s">
        <v>3690</v>
      </c>
      <c r="L2289" s="201" t="s">
        <v>312</v>
      </c>
    </row>
    <row r="2290">
      <c r="A2290" s="200">
        <v>1.0</v>
      </c>
      <c r="B2290" s="201" t="s">
        <v>6</v>
      </c>
      <c r="C2290" s="201" t="s">
        <v>245</v>
      </c>
      <c r="D2290" s="201" t="s">
        <v>202</v>
      </c>
      <c r="E2290" s="201" t="s">
        <v>136</v>
      </c>
      <c r="F2290" s="201" t="s">
        <v>136</v>
      </c>
      <c r="G2290" s="201" t="s">
        <v>750</v>
      </c>
      <c r="H2290" s="203"/>
      <c r="I2290" s="201" t="s">
        <v>135</v>
      </c>
      <c r="J2290" s="204">
        <v>45777.42916666667</v>
      </c>
      <c r="K2290" s="201" t="s">
        <v>2507</v>
      </c>
      <c r="L2290" s="201" t="s">
        <v>312</v>
      </c>
    </row>
    <row r="2291">
      <c r="A2291" s="200">
        <v>8.0</v>
      </c>
      <c r="B2291" s="201" t="s">
        <v>6</v>
      </c>
      <c r="C2291" s="201" t="s">
        <v>2831</v>
      </c>
      <c r="D2291" s="201" t="s">
        <v>164</v>
      </c>
      <c r="E2291" s="201" t="s">
        <v>135</v>
      </c>
      <c r="F2291" s="201" t="s">
        <v>136</v>
      </c>
      <c r="G2291" s="201" t="s">
        <v>2712</v>
      </c>
      <c r="H2291" s="203"/>
      <c r="I2291" s="201" t="s">
        <v>135</v>
      </c>
      <c r="J2291" s="204">
        <v>45800.56875</v>
      </c>
      <c r="K2291" s="201" t="s">
        <v>2509</v>
      </c>
      <c r="L2291" s="201" t="s">
        <v>312</v>
      </c>
    </row>
    <row r="2292">
      <c r="A2292" s="200">
        <v>18.0</v>
      </c>
      <c r="B2292" s="201" t="s">
        <v>7</v>
      </c>
      <c r="C2292" s="201" t="s">
        <v>379</v>
      </c>
      <c r="D2292" s="201" t="s">
        <v>202</v>
      </c>
      <c r="E2292" s="201" t="s">
        <v>136</v>
      </c>
      <c r="F2292" s="201" t="s">
        <v>136</v>
      </c>
      <c r="G2292" s="201" t="s">
        <v>606</v>
      </c>
      <c r="H2292" s="203"/>
      <c r="I2292" s="201" t="s">
        <v>135</v>
      </c>
      <c r="J2292" s="204">
        <v>45807.563888888886</v>
      </c>
      <c r="K2292" s="201" t="s">
        <v>2509</v>
      </c>
      <c r="L2292" s="201" t="s">
        <v>312</v>
      </c>
    </row>
    <row r="2293">
      <c r="A2293" s="200"/>
      <c r="B2293" s="201"/>
      <c r="C2293" s="201"/>
      <c r="D2293" s="201"/>
      <c r="E2293" s="201"/>
      <c r="F2293" s="201"/>
      <c r="G2293" s="201"/>
      <c r="H2293" s="203"/>
      <c r="I2293" s="201"/>
      <c r="J2293" s="204"/>
      <c r="K2293" s="201"/>
      <c r="L2293" s="201"/>
    </row>
    <row r="2294">
      <c r="A2294" s="200"/>
      <c r="B2294" s="201"/>
      <c r="C2294" s="201"/>
      <c r="D2294" s="201"/>
      <c r="E2294" s="201"/>
      <c r="F2294" s="201"/>
      <c r="G2294" s="201"/>
      <c r="H2294" s="203"/>
      <c r="I2294" s="201"/>
      <c r="J2294" s="204"/>
      <c r="K2294" s="201"/>
      <c r="L2294" s="201"/>
    </row>
    <row r="2295">
      <c r="A2295" s="200"/>
      <c r="B2295" s="201"/>
      <c r="C2295" s="201"/>
      <c r="D2295" s="201"/>
      <c r="E2295" s="201"/>
      <c r="F2295" s="201"/>
      <c r="G2295" s="201"/>
      <c r="H2295" s="203"/>
      <c r="I2295" s="201"/>
      <c r="J2295" s="204"/>
      <c r="K2295" s="201"/>
      <c r="L2295" s="201"/>
    </row>
    <row r="2296">
      <c r="A2296" s="200"/>
      <c r="B2296" s="201"/>
      <c r="C2296" s="201"/>
      <c r="D2296" s="201"/>
      <c r="E2296" s="201"/>
      <c r="F2296" s="201"/>
      <c r="G2296" s="201"/>
      <c r="H2296" s="203"/>
      <c r="I2296" s="201"/>
      <c r="J2296" s="204"/>
      <c r="K2296" s="201"/>
      <c r="L2296" s="201"/>
    </row>
    <row r="2297">
      <c r="A2297" s="200"/>
      <c r="B2297" s="201"/>
      <c r="C2297" s="201"/>
      <c r="D2297" s="201"/>
      <c r="E2297" s="201"/>
      <c r="F2297" s="201"/>
      <c r="G2297" s="201"/>
      <c r="H2297" s="203"/>
      <c r="I2297" s="201"/>
      <c r="J2297" s="204"/>
      <c r="K2297" s="201"/>
      <c r="L2297" s="201"/>
    </row>
    <row r="2298">
      <c r="A2298" s="200"/>
      <c r="B2298" s="201"/>
      <c r="C2298" s="201"/>
      <c r="D2298" s="201"/>
      <c r="E2298" s="201"/>
      <c r="F2298" s="201"/>
      <c r="G2298" s="201"/>
      <c r="H2298" s="203"/>
      <c r="I2298" s="201"/>
      <c r="J2298" s="204"/>
      <c r="K2298" s="201"/>
      <c r="L2298" s="201"/>
    </row>
    <row r="2299">
      <c r="A2299" s="200"/>
      <c r="B2299" s="201"/>
      <c r="C2299" s="201"/>
      <c r="D2299" s="201"/>
      <c r="E2299" s="201"/>
      <c r="F2299" s="201"/>
      <c r="G2299" s="201"/>
      <c r="H2299" s="203"/>
      <c r="I2299" s="201"/>
      <c r="J2299" s="204"/>
      <c r="K2299" s="201"/>
      <c r="L2299" s="201"/>
    </row>
    <row r="2300">
      <c r="A2300" s="200"/>
      <c r="B2300" s="201"/>
      <c r="C2300" s="201"/>
      <c r="D2300" s="201"/>
      <c r="E2300" s="201"/>
      <c r="F2300" s="201"/>
      <c r="G2300" s="201"/>
      <c r="H2300" s="203"/>
      <c r="I2300" s="201"/>
      <c r="J2300" s="204"/>
      <c r="K2300" s="201"/>
      <c r="L2300" s="201"/>
    </row>
    <row r="2301">
      <c r="A2301" s="200"/>
      <c r="B2301" s="201"/>
      <c r="C2301" s="201"/>
      <c r="D2301" s="201"/>
      <c r="E2301" s="201"/>
      <c r="F2301" s="201"/>
      <c r="G2301" s="201"/>
      <c r="H2301" s="203"/>
      <c r="I2301" s="201"/>
      <c r="J2301" s="204"/>
      <c r="K2301" s="201"/>
      <c r="L2301" s="201"/>
    </row>
    <row r="2302">
      <c r="A2302" s="200"/>
      <c r="B2302" s="201"/>
      <c r="C2302" s="201"/>
      <c r="D2302" s="201"/>
      <c r="E2302" s="201"/>
      <c r="F2302" s="201"/>
      <c r="G2302" s="201"/>
      <c r="H2302" s="203"/>
      <c r="I2302" s="201"/>
      <c r="J2302" s="204"/>
      <c r="K2302" s="201"/>
      <c r="L2302" s="201"/>
    </row>
    <row r="2303">
      <c r="A2303" s="200"/>
      <c r="B2303" s="201"/>
      <c r="C2303" s="201"/>
      <c r="D2303" s="201"/>
      <c r="E2303" s="201"/>
      <c r="F2303" s="201"/>
      <c r="G2303" s="201"/>
      <c r="H2303" s="203"/>
      <c r="I2303" s="201"/>
      <c r="J2303" s="204"/>
      <c r="K2303" s="201"/>
      <c r="L2303" s="201"/>
    </row>
    <row r="2304">
      <c r="A2304" s="200"/>
      <c r="B2304" s="201"/>
      <c r="C2304" s="201"/>
      <c r="D2304" s="201"/>
      <c r="E2304" s="201"/>
      <c r="F2304" s="201"/>
      <c r="G2304" s="201"/>
      <c r="H2304" s="203"/>
      <c r="I2304" s="201"/>
      <c r="J2304" s="204"/>
      <c r="K2304" s="201"/>
      <c r="L2304" s="201"/>
    </row>
    <row r="2305">
      <c r="A2305" s="200"/>
      <c r="B2305" s="201"/>
      <c r="C2305" s="201"/>
      <c r="D2305" s="201"/>
      <c r="E2305" s="201"/>
      <c r="F2305" s="201"/>
      <c r="G2305" s="201"/>
      <c r="H2305" s="203"/>
      <c r="I2305" s="201"/>
      <c r="J2305" s="204"/>
      <c r="K2305" s="201"/>
      <c r="L2305" s="201"/>
    </row>
    <row r="2306">
      <c r="A2306" s="200"/>
      <c r="B2306" s="201"/>
      <c r="C2306" s="201"/>
      <c r="D2306" s="201"/>
      <c r="E2306" s="201"/>
      <c r="F2306" s="201"/>
      <c r="G2306" s="201"/>
      <c r="H2306" s="203"/>
      <c r="I2306" s="201"/>
      <c r="J2306" s="204"/>
      <c r="K2306" s="201"/>
      <c r="L2306" s="201"/>
    </row>
    <row r="2307">
      <c r="A2307" s="200"/>
      <c r="B2307" s="201"/>
      <c r="C2307" s="201"/>
      <c r="D2307" s="201"/>
      <c r="E2307" s="201"/>
      <c r="F2307" s="201"/>
      <c r="G2307" s="201"/>
      <c r="H2307" s="203"/>
      <c r="I2307" s="201"/>
      <c r="J2307" s="204"/>
      <c r="K2307" s="201"/>
      <c r="L2307" s="201"/>
    </row>
    <row r="2308">
      <c r="A2308" s="200"/>
      <c r="B2308" s="201"/>
      <c r="C2308" s="201"/>
      <c r="D2308" s="201"/>
      <c r="E2308" s="201"/>
      <c r="F2308" s="201"/>
      <c r="G2308" s="201"/>
      <c r="H2308" s="203"/>
      <c r="I2308" s="201"/>
      <c r="J2308" s="204"/>
      <c r="K2308" s="201"/>
      <c r="L2308" s="201"/>
    </row>
    <row r="2309">
      <c r="A2309" s="200"/>
      <c r="B2309" s="201"/>
      <c r="C2309" s="201"/>
      <c r="D2309" s="201"/>
      <c r="E2309" s="201"/>
      <c r="F2309" s="201"/>
      <c r="G2309" s="201"/>
      <c r="H2309" s="203"/>
      <c r="I2309" s="201"/>
      <c r="J2309" s="204"/>
      <c r="K2309" s="201"/>
      <c r="L2309" s="201"/>
    </row>
    <row r="2310">
      <c r="A2310" s="200"/>
      <c r="B2310" s="201"/>
      <c r="C2310" s="201"/>
      <c r="D2310" s="201"/>
      <c r="E2310" s="201"/>
      <c r="F2310" s="201"/>
      <c r="G2310" s="201"/>
      <c r="H2310" s="203"/>
      <c r="I2310" s="201"/>
      <c r="J2310" s="204"/>
      <c r="K2310" s="201"/>
      <c r="L2310" s="201"/>
    </row>
    <row r="2311">
      <c r="A2311" s="200"/>
      <c r="B2311" s="201"/>
      <c r="C2311" s="201"/>
      <c r="D2311" s="201"/>
      <c r="E2311" s="201"/>
      <c r="F2311" s="201"/>
      <c r="G2311" s="201"/>
      <c r="H2311" s="203"/>
      <c r="I2311" s="201"/>
      <c r="J2311" s="204"/>
      <c r="K2311" s="201"/>
      <c r="L2311" s="201"/>
    </row>
    <row r="2312">
      <c r="A2312" s="200"/>
      <c r="B2312" s="201"/>
      <c r="C2312" s="201"/>
      <c r="D2312" s="201"/>
      <c r="E2312" s="201"/>
      <c r="F2312" s="201"/>
      <c r="G2312" s="201"/>
      <c r="H2312" s="203"/>
      <c r="I2312" s="201"/>
      <c r="J2312" s="204"/>
      <c r="K2312" s="201"/>
      <c r="L2312" s="201"/>
    </row>
    <row r="2313">
      <c r="A2313" s="200"/>
      <c r="B2313" s="201"/>
      <c r="C2313" s="201"/>
      <c r="D2313" s="201"/>
      <c r="E2313" s="201"/>
      <c r="F2313" s="201"/>
      <c r="G2313" s="201"/>
      <c r="H2313" s="203"/>
      <c r="I2313" s="201"/>
      <c r="J2313" s="204"/>
      <c r="K2313" s="201"/>
      <c r="L2313" s="201"/>
    </row>
    <row r="2314">
      <c r="A2314" s="200"/>
      <c r="B2314" s="201"/>
      <c r="C2314" s="201"/>
      <c r="D2314" s="201"/>
      <c r="E2314" s="201"/>
      <c r="F2314" s="201"/>
      <c r="G2314" s="201"/>
      <c r="H2314" s="203"/>
      <c r="I2314" s="201"/>
      <c r="J2314" s="204"/>
      <c r="K2314" s="201"/>
      <c r="L2314" s="201"/>
    </row>
    <row r="2315">
      <c r="A2315" s="200"/>
      <c r="B2315" s="201"/>
      <c r="C2315" s="201"/>
      <c r="D2315" s="201"/>
      <c r="E2315" s="201"/>
      <c r="F2315" s="201"/>
      <c r="G2315" s="201"/>
      <c r="H2315" s="203"/>
      <c r="I2315" s="201"/>
      <c r="J2315" s="204"/>
      <c r="K2315" s="201"/>
      <c r="L2315" s="201"/>
    </row>
    <row r="2316">
      <c r="A2316" s="200"/>
      <c r="B2316" s="201"/>
      <c r="C2316" s="201"/>
      <c r="D2316" s="201"/>
      <c r="E2316" s="201"/>
      <c r="F2316" s="201"/>
      <c r="G2316" s="201"/>
      <c r="H2316" s="203"/>
      <c r="I2316" s="201"/>
      <c r="J2316" s="204"/>
      <c r="K2316" s="201"/>
      <c r="L2316" s="201"/>
    </row>
    <row r="2317">
      <c r="A2317" s="200"/>
      <c r="B2317" s="201"/>
      <c r="C2317" s="201"/>
      <c r="D2317" s="201"/>
      <c r="E2317" s="201"/>
      <c r="F2317" s="201"/>
      <c r="G2317" s="201"/>
      <c r="H2317" s="203"/>
      <c r="I2317" s="201"/>
      <c r="J2317" s="204"/>
      <c r="K2317" s="201"/>
      <c r="L2317" s="201"/>
    </row>
    <row r="2318">
      <c r="A2318" s="200"/>
      <c r="B2318" s="201"/>
      <c r="C2318" s="201"/>
      <c r="D2318" s="201"/>
      <c r="E2318" s="201"/>
      <c r="F2318" s="201"/>
      <c r="G2318" s="201"/>
      <c r="H2318" s="203"/>
      <c r="I2318" s="201"/>
      <c r="J2318" s="204"/>
      <c r="K2318" s="201"/>
      <c r="L2318" s="201"/>
    </row>
    <row r="2319">
      <c r="A2319" s="200"/>
      <c r="B2319" s="201"/>
      <c r="C2319" s="201"/>
      <c r="D2319" s="201"/>
      <c r="E2319" s="201"/>
      <c r="F2319" s="201"/>
      <c r="G2319" s="201"/>
      <c r="H2319" s="203"/>
      <c r="I2319" s="201"/>
      <c r="J2319" s="204"/>
      <c r="K2319" s="201"/>
      <c r="L2319" s="201"/>
    </row>
    <row r="2320">
      <c r="A2320" s="200"/>
      <c r="B2320" s="201"/>
      <c r="C2320" s="201"/>
      <c r="D2320" s="201"/>
      <c r="E2320" s="201"/>
      <c r="F2320" s="201"/>
      <c r="G2320" s="201"/>
      <c r="H2320" s="203"/>
      <c r="I2320" s="201"/>
      <c r="J2320" s="204"/>
      <c r="K2320" s="201"/>
      <c r="L2320" s="201"/>
    </row>
    <row r="2321">
      <c r="A2321" s="200"/>
      <c r="B2321" s="201"/>
      <c r="C2321" s="201"/>
      <c r="D2321" s="201"/>
      <c r="E2321" s="201"/>
      <c r="F2321" s="201"/>
      <c r="G2321" s="201"/>
      <c r="H2321" s="203"/>
      <c r="I2321" s="201"/>
      <c r="J2321" s="204"/>
      <c r="K2321" s="201"/>
      <c r="L2321" s="201"/>
    </row>
    <row r="2322">
      <c r="A2322" s="200"/>
      <c r="B2322" s="201"/>
      <c r="C2322" s="201"/>
      <c r="D2322" s="201"/>
      <c r="E2322" s="201"/>
      <c r="F2322" s="201"/>
      <c r="G2322" s="201"/>
      <c r="H2322" s="203"/>
      <c r="I2322" s="201"/>
      <c r="J2322" s="204"/>
      <c r="K2322" s="201"/>
      <c r="L2322" s="201"/>
    </row>
    <row r="2323">
      <c r="A2323" s="200"/>
      <c r="B2323" s="201"/>
      <c r="C2323" s="201"/>
      <c r="D2323" s="201"/>
      <c r="E2323" s="201"/>
      <c r="F2323" s="201"/>
      <c r="G2323" s="201"/>
      <c r="H2323" s="203"/>
      <c r="I2323" s="201"/>
      <c r="J2323" s="204"/>
      <c r="K2323" s="201"/>
      <c r="L2323" s="201"/>
    </row>
    <row r="2324">
      <c r="A2324" s="200"/>
      <c r="B2324" s="201"/>
      <c r="C2324" s="201"/>
      <c r="D2324" s="201"/>
      <c r="E2324" s="201"/>
      <c r="F2324" s="201"/>
      <c r="G2324" s="201"/>
      <c r="H2324" s="203"/>
      <c r="I2324" s="201"/>
      <c r="J2324" s="204"/>
      <c r="K2324" s="201"/>
      <c r="L2324" s="201"/>
    </row>
    <row r="2325">
      <c r="A2325" s="200"/>
      <c r="B2325" s="201"/>
      <c r="C2325" s="201"/>
      <c r="D2325" s="201"/>
      <c r="E2325" s="201"/>
      <c r="F2325" s="201"/>
      <c r="G2325" s="201"/>
      <c r="H2325" s="203"/>
      <c r="I2325" s="201"/>
      <c r="J2325" s="204"/>
      <c r="K2325" s="201"/>
      <c r="L2325" s="201"/>
    </row>
    <row r="2326">
      <c r="A2326" s="200"/>
      <c r="B2326" s="201"/>
      <c r="C2326" s="201"/>
      <c r="D2326" s="201"/>
      <c r="E2326" s="201"/>
      <c r="F2326" s="201"/>
      <c r="G2326" s="201"/>
      <c r="H2326" s="203"/>
      <c r="I2326" s="201"/>
      <c r="J2326" s="204"/>
      <c r="K2326" s="201"/>
      <c r="L2326" s="201"/>
    </row>
    <row r="2327">
      <c r="A2327" s="200"/>
      <c r="B2327" s="201"/>
      <c r="C2327" s="201"/>
      <c r="D2327" s="201"/>
      <c r="E2327" s="201"/>
      <c r="F2327" s="201"/>
      <c r="G2327" s="201"/>
      <c r="H2327" s="203"/>
      <c r="I2327" s="201"/>
      <c r="J2327" s="204"/>
      <c r="K2327" s="201"/>
      <c r="L2327" s="201"/>
    </row>
    <row r="2328">
      <c r="A2328" s="200"/>
      <c r="B2328" s="201"/>
      <c r="C2328" s="201"/>
      <c r="D2328" s="201"/>
      <c r="E2328" s="201"/>
      <c r="F2328" s="201"/>
      <c r="G2328" s="201"/>
      <c r="H2328" s="203"/>
      <c r="I2328" s="201"/>
      <c r="J2328" s="204"/>
      <c r="K2328" s="201"/>
      <c r="L2328" s="201"/>
    </row>
    <row r="2329">
      <c r="A2329" s="200"/>
      <c r="B2329" s="201"/>
      <c r="C2329" s="201"/>
      <c r="D2329" s="201"/>
      <c r="E2329" s="201"/>
      <c r="F2329" s="201"/>
      <c r="G2329" s="201"/>
      <c r="H2329" s="203"/>
      <c r="I2329" s="201"/>
      <c r="J2329" s="204"/>
      <c r="K2329" s="201"/>
      <c r="L2329" s="201"/>
    </row>
    <row r="2330">
      <c r="A2330" s="200"/>
      <c r="B2330" s="201"/>
      <c r="C2330" s="201"/>
      <c r="D2330" s="201"/>
      <c r="E2330" s="201"/>
      <c r="F2330" s="201"/>
      <c r="G2330" s="201"/>
      <c r="H2330" s="203"/>
      <c r="I2330" s="201"/>
      <c r="J2330" s="204"/>
      <c r="K2330" s="201"/>
      <c r="L2330" s="201"/>
    </row>
    <row r="2331">
      <c r="A2331" s="200"/>
      <c r="B2331" s="201"/>
      <c r="C2331" s="201"/>
      <c r="D2331" s="201"/>
      <c r="E2331" s="201"/>
      <c r="F2331" s="201"/>
      <c r="G2331" s="201"/>
      <c r="H2331" s="203"/>
      <c r="I2331" s="201"/>
      <c r="J2331" s="204"/>
      <c r="K2331" s="201"/>
      <c r="L2331" s="201"/>
    </row>
    <row r="2332">
      <c r="A2332" s="200"/>
      <c r="B2332" s="201"/>
      <c r="C2332" s="201"/>
      <c r="D2332" s="201"/>
      <c r="E2332" s="201"/>
      <c r="F2332" s="201"/>
      <c r="G2332" s="201"/>
      <c r="H2332" s="203"/>
      <c r="I2332" s="201"/>
      <c r="J2332" s="204"/>
      <c r="K2332" s="201"/>
      <c r="L2332" s="201"/>
    </row>
    <row r="2333">
      <c r="A2333" s="200"/>
      <c r="B2333" s="201"/>
      <c r="C2333" s="201"/>
      <c r="D2333" s="201"/>
      <c r="E2333" s="201"/>
      <c r="F2333" s="201"/>
      <c r="G2333" s="201"/>
      <c r="H2333" s="203"/>
      <c r="I2333" s="201"/>
      <c r="J2333" s="204"/>
      <c r="K2333" s="201"/>
      <c r="L2333" s="201"/>
    </row>
    <row r="2334">
      <c r="A2334" s="200"/>
      <c r="B2334" s="201"/>
      <c r="C2334" s="201"/>
      <c r="D2334" s="201"/>
      <c r="E2334" s="201"/>
      <c r="F2334" s="201"/>
      <c r="G2334" s="201"/>
      <c r="H2334" s="203"/>
      <c r="I2334" s="201"/>
      <c r="J2334" s="204"/>
      <c r="K2334" s="201"/>
      <c r="L2334" s="201"/>
    </row>
    <row r="2335">
      <c r="A2335" s="200"/>
      <c r="B2335" s="201"/>
      <c r="C2335" s="201"/>
      <c r="D2335" s="201"/>
      <c r="E2335" s="201"/>
      <c r="F2335" s="201"/>
      <c r="G2335" s="201"/>
      <c r="H2335" s="203"/>
      <c r="I2335" s="201"/>
      <c r="J2335" s="204"/>
      <c r="K2335" s="201"/>
      <c r="L2335" s="201"/>
    </row>
    <row r="2336">
      <c r="A2336" s="200"/>
      <c r="B2336" s="201"/>
      <c r="C2336" s="201"/>
      <c r="D2336" s="201"/>
      <c r="E2336" s="201"/>
      <c r="F2336" s="201"/>
      <c r="G2336" s="201"/>
      <c r="H2336" s="203"/>
      <c r="I2336" s="201"/>
      <c r="J2336" s="204"/>
      <c r="K2336" s="201"/>
      <c r="L2336" s="201"/>
    </row>
    <row r="2337">
      <c r="A2337" s="200"/>
      <c r="B2337" s="201"/>
      <c r="C2337" s="201"/>
      <c r="D2337" s="201"/>
      <c r="E2337" s="201"/>
      <c r="F2337" s="201"/>
      <c r="G2337" s="201"/>
      <c r="H2337" s="203"/>
      <c r="I2337" s="201"/>
      <c r="J2337" s="204"/>
      <c r="K2337" s="201"/>
      <c r="L2337" s="201"/>
    </row>
    <row r="2338">
      <c r="A2338" s="200"/>
      <c r="B2338" s="201"/>
      <c r="C2338" s="201"/>
      <c r="D2338" s="201"/>
      <c r="E2338" s="201"/>
      <c r="F2338" s="201"/>
      <c r="G2338" s="201"/>
      <c r="H2338" s="203"/>
      <c r="I2338" s="201"/>
      <c r="J2338" s="204"/>
      <c r="K2338" s="201"/>
      <c r="L2338" s="201"/>
    </row>
    <row r="2339">
      <c r="A2339" s="200"/>
      <c r="B2339" s="201"/>
      <c r="C2339" s="201"/>
      <c r="D2339" s="201"/>
      <c r="E2339" s="201"/>
      <c r="F2339" s="201"/>
      <c r="G2339" s="201"/>
      <c r="H2339" s="203"/>
      <c r="I2339" s="201"/>
      <c r="J2339" s="204"/>
      <c r="K2339" s="201"/>
      <c r="L2339" s="201"/>
    </row>
    <row r="2340">
      <c r="A2340" s="200"/>
      <c r="B2340" s="201"/>
      <c r="C2340" s="201"/>
      <c r="D2340" s="201"/>
      <c r="E2340" s="201"/>
      <c r="F2340" s="201"/>
      <c r="G2340" s="201"/>
      <c r="H2340" s="203"/>
      <c r="I2340" s="201"/>
      <c r="J2340" s="204"/>
      <c r="K2340" s="201"/>
      <c r="L2340" s="201"/>
    </row>
    <row r="2341">
      <c r="A2341" s="200"/>
      <c r="B2341" s="201"/>
      <c r="C2341" s="201"/>
      <c r="D2341" s="201"/>
      <c r="E2341" s="201"/>
      <c r="F2341" s="201"/>
      <c r="G2341" s="201"/>
      <c r="H2341" s="203"/>
      <c r="I2341" s="201"/>
      <c r="J2341" s="204"/>
      <c r="K2341" s="201"/>
      <c r="L2341" s="201"/>
    </row>
    <row r="2342">
      <c r="A2342" s="200"/>
      <c r="B2342" s="201"/>
      <c r="C2342" s="201"/>
      <c r="D2342" s="201"/>
      <c r="E2342" s="201"/>
      <c r="F2342" s="201"/>
      <c r="G2342" s="201"/>
      <c r="H2342" s="203"/>
      <c r="I2342" s="201"/>
      <c r="J2342" s="204"/>
      <c r="K2342" s="201"/>
      <c r="L2342" s="201"/>
    </row>
    <row r="2343">
      <c r="A2343" s="200"/>
      <c r="B2343" s="201"/>
      <c r="C2343" s="201"/>
      <c r="D2343" s="201"/>
      <c r="E2343" s="201"/>
      <c r="F2343" s="201"/>
      <c r="G2343" s="201"/>
      <c r="H2343" s="203"/>
      <c r="I2343" s="201"/>
      <c r="J2343" s="204"/>
      <c r="K2343" s="201"/>
      <c r="L2343" s="201"/>
    </row>
    <row r="2344">
      <c r="A2344" s="200"/>
      <c r="B2344" s="201"/>
      <c r="C2344" s="201"/>
      <c r="D2344" s="201"/>
      <c r="E2344" s="201"/>
      <c r="F2344" s="201"/>
      <c r="G2344" s="201"/>
      <c r="H2344" s="203"/>
      <c r="I2344" s="201"/>
      <c r="J2344" s="204"/>
      <c r="K2344" s="201"/>
      <c r="L2344" s="201"/>
    </row>
    <row r="2345">
      <c r="A2345" s="200"/>
      <c r="B2345" s="201"/>
      <c r="C2345" s="201"/>
      <c r="D2345" s="201"/>
      <c r="E2345" s="201"/>
      <c r="F2345" s="201"/>
      <c r="G2345" s="201"/>
      <c r="H2345" s="203"/>
      <c r="I2345" s="201"/>
      <c r="J2345" s="204"/>
      <c r="K2345" s="201"/>
      <c r="L2345" s="201"/>
    </row>
    <row r="2346">
      <c r="A2346" s="200"/>
      <c r="B2346" s="201"/>
      <c r="C2346" s="201"/>
      <c r="D2346" s="201"/>
      <c r="E2346" s="201"/>
      <c r="F2346" s="201"/>
      <c r="G2346" s="201"/>
      <c r="H2346" s="203"/>
      <c r="I2346" s="201"/>
      <c r="J2346" s="204"/>
      <c r="K2346" s="201"/>
      <c r="L2346" s="201"/>
    </row>
    <row r="2347">
      <c r="A2347" s="200"/>
      <c r="B2347" s="201"/>
      <c r="C2347" s="201"/>
      <c r="D2347" s="201"/>
      <c r="E2347" s="201"/>
      <c r="F2347" s="201"/>
      <c r="G2347" s="201"/>
      <c r="H2347" s="203"/>
      <c r="I2347" s="201"/>
      <c r="J2347" s="204"/>
      <c r="K2347" s="201"/>
      <c r="L2347" s="201"/>
    </row>
    <row r="2348">
      <c r="A2348" s="200"/>
      <c r="B2348" s="201"/>
      <c r="C2348" s="201"/>
      <c r="D2348" s="201"/>
      <c r="E2348" s="201"/>
      <c r="F2348" s="201"/>
      <c r="G2348" s="201"/>
      <c r="H2348" s="203"/>
      <c r="I2348" s="201"/>
      <c r="J2348" s="204"/>
      <c r="K2348" s="201"/>
      <c r="L2348" s="201"/>
    </row>
    <row r="2349">
      <c r="A2349" s="200"/>
      <c r="B2349" s="201"/>
      <c r="C2349" s="201"/>
      <c r="D2349" s="201"/>
      <c r="E2349" s="201"/>
      <c r="F2349" s="201"/>
      <c r="G2349" s="201"/>
      <c r="H2349" s="203"/>
      <c r="I2349" s="201"/>
      <c r="J2349" s="204"/>
      <c r="K2349" s="201"/>
      <c r="L2349" s="201"/>
    </row>
    <row r="2350">
      <c r="A2350" s="200"/>
      <c r="B2350" s="201"/>
      <c r="C2350" s="201"/>
      <c r="D2350" s="201"/>
      <c r="E2350" s="201"/>
      <c r="F2350" s="201"/>
      <c r="G2350" s="201"/>
      <c r="H2350" s="203"/>
      <c r="I2350" s="201"/>
      <c r="J2350" s="204"/>
      <c r="K2350" s="201"/>
      <c r="L2350" s="201"/>
    </row>
    <row r="2351">
      <c r="A2351" s="200"/>
      <c r="B2351" s="201"/>
      <c r="C2351" s="201"/>
      <c r="D2351" s="201"/>
      <c r="E2351" s="201"/>
      <c r="F2351" s="201"/>
      <c r="G2351" s="201"/>
      <c r="H2351" s="203"/>
      <c r="I2351" s="201"/>
      <c r="J2351" s="204"/>
      <c r="K2351" s="201"/>
      <c r="L2351" s="201"/>
    </row>
    <row r="2352">
      <c r="A2352" s="200"/>
      <c r="B2352" s="201"/>
      <c r="C2352" s="201"/>
      <c r="D2352" s="201"/>
      <c r="E2352" s="201"/>
      <c r="F2352" s="201"/>
      <c r="G2352" s="201"/>
      <c r="H2352" s="203"/>
      <c r="I2352" s="201"/>
      <c r="J2352" s="204"/>
      <c r="K2352" s="201"/>
      <c r="L2352" s="201"/>
    </row>
    <row r="2353">
      <c r="A2353" s="200"/>
      <c r="B2353" s="201"/>
      <c r="C2353" s="201"/>
      <c r="D2353" s="201"/>
      <c r="E2353" s="201"/>
      <c r="F2353" s="201"/>
      <c r="G2353" s="201"/>
      <c r="H2353" s="203"/>
      <c r="I2353" s="201"/>
      <c r="J2353" s="204"/>
      <c r="K2353" s="201"/>
      <c r="L2353" s="201"/>
    </row>
    <row r="2354">
      <c r="A2354" s="200"/>
      <c r="B2354" s="201"/>
      <c r="C2354" s="201"/>
      <c r="D2354" s="201"/>
      <c r="E2354" s="201"/>
      <c r="F2354" s="201"/>
      <c r="G2354" s="201"/>
      <c r="H2354" s="203"/>
      <c r="I2354" s="201"/>
      <c r="J2354" s="204"/>
      <c r="K2354" s="201"/>
      <c r="L2354" s="201"/>
    </row>
    <row r="2355">
      <c r="A2355" s="200"/>
      <c r="B2355" s="201"/>
      <c r="C2355" s="201"/>
      <c r="D2355" s="201"/>
      <c r="E2355" s="201"/>
      <c r="F2355" s="201"/>
      <c r="G2355" s="201"/>
      <c r="H2355" s="203"/>
      <c r="I2355" s="201"/>
      <c r="J2355" s="204"/>
      <c r="K2355" s="201"/>
      <c r="L2355" s="201"/>
    </row>
    <row r="2356">
      <c r="A2356" s="200"/>
      <c r="B2356" s="201"/>
      <c r="C2356" s="201"/>
      <c r="D2356" s="201"/>
      <c r="E2356" s="201"/>
      <c r="F2356" s="201"/>
      <c r="G2356" s="201"/>
      <c r="H2356" s="203"/>
      <c r="I2356" s="201"/>
      <c r="J2356" s="204"/>
      <c r="K2356" s="201"/>
      <c r="L2356" s="201"/>
    </row>
    <row r="2357">
      <c r="A2357" s="200"/>
      <c r="B2357" s="201"/>
      <c r="C2357" s="201"/>
      <c r="D2357" s="201"/>
      <c r="E2357" s="201"/>
      <c r="F2357" s="201"/>
      <c r="G2357" s="201"/>
      <c r="H2357" s="203"/>
      <c r="I2357" s="201"/>
      <c r="J2357" s="204"/>
      <c r="K2357" s="201"/>
      <c r="L2357" s="201"/>
    </row>
    <row r="2358">
      <c r="A2358" s="200"/>
      <c r="B2358" s="201"/>
      <c r="C2358" s="201"/>
      <c r="D2358" s="201"/>
      <c r="E2358" s="201"/>
      <c r="F2358" s="201"/>
      <c r="G2358" s="201"/>
      <c r="H2358" s="203"/>
      <c r="I2358" s="201"/>
      <c r="J2358" s="204"/>
      <c r="K2358" s="201"/>
      <c r="L2358" s="201"/>
    </row>
    <row r="2359">
      <c r="A2359" s="200"/>
      <c r="B2359" s="201"/>
      <c r="C2359" s="201"/>
      <c r="D2359" s="201"/>
      <c r="E2359" s="201"/>
      <c r="F2359" s="201"/>
      <c r="G2359" s="201"/>
      <c r="H2359" s="203"/>
      <c r="I2359" s="201"/>
      <c r="J2359" s="204"/>
      <c r="K2359" s="201"/>
      <c r="L2359" s="201"/>
    </row>
    <row r="2360">
      <c r="A2360" s="200"/>
      <c r="B2360" s="201"/>
      <c r="C2360" s="201"/>
      <c r="D2360" s="201"/>
      <c r="E2360" s="201"/>
      <c r="F2360" s="201"/>
      <c r="G2360" s="201"/>
      <c r="H2360" s="203"/>
      <c r="I2360" s="201"/>
      <c r="J2360" s="204"/>
      <c r="K2360" s="201"/>
      <c r="L2360" s="201"/>
    </row>
    <row r="2361">
      <c r="A2361" s="200"/>
      <c r="B2361" s="201"/>
      <c r="C2361" s="201"/>
      <c r="D2361" s="201"/>
      <c r="E2361" s="201"/>
      <c r="F2361" s="201"/>
      <c r="G2361" s="201"/>
      <c r="H2361" s="203"/>
      <c r="I2361" s="201"/>
      <c r="J2361" s="204"/>
      <c r="K2361" s="201"/>
      <c r="L2361" s="201"/>
    </row>
    <row r="2362">
      <c r="A2362" s="200"/>
      <c r="B2362" s="201"/>
      <c r="C2362" s="201"/>
      <c r="D2362" s="201"/>
      <c r="E2362" s="201"/>
      <c r="F2362" s="201"/>
      <c r="G2362" s="201"/>
      <c r="H2362" s="203"/>
      <c r="I2362" s="201"/>
      <c r="J2362" s="204"/>
      <c r="K2362" s="201"/>
      <c r="L2362" s="201"/>
    </row>
    <row r="2363">
      <c r="A2363" s="200"/>
      <c r="B2363" s="201"/>
      <c r="C2363" s="201"/>
      <c r="D2363" s="201"/>
      <c r="E2363" s="201"/>
      <c r="F2363" s="201"/>
      <c r="G2363" s="201"/>
      <c r="H2363" s="203"/>
      <c r="I2363" s="201"/>
      <c r="J2363" s="204"/>
      <c r="K2363" s="201"/>
      <c r="L2363" s="201"/>
    </row>
    <row r="2364">
      <c r="A2364" s="200"/>
      <c r="B2364" s="201"/>
      <c r="C2364" s="201"/>
      <c r="D2364" s="201"/>
      <c r="E2364" s="201"/>
      <c r="F2364" s="201"/>
      <c r="G2364" s="201"/>
      <c r="H2364" s="203"/>
      <c r="I2364" s="201"/>
      <c r="J2364" s="204"/>
      <c r="K2364" s="201"/>
      <c r="L2364" s="201"/>
    </row>
    <row r="2365">
      <c r="A2365" s="200"/>
      <c r="B2365" s="201"/>
      <c r="C2365" s="201"/>
      <c r="D2365" s="201"/>
      <c r="E2365" s="201"/>
      <c r="F2365" s="201"/>
      <c r="G2365" s="201"/>
      <c r="H2365" s="203"/>
      <c r="I2365" s="201"/>
      <c r="J2365" s="204"/>
      <c r="K2365" s="201"/>
      <c r="L2365" s="201"/>
    </row>
    <row r="2366">
      <c r="A2366" s="200"/>
      <c r="B2366" s="201"/>
      <c r="C2366" s="201"/>
      <c r="D2366" s="201"/>
      <c r="E2366" s="201"/>
      <c r="F2366" s="201"/>
      <c r="G2366" s="201"/>
      <c r="H2366" s="203"/>
      <c r="I2366" s="201"/>
      <c r="J2366" s="204"/>
      <c r="K2366" s="201"/>
      <c r="L2366" s="201"/>
    </row>
    <row r="2367">
      <c r="A2367" s="200"/>
      <c r="B2367" s="201"/>
      <c r="C2367" s="201"/>
      <c r="D2367" s="201"/>
      <c r="E2367" s="201"/>
      <c r="F2367" s="201"/>
      <c r="G2367" s="201"/>
      <c r="H2367" s="203"/>
      <c r="I2367" s="201"/>
      <c r="J2367" s="204"/>
      <c r="K2367" s="201"/>
      <c r="L2367" s="201"/>
    </row>
    <row r="2368">
      <c r="A2368" s="200"/>
      <c r="B2368" s="201"/>
      <c r="C2368" s="201"/>
      <c r="D2368" s="201"/>
      <c r="E2368" s="201"/>
      <c r="F2368" s="201"/>
      <c r="G2368" s="201"/>
      <c r="H2368" s="203"/>
      <c r="I2368" s="201"/>
      <c r="J2368" s="204"/>
      <c r="K2368" s="201"/>
      <c r="L2368" s="201"/>
    </row>
    <row r="2369">
      <c r="A2369" s="200"/>
      <c r="B2369" s="201"/>
      <c r="C2369" s="201"/>
      <c r="D2369" s="201"/>
      <c r="E2369" s="201"/>
      <c r="F2369" s="201"/>
      <c r="G2369" s="201"/>
      <c r="H2369" s="203"/>
      <c r="I2369" s="201"/>
      <c r="J2369" s="204"/>
      <c r="K2369" s="201"/>
      <c r="L2369" s="201"/>
    </row>
    <row r="2370">
      <c r="A2370" s="200"/>
      <c r="B2370" s="201"/>
      <c r="C2370" s="201"/>
      <c r="D2370" s="201"/>
      <c r="E2370" s="201"/>
      <c r="F2370" s="201"/>
      <c r="G2370" s="201"/>
      <c r="H2370" s="203"/>
      <c r="I2370" s="201"/>
      <c r="J2370" s="204"/>
      <c r="K2370" s="201"/>
      <c r="L2370" s="201"/>
    </row>
    <row r="2371">
      <c r="A2371" s="200"/>
      <c r="B2371" s="201"/>
      <c r="C2371" s="201"/>
      <c r="D2371" s="201"/>
      <c r="E2371" s="201"/>
      <c r="F2371" s="201"/>
      <c r="G2371" s="201"/>
      <c r="H2371" s="203"/>
      <c r="I2371" s="201"/>
      <c r="J2371" s="204"/>
      <c r="K2371" s="201"/>
      <c r="L2371" s="201"/>
    </row>
    <row r="2372">
      <c r="A2372" s="200"/>
      <c r="B2372" s="201"/>
      <c r="C2372" s="201"/>
      <c r="D2372" s="201"/>
      <c r="E2372" s="201"/>
      <c r="F2372" s="201"/>
      <c r="G2372" s="201"/>
      <c r="H2372" s="203"/>
      <c r="I2372" s="201"/>
      <c r="J2372" s="204"/>
      <c r="K2372" s="201"/>
      <c r="L2372" s="201"/>
    </row>
    <row r="2373">
      <c r="A2373" s="200"/>
      <c r="B2373" s="201"/>
      <c r="C2373" s="201"/>
      <c r="D2373" s="201"/>
      <c r="E2373" s="201"/>
      <c r="F2373" s="201"/>
      <c r="G2373" s="201"/>
      <c r="H2373" s="203"/>
      <c r="I2373" s="201"/>
      <c r="J2373" s="204"/>
      <c r="K2373" s="201"/>
      <c r="L2373" s="201"/>
    </row>
    <row r="2374">
      <c r="A2374" s="200"/>
      <c r="B2374" s="201"/>
      <c r="C2374" s="201"/>
      <c r="D2374" s="201"/>
      <c r="E2374" s="201"/>
      <c r="F2374" s="201"/>
      <c r="G2374" s="201"/>
      <c r="H2374" s="203"/>
      <c r="I2374" s="201"/>
      <c r="J2374" s="204"/>
      <c r="K2374" s="201"/>
      <c r="L2374" s="201"/>
    </row>
    <row r="2375">
      <c r="A2375" s="200"/>
      <c r="B2375" s="201"/>
      <c r="C2375" s="201"/>
      <c r="D2375" s="201"/>
      <c r="E2375" s="201"/>
      <c r="F2375" s="201"/>
      <c r="G2375" s="201"/>
      <c r="H2375" s="203"/>
      <c r="I2375" s="201"/>
      <c r="J2375" s="204"/>
      <c r="K2375" s="201"/>
      <c r="L2375" s="201"/>
    </row>
    <row r="2376">
      <c r="A2376" s="200"/>
      <c r="B2376" s="201"/>
      <c r="C2376" s="201"/>
      <c r="D2376" s="201"/>
      <c r="E2376" s="201"/>
      <c r="F2376" s="201"/>
      <c r="G2376" s="201"/>
      <c r="H2376" s="203"/>
      <c r="I2376" s="201"/>
      <c r="J2376" s="204"/>
      <c r="K2376" s="201"/>
      <c r="L2376" s="201"/>
    </row>
    <row r="2377">
      <c r="A2377" s="200"/>
      <c r="B2377" s="201"/>
      <c r="C2377" s="201"/>
      <c r="D2377" s="201"/>
      <c r="E2377" s="201"/>
      <c r="F2377" s="201"/>
      <c r="G2377" s="201"/>
      <c r="H2377" s="203"/>
      <c r="I2377" s="201"/>
      <c r="J2377" s="204"/>
      <c r="K2377" s="201"/>
      <c r="L2377" s="201"/>
    </row>
    <row r="2378">
      <c r="A2378" s="200"/>
      <c r="B2378" s="201"/>
      <c r="C2378" s="201"/>
      <c r="D2378" s="201"/>
      <c r="E2378" s="201"/>
      <c r="F2378" s="201"/>
      <c r="G2378" s="201"/>
      <c r="H2378" s="203"/>
      <c r="I2378" s="201"/>
      <c r="J2378" s="204"/>
      <c r="K2378" s="201"/>
      <c r="L2378" s="201"/>
    </row>
    <row r="2379">
      <c r="A2379" s="200"/>
      <c r="B2379" s="201"/>
      <c r="C2379" s="201"/>
      <c r="D2379" s="201"/>
      <c r="E2379" s="201"/>
      <c r="F2379" s="201"/>
      <c r="G2379" s="201"/>
      <c r="H2379" s="203"/>
      <c r="I2379" s="201"/>
      <c r="J2379" s="204"/>
      <c r="K2379" s="201"/>
      <c r="L2379" s="201"/>
    </row>
    <row r="2380">
      <c r="A2380" s="200"/>
      <c r="B2380" s="201"/>
      <c r="C2380" s="201"/>
      <c r="D2380" s="201"/>
      <c r="E2380" s="201"/>
      <c r="F2380" s="201"/>
      <c r="G2380" s="201"/>
      <c r="H2380" s="203"/>
      <c r="I2380" s="201"/>
      <c r="J2380" s="204"/>
      <c r="K2380" s="201"/>
      <c r="L2380" s="201"/>
    </row>
    <row r="2381">
      <c r="A2381" s="200"/>
      <c r="B2381" s="201"/>
      <c r="C2381" s="201"/>
      <c r="D2381" s="201"/>
      <c r="E2381" s="201"/>
      <c r="F2381" s="201"/>
      <c r="G2381" s="201"/>
      <c r="H2381" s="203"/>
      <c r="I2381" s="201"/>
      <c r="J2381" s="204"/>
      <c r="K2381" s="201"/>
      <c r="L2381" s="201"/>
    </row>
    <row r="2382">
      <c r="A2382" s="200"/>
      <c r="B2382" s="201"/>
      <c r="C2382" s="201"/>
      <c r="D2382" s="201"/>
      <c r="E2382" s="201"/>
      <c r="F2382" s="201"/>
      <c r="G2382" s="201"/>
      <c r="H2382" s="203"/>
      <c r="I2382" s="201"/>
      <c r="J2382" s="204"/>
      <c r="K2382" s="201"/>
      <c r="L2382" s="201"/>
    </row>
    <row r="2383">
      <c r="A2383" s="200"/>
      <c r="B2383" s="201"/>
      <c r="C2383" s="201"/>
      <c r="D2383" s="201"/>
      <c r="E2383" s="201"/>
      <c r="F2383" s="201"/>
      <c r="G2383" s="201"/>
      <c r="H2383" s="203"/>
      <c r="I2383" s="201"/>
      <c r="J2383" s="204"/>
      <c r="K2383" s="201"/>
      <c r="L2383" s="201"/>
    </row>
    <row r="2384">
      <c r="A2384" s="200"/>
      <c r="B2384" s="201"/>
      <c r="C2384" s="201"/>
      <c r="D2384" s="201"/>
      <c r="E2384" s="201"/>
      <c r="F2384" s="201"/>
      <c r="G2384" s="201"/>
      <c r="H2384" s="203"/>
      <c r="I2384" s="201"/>
      <c r="J2384" s="204"/>
      <c r="K2384" s="201"/>
      <c r="L2384" s="201"/>
    </row>
    <row r="2385">
      <c r="A2385" s="200"/>
      <c r="B2385" s="201"/>
      <c r="C2385" s="201"/>
      <c r="D2385" s="201"/>
      <c r="E2385" s="201"/>
      <c r="F2385" s="201"/>
      <c r="G2385" s="201"/>
      <c r="H2385" s="203"/>
      <c r="I2385" s="201"/>
      <c r="J2385" s="204"/>
      <c r="K2385" s="201"/>
      <c r="L2385" s="201"/>
    </row>
    <row r="2386">
      <c r="A2386" s="200"/>
      <c r="B2386" s="201"/>
      <c r="C2386" s="201"/>
      <c r="D2386" s="201"/>
      <c r="E2386" s="201"/>
      <c r="F2386" s="201"/>
      <c r="G2386" s="201"/>
      <c r="H2386" s="203"/>
      <c r="I2386" s="201"/>
      <c r="J2386" s="204"/>
      <c r="K2386" s="201"/>
      <c r="L2386" s="201"/>
    </row>
    <row r="2387">
      <c r="A2387" s="200"/>
      <c r="B2387" s="201"/>
      <c r="C2387" s="201"/>
      <c r="D2387" s="201"/>
      <c r="E2387" s="201"/>
      <c r="F2387" s="201"/>
      <c r="G2387" s="201"/>
      <c r="H2387" s="203"/>
      <c r="I2387" s="201"/>
      <c r="J2387" s="204"/>
      <c r="K2387" s="201"/>
      <c r="L2387" s="201"/>
    </row>
    <row r="2388">
      <c r="A2388" s="200"/>
      <c r="B2388" s="201"/>
      <c r="C2388" s="201"/>
      <c r="D2388" s="201"/>
      <c r="E2388" s="201"/>
      <c r="F2388" s="201"/>
      <c r="G2388" s="201"/>
      <c r="H2388" s="203"/>
      <c r="I2388" s="201"/>
      <c r="J2388" s="204"/>
      <c r="K2388" s="201"/>
      <c r="L2388" s="201"/>
    </row>
    <row r="2389">
      <c r="A2389" s="200"/>
      <c r="B2389" s="201"/>
      <c r="C2389" s="201"/>
      <c r="D2389" s="201"/>
      <c r="E2389" s="201"/>
      <c r="F2389" s="201"/>
      <c r="G2389" s="201"/>
      <c r="H2389" s="203"/>
      <c r="I2389" s="201"/>
      <c r="J2389" s="204"/>
      <c r="K2389" s="201"/>
      <c r="L2389" s="201"/>
    </row>
    <row r="2390">
      <c r="A2390" s="200"/>
      <c r="B2390" s="201"/>
      <c r="C2390" s="201"/>
      <c r="D2390" s="201"/>
      <c r="E2390" s="201"/>
      <c r="F2390" s="201"/>
      <c r="G2390" s="201"/>
      <c r="H2390" s="203"/>
      <c r="I2390" s="201"/>
      <c r="J2390" s="204"/>
      <c r="K2390" s="201"/>
      <c r="L2390" s="201"/>
    </row>
    <row r="2391">
      <c r="A2391" s="200"/>
      <c r="B2391" s="201"/>
      <c r="C2391" s="201"/>
      <c r="D2391" s="201"/>
      <c r="E2391" s="201"/>
      <c r="F2391" s="201"/>
      <c r="G2391" s="201"/>
      <c r="H2391" s="203"/>
      <c r="I2391" s="201"/>
      <c r="J2391" s="204"/>
      <c r="K2391" s="201"/>
      <c r="L2391" s="201"/>
    </row>
    <row r="2392">
      <c r="A2392" s="200"/>
      <c r="B2392" s="201"/>
      <c r="C2392" s="201"/>
      <c r="D2392" s="201"/>
      <c r="E2392" s="201"/>
      <c r="F2392" s="201"/>
      <c r="G2392" s="201"/>
      <c r="H2392" s="203"/>
      <c r="I2392" s="201"/>
      <c r="J2392" s="204"/>
      <c r="K2392" s="201"/>
      <c r="L2392" s="201"/>
    </row>
    <row r="2393">
      <c r="A2393" s="200"/>
      <c r="B2393" s="201"/>
      <c r="C2393" s="201"/>
      <c r="D2393" s="201"/>
      <c r="E2393" s="201"/>
      <c r="F2393" s="201"/>
      <c r="G2393" s="201"/>
      <c r="H2393" s="203"/>
      <c r="I2393" s="201"/>
      <c r="J2393" s="204"/>
      <c r="K2393" s="201"/>
      <c r="L2393" s="201"/>
    </row>
    <row r="2394">
      <c r="A2394" s="200"/>
      <c r="B2394" s="201"/>
      <c r="C2394" s="201"/>
      <c r="D2394" s="201"/>
      <c r="E2394" s="201"/>
      <c r="F2394" s="201"/>
      <c r="G2394" s="201"/>
      <c r="H2394" s="203"/>
      <c r="I2394" s="201"/>
      <c r="J2394" s="204"/>
      <c r="K2394" s="201"/>
      <c r="L2394" s="201"/>
    </row>
    <row r="2395">
      <c r="A2395" s="200"/>
      <c r="B2395" s="201"/>
      <c r="C2395" s="201"/>
      <c r="D2395" s="201"/>
      <c r="E2395" s="201"/>
      <c r="F2395" s="201"/>
      <c r="G2395" s="201"/>
      <c r="H2395" s="203"/>
      <c r="I2395" s="201"/>
      <c r="J2395" s="204"/>
      <c r="K2395" s="201"/>
      <c r="L2395" s="201"/>
    </row>
    <row r="2396">
      <c r="A2396" s="200"/>
      <c r="B2396" s="201"/>
      <c r="C2396" s="201"/>
      <c r="D2396" s="201"/>
      <c r="E2396" s="201"/>
      <c r="F2396" s="201"/>
      <c r="G2396" s="201"/>
      <c r="H2396" s="203"/>
      <c r="I2396" s="201"/>
      <c r="J2396" s="204"/>
      <c r="K2396" s="201"/>
      <c r="L2396" s="201"/>
    </row>
    <row r="2397">
      <c r="A2397" s="200"/>
      <c r="B2397" s="201"/>
      <c r="C2397" s="201"/>
      <c r="D2397" s="201"/>
      <c r="E2397" s="201"/>
      <c r="F2397" s="201"/>
      <c r="G2397" s="201"/>
      <c r="H2397" s="203"/>
      <c r="I2397" s="201"/>
      <c r="J2397" s="204"/>
      <c r="K2397" s="201"/>
      <c r="L2397" s="201"/>
    </row>
    <row r="2398">
      <c r="A2398" s="200"/>
      <c r="B2398" s="201"/>
      <c r="C2398" s="201"/>
      <c r="D2398" s="201"/>
      <c r="E2398" s="201"/>
      <c r="F2398" s="201"/>
      <c r="G2398" s="201"/>
      <c r="H2398" s="203"/>
      <c r="I2398" s="201"/>
      <c r="J2398" s="204"/>
      <c r="K2398" s="201"/>
      <c r="L2398" s="201"/>
    </row>
    <row r="2399">
      <c r="A2399" s="200"/>
      <c r="B2399" s="201"/>
      <c r="C2399" s="201"/>
      <c r="D2399" s="201"/>
      <c r="E2399" s="201"/>
      <c r="F2399" s="201"/>
      <c r="G2399" s="201"/>
      <c r="H2399" s="203"/>
      <c r="I2399" s="201"/>
      <c r="J2399" s="204"/>
      <c r="K2399" s="201"/>
      <c r="L2399" s="201"/>
    </row>
    <row r="2400">
      <c r="A2400" s="200"/>
      <c r="B2400" s="201"/>
      <c r="C2400" s="201"/>
      <c r="D2400" s="201"/>
      <c r="E2400" s="201"/>
      <c r="F2400" s="201"/>
      <c r="G2400" s="201"/>
      <c r="H2400" s="203"/>
      <c r="I2400" s="201"/>
      <c r="J2400" s="204"/>
      <c r="K2400" s="201"/>
      <c r="L2400" s="201"/>
    </row>
    <row r="2401">
      <c r="A2401" s="200"/>
      <c r="B2401" s="201"/>
      <c r="C2401" s="201"/>
      <c r="D2401" s="201"/>
      <c r="E2401" s="201"/>
      <c r="F2401" s="201"/>
      <c r="G2401" s="201"/>
      <c r="H2401" s="203"/>
      <c r="I2401" s="201"/>
      <c r="J2401" s="204"/>
      <c r="K2401" s="201"/>
      <c r="L2401" s="201"/>
    </row>
    <row r="2402">
      <c r="A2402" s="200"/>
      <c r="B2402" s="201"/>
      <c r="C2402" s="201"/>
      <c r="D2402" s="201"/>
      <c r="E2402" s="201"/>
      <c r="F2402" s="201"/>
      <c r="G2402" s="201"/>
      <c r="H2402" s="203"/>
      <c r="I2402" s="201"/>
      <c r="J2402" s="204"/>
      <c r="K2402" s="201"/>
      <c r="L2402" s="201"/>
    </row>
    <row r="2403">
      <c r="A2403" s="200"/>
      <c r="B2403" s="201"/>
      <c r="C2403" s="201"/>
      <c r="D2403" s="201"/>
      <c r="E2403" s="201"/>
      <c r="F2403" s="201"/>
      <c r="G2403" s="201"/>
      <c r="H2403" s="203"/>
      <c r="I2403" s="201"/>
      <c r="J2403" s="204"/>
      <c r="K2403" s="201"/>
      <c r="L2403" s="201"/>
    </row>
    <row r="2404">
      <c r="A2404" s="200"/>
      <c r="B2404" s="201"/>
      <c r="C2404" s="201"/>
      <c r="D2404" s="201"/>
      <c r="E2404" s="201"/>
      <c r="F2404" s="201"/>
      <c r="G2404" s="201"/>
      <c r="H2404" s="203"/>
      <c r="I2404" s="201"/>
      <c r="J2404" s="204"/>
      <c r="K2404" s="201"/>
      <c r="L2404" s="201"/>
    </row>
    <row r="2405">
      <c r="A2405" s="200"/>
      <c r="B2405" s="201"/>
      <c r="C2405" s="201"/>
      <c r="D2405" s="201"/>
      <c r="E2405" s="201"/>
      <c r="F2405" s="201"/>
      <c r="G2405" s="201"/>
      <c r="H2405" s="203"/>
      <c r="I2405" s="201"/>
      <c r="J2405" s="204"/>
      <c r="K2405" s="201"/>
      <c r="L2405" s="201"/>
    </row>
    <row r="2406">
      <c r="A2406" s="200"/>
      <c r="B2406" s="201"/>
      <c r="C2406" s="201"/>
      <c r="D2406" s="201"/>
      <c r="E2406" s="201"/>
      <c r="F2406" s="201"/>
      <c r="G2406" s="201"/>
      <c r="H2406" s="203"/>
      <c r="I2406" s="201"/>
      <c r="J2406" s="204"/>
      <c r="K2406" s="201"/>
      <c r="L2406" s="201"/>
    </row>
    <row r="2407">
      <c r="A2407" s="200"/>
      <c r="B2407" s="201"/>
      <c r="C2407" s="201"/>
      <c r="D2407" s="201"/>
      <c r="E2407" s="201"/>
      <c r="F2407" s="201"/>
      <c r="G2407" s="201"/>
      <c r="H2407" s="203"/>
      <c r="I2407" s="201"/>
      <c r="J2407" s="204"/>
      <c r="K2407" s="201"/>
      <c r="L2407" s="201"/>
    </row>
    <row r="2408">
      <c r="A2408" s="200"/>
      <c r="B2408" s="201"/>
      <c r="C2408" s="201"/>
      <c r="D2408" s="201"/>
      <c r="E2408" s="201"/>
      <c r="F2408" s="201"/>
      <c r="G2408" s="201"/>
      <c r="H2408" s="203"/>
      <c r="I2408" s="201"/>
      <c r="J2408" s="204"/>
      <c r="K2408" s="201"/>
      <c r="L2408" s="201"/>
    </row>
    <row r="2409">
      <c r="A2409" s="200"/>
      <c r="B2409" s="201"/>
      <c r="C2409" s="201"/>
      <c r="D2409" s="201"/>
      <c r="E2409" s="201"/>
      <c r="F2409" s="201"/>
      <c r="G2409" s="201"/>
      <c r="H2409" s="203"/>
      <c r="I2409" s="201"/>
      <c r="J2409" s="204"/>
      <c r="K2409" s="201"/>
      <c r="L2409" s="201"/>
    </row>
    <row r="2410">
      <c r="A2410" s="200"/>
      <c r="B2410" s="201"/>
      <c r="C2410" s="201"/>
      <c r="D2410" s="201"/>
      <c r="E2410" s="201"/>
      <c r="F2410" s="201"/>
      <c r="G2410" s="201"/>
      <c r="H2410" s="203"/>
      <c r="I2410" s="201"/>
      <c r="J2410" s="204"/>
      <c r="K2410" s="201"/>
      <c r="L2410" s="201"/>
    </row>
    <row r="2411">
      <c r="A2411" s="200"/>
      <c r="B2411" s="201"/>
      <c r="C2411" s="201"/>
      <c r="D2411" s="201"/>
      <c r="E2411" s="201"/>
      <c r="F2411" s="201"/>
      <c r="G2411" s="201"/>
      <c r="H2411" s="203"/>
      <c r="I2411" s="201"/>
      <c r="J2411" s="204"/>
      <c r="K2411" s="201"/>
      <c r="L2411" s="201"/>
    </row>
    <row r="2412">
      <c r="A2412" s="200"/>
      <c r="B2412" s="201"/>
      <c r="C2412" s="201"/>
      <c r="D2412" s="201"/>
      <c r="E2412" s="201"/>
      <c r="F2412" s="201"/>
      <c r="G2412" s="201"/>
      <c r="H2412" s="203"/>
      <c r="I2412" s="201"/>
      <c r="J2412" s="204"/>
      <c r="K2412" s="201"/>
      <c r="L2412" s="201"/>
    </row>
    <row r="2413">
      <c r="A2413" s="200"/>
      <c r="B2413" s="201"/>
      <c r="C2413" s="201"/>
      <c r="D2413" s="201"/>
      <c r="E2413" s="201"/>
      <c r="F2413" s="201"/>
      <c r="G2413" s="201"/>
      <c r="H2413" s="203"/>
      <c r="I2413" s="201"/>
      <c r="J2413" s="204"/>
      <c r="K2413" s="201"/>
      <c r="L2413" s="201"/>
    </row>
    <row r="2414">
      <c r="A2414" s="200"/>
      <c r="B2414" s="201"/>
      <c r="C2414" s="201"/>
      <c r="D2414" s="201"/>
      <c r="E2414" s="201"/>
      <c r="F2414" s="201"/>
      <c r="G2414" s="201"/>
      <c r="H2414" s="203"/>
      <c r="I2414" s="201"/>
      <c r="J2414" s="204"/>
      <c r="K2414" s="201"/>
      <c r="L2414" s="201"/>
    </row>
    <row r="2415">
      <c r="A2415" s="200"/>
      <c r="B2415" s="201"/>
      <c r="C2415" s="201"/>
      <c r="D2415" s="201"/>
      <c r="E2415" s="201"/>
      <c r="F2415" s="201"/>
      <c r="G2415" s="201"/>
      <c r="H2415" s="203"/>
      <c r="I2415" s="201"/>
      <c r="J2415" s="204"/>
      <c r="K2415" s="201"/>
      <c r="L2415" s="201"/>
    </row>
    <row r="2416">
      <c r="A2416" s="200"/>
      <c r="B2416" s="201"/>
      <c r="C2416" s="201"/>
      <c r="D2416" s="201"/>
      <c r="E2416" s="201"/>
      <c r="F2416" s="201"/>
      <c r="G2416" s="201"/>
      <c r="H2416" s="203"/>
      <c r="I2416" s="201"/>
      <c r="J2416" s="204"/>
      <c r="K2416" s="201"/>
      <c r="L2416" s="201"/>
    </row>
    <row r="2417">
      <c r="A2417" s="200"/>
      <c r="B2417" s="201"/>
      <c r="C2417" s="201"/>
      <c r="D2417" s="201"/>
      <c r="E2417" s="201"/>
      <c r="F2417" s="201"/>
      <c r="G2417" s="201"/>
      <c r="H2417" s="203"/>
      <c r="I2417" s="201"/>
      <c r="J2417" s="204"/>
      <c r="K2417" s="201"/>
      <c r="L2417" s="201"/>
    </row>
    <row r="2418">
      <c r="A2418" s="200"/>
      <c r="B2418" s="201"/>
      <c r="C2418" s="201"/>
      <c r="D2418" s="201"/>
      <c r="E2418" s="201"/>
      <c r="F2418" s="201"/>
      <c r="G2418" s="201"/>
      <c r="H2418" s="203"/>
      <c r="I2418" s="201"/>
      <c r="J2418" s="204"/>
      <c r="K2418" s="201"/>
      <c r="L2418" s="201"/>
    </row>
    <row r="2419">
      <c r="A2419" s="200"/>
      <c r="B2419" s="201"/>
      <c r="C2419" s="201"/>
      <c r="D2419" s="201"/>
      <c r="E2419" s="201"/>
      <c r="F2419" s="201"/>
      <c r="G2419" s="201"/>
      <c r="H2419" s="203"/>
      <c r="I2419" s="201"/>
      <c r="J2419" s="204"/>
      <c r="K2419" s="201"/>
      <c r="L2419" s="201"/>
    </row>
    <row r="2420">
      <c r="A2420" s="200"/>
      <c r="B2420" s="201"/>
      <c r="C2420" s="201"/>
      <c r="D2420" s="201"/>
      <c r="E2420" s="201"/>
      <c r="F2420" s="201"/>
      <c r="G2420" s="201"/>
      <c r="H2420" s="203"/>
      <c r="I2420" s="201"/>
      <c r="J2420" s="204"/>
      <c r="K2420" s="201"/>
      <c r="L2420" s="201"/>
    </row>
    <row r="2421">
      <c r="A2421" s="200"/>
      <c r="B2421" s="201"/>
      <c r="C2421" s="201"/>
      <c r="D2421" s="201"/>
      <c r="E2421" s="201"/>
      <c r="F2421" s="201"/>
      <c r="G2421" s="201"/>
      <c r="H2421" s="203"/>
      <c r="I2421" s="201"/>
      <c r="J2421" s="204"/>
      <c r="K2421" s="201"/>
      <c r="L2421" s="201"/>
    </row>
    <row r="2422">
      <c r="A2422" s="200"/>
      <c r="B2422" s="201"/>
      <c r="C2422" s="201"/>
      <c r="D2422" s="201"/>
      <c r="E2422" s="201"/>
      <c r="F2422" s="201"/>
      <c r="G2422" s="201"/>
      <c r="H2422" s="203"/>
      <c r="I2422" s="201"/>
      <c r="J2422" s="204"/>
      <c r="K2422" s="201"/>
      <c r="L2422" s="201"/>
    </row>
    <row r="2423">
      <c r="A2423" s="200"/>
      <c r="B2423" s="201"/>
      <c r="C2423" s="201"/>
      <c r="D2423" s="201"/>
      <c r="E2423" s="201"/>
      <c r="F2423" s="201"/>
      <c r="G2423" s="201"/>
      <c r="H2423" s="203"/>
      <c r="I2423" s="201"/>
      <c r="J2423" s="204"/>
      <c r="K2423" s="201"/>
      <c r="L2423" s="201"/>
    </row>
    <row r="2424">
      <c r="A2424" s="200"/>
      <c r="B2424" s="201"/>
      <c r="C2424" s="201"/>
      <c r="D2424" s="201"/>
      <c r="E2424" s="201"/>
      <c r="F2424" s="201"/>
      <c r="G2424" s="201"/>
      <c r="H2424" s="203"/>
      <c r="I2424" s="201"/>
      <c r="J2424" s="204"/>
      <c r="K2424" s="201"/>
      <c r="L2424" s="201"/>
    </row>
    <row r="2425">
      <c r="A2425" s="200"/>
      <c r="B2425" s="201"/>
      <c r="C2425" s="201"/>
      <c r="D2425" s="201"/>
      <c r="E2425" s="201"/>
      <c r="F2425" s="201"/>
      <c r="G2425" s="201"/>
      <c r="H2425" s="203"/>
      <c r="I2425" s="201"/>
      <c r="J2425" s="204"/>
      <c r="K2425" s="201"/>
      <c r="L2425" s="201"/>
    </row>
    <row r="2426">
      <c r="A2426" s="200"/>
      <c r="B2426" s="201"/>
      <c r="C2426" s="201"/>
      <c r="D2426" s="201"/>
      <c r="E2426" s="201"/>
      <c r="F2426" s="201"/>
      <c r="G2426" s="201"/>
      <c r="H2426" s="203"/>
      <c r="I2426" s="201"/>
      <c r="J2426" s="204"/>
      <c r="K2426" s="201"/>
      <c r="L2426" s="201"/>
    </row>
    <row r="2427">
      <c r="A2427" s="200"/>
      <c r="B2427" s="201"/>
      <c r="C2427" s="201"/>
      <c r="D2427" s="201"/>
      <c r="E2427" s="201"/>
      <c r="F2427" s="201"/>
      <c r="G2427" s="201"/>
      <c r="H2427" s="203"/>
      <c r="I2427" s="201"/>
      <c r="J2427" s="204"/>
      <c r="K2427" s="201"/>
      <c r="L2427" s="201"/>
    </row>
    <row r="2428">
      <c r="A2428" s="200"/>
      <c r="B2428" s="201"/>
      <c r="C2428" s="201"/>
      <c r="D2428" s="201"/>
      <c r="E2428" s="201"/>
      <c r="F2428" s="201"/>
      <c r="G2428" s="201"/>
      <c r="H2428" s="203"/>
      <c r="I2428" s="201"/>
      <c r="J2428" s="204"/>
      <c r="K2428" s="201"/>
      <c r="L2428" s="201"/>
    </row>
    <row r="2429">
      <c r="A2429" s="200"/>
      <c r="B2429" s="201"/>
      <c r="C2429" s="201"/>
      <c r="D2429" s="201"/>
      <c r="E2429" s="201"/>
      <c r="F2429" s="201"/>
      <c r="G2429" s="201"/>
      <c r="H2429" s="203"/>
      <c r="I2429" s="201"/>
      <c r="J2429" s="204"/>
      <c r="K2429" s="201"/>
      <c r="L2429" s="201"/>
    </row>
    <row r="2430">
      <c r="A2430" s="200"/>
      <c r="B2430" s="201"/>
      <c r="C2430" s="201"/>
      <c r="D2430" s="201"/>
      <c r="E2430" s="201"/>
      <c r="F2430" s="201"/>
      <c r="G2430" s="201"/>
      <c r="H2430" s="203"/>
      <c r="I2430" s="201"/>
      <c r="J2430" s="204"/>
      <c r="K2430" s="201"/>
      <c r="L2430" s="201"/>
    </row>
    <row r="2431">
      <c r="A2431" s="200"/>
      <c r="B2431" s="201"/>
      <c r="C2431" s="201"/>
      <c r="D2431" s="201"/>
      <c r="E2431" s="201"/>
      <c r="F2431" s="201"/>
      <c r="G2431" s="201"/>
      <c r="H2431" s="203"/>
      <c r="I2431" s="201"/>
      <c r="J2431" s="204"/>
      <c r="K2431" s="201"/>
      <c r="L2431" s="201"/>
    </row>
    <row r="2432">
      <c r="A2432" s="200"/>
      <c r="B2432" s="201"/>
      <c r="C2432" s="201"/>
      <c r="D2432" s="201"/>
      <c r="E2432" s="201"/>
      <c r="F2432" s="201"/>
      <c r="G2432" s="201"/>
      <c r="H2432" s="203"/>
      <c r="I2432" s="201"/>
      <c r="J2432" s="204"/>
      <c r="K2432" s="201"/>
      <c r="L2432" s="201"/>
    </row>
    <row r="2433">
      <c r="A2433" s="200"/>
      <c r="B2433" s="201"/>
      <c r="C2433" s="201"/>
      <c r="D2433" s="201"/>
      <c r="E2433" s="201"/>
      <c r="F2433" s="201"/>
      <c r="G2433" s="201"/>
      <c r="H2433" s="203"/>
      <c r="I2433" s="201"/>
      <c r="J2433" s="204"/>
      <c r="K2433" s="201"/>
      <c r="L2433" s="201"/>
    </row>
    <row r="2434">
      <c r="A2434" s="200"/>
      <c r="B2434" s="201"/>
      <c r="C2434" s="201"/>
      <c r="D2434" s="201"/>
      <c r="E2434" s="201"/>
      <c r="F2434" s="201"/>
      <c r="G2434" s="201"/>
      <c r="H2434" s="203"/>
      <c r="I2434" s="201"/>
      <c r="J2434" s="204"/>
      <c r="K2434" s="201"/>
      <c r="L2434" s="201"/>
    </row>
    <row r="2435">
      <c r="A2435" s="200"/>
      <c r="B2435" s="201"/>
      <c r="C2435" s="201"/>
      <c r="D2435" s="201"/>
      <c r="E2435" s="201"/>
      <c r="F2435" s="201"/>
      <c r="G2435" s="201"/>
      <c r="H2435" s="203"/>
      <c r="I2435" s="201"/>
      <c r="J2435" s="204"/>
      <c r="K2435" s="201"/>
      <c r="L2435" s="201"/>
    </row>
    <row r="2436">
      <c r="A2436" s="200"/>
      <c r="B2436" s="201"/>
      <c r="C2436" s="201"/>
      <c r="D2436" s="201"/>
      <c r="E2436" s="201"/>
      <c r="F2436" s="201"/>
      <c r="G2436" s="201"/>
      <c r="H2436" s="203"/>
      <c r="I2436" s="201"/>
      <c r="J2436" s="204"/>
      <c r="K2436" s="201"/>
      <c r="L2436" s="201"/>
    </row>
    <row r="2437">
      <c r="A2437" s="200"/>
      <c r="B2437" s="201"/>
      <c r="C2437" s="201"/>
      <c r="D2437" s="201"/>
      <c r="E2437" s="201"/>
      <c r="F2437" s="201"/>
      <c r="G2437" s="201"/>
      <c r="H2437" s="203"/>
      <c r="I2437" s="201"/>
      <c r="J2437" s="204"/>
      <c r="K2437" s="201"/>
      <c r="L2437" s="201"/>
    </row>
    <row r="2438">
      <c r="A2438" s="200"/>
      <c r="B2438" s="201"/>
      <c r="C2438" s="201"/>
      <c r="D2438" s="201"/>
      <c r="E2438" s="201"/>
      <c r="F2438" s="201"/>
      <c r="G2438" s="201"/>
      <c r="H2438" s="203"/>
      <c r="I2438" s="201"/>
      <c r="J2438" s="204"/>
      <c r="K2438" s="201"/>
      <c r="L2438" s="201"/>
    </row>
    <row r="2439">
      <c r="A2439" s="200"/>
      <c r="B2439" s="201"/>
      <c r="C2439" s="201"/>
      <c r="D2439" s="201"/>
      <c r="E2439" s="201"/>
      <c r="F2439" s="201"/>
      <c r="G2439" s="201"/>
      <c r="H2439" s="203"/>
      <c r="I2439" s="201"/>
      <c r="J2439" s="204"/>
      <c r="K2439" s="201"/>
      <c r="L2439" s="201"/>
    </row>
    <row r="2440">
      <c r="A2440" s="200"/>
      <c r="B2440" s="201"/>
      <c r="C2440" s="201"/>
      <c r="D2440" s="201"/>
      <c r="E2440" s="201"/>
      <c r="F2440" s="201"/>
      <c r="G2440" s="201"/>
      <c r="H2440" s="203"/>
      <c r="I2440" s="201"/>
      <c r="J2440" s="204"/>
      <c r="K2440" s="201"/>
      <c r="L2440" s="201"/>
    </row>
    <row r="2441">
      <c r="A2441" s="200"/>
      <c r="B2441" s="201"/>
      <c r="C2441" s="201"/>
      <c r="D2441" s="201"/>
      <c r="E2441" s="201"/>
      <c r="F2441" s="201"/>
      <c r="G2441" s="201"/>
      <c r="H2441" s="203"/>
      <c r="I2441" s="201"/>
      <c r="J2441" s="204"/>
      <c r="K2441" s="201"/>
      <c r="L2441" s="201"/>
    </row>
    <row r="2442">
      <c r="A2442" s="200"/>
      <c r="B2442" s="201"/>
      <c r="C2442" s="201"/>
      <c r="D2442" s="201"/>
      <c r="E2442" s="201"/>
      <c r="F2442" s="201"/>
      <c r="G2442" s="201"/>
      <c r="H2442" s="203"/>
      <c r="I2442" s="201"/>
      <c r="J2442" s="204"/>
      <c r="K2442" s="201"/>
      <c r="L2442" s="201"/>
    </row>
    <row r="2443">
      <c r="A2443" s="200"/>
      <c r="B2443" s="201"/>
      <c r="C2443" s="201"/>
      <c r="D2443" s="201"/>
      <c r="E2443" s="201"/>
      <c r="F2443" s="201"/>
      <c r="G2443" s="201"/>
      <c r="H2443" s="203"/>
      <c r="I2443" s="201"/>
      <c r="J2443" s="204"/>
      <c r="K2443" s="201"/>
      <c r="L2443" s="201"/>
    </row>
    <row r="2444">
      <c r="A2444" s="200"/>
      <c r="B2444" s="201"/>
      <c r="C2444" s="201"/>
      <c r="D2444" s="201"/>
      <c r="E2444" s="201"/>
      <c r="F2444" s="201"/>
      <c r="G2444" s="201"/>
      <c r="H2444" s="203"/>
      <c r="I2444" s="201"/>
      <c r="J2444" s="204"/>
      <c r="K2444" s="201"/>
      <c r="L2444" s="201"/>
    </row>
    <row r="2445">
      <c r="A2445" s="200"/>
      <c r="B2445" s="201"/>
      <c r="C2445" s="201"/>
      <c r="D2445" s="201"/>
      <c r="E2445" s="201"/>
      <c r="F2445" s="201"/>
      <c r="G2445" s="201"/>
      <c r="H2445" s="203"/>
      <c r="I2445" s="201"/>
      <c r="J2445" s="204"/>
      <c r="K2445" s="201"/>
      <c r="L2445" s="201"/>
    </row>
    <row r="2446">
      <c r="A2446" s="200"/>
      <c r="B2446" s="201"/>
      <c r="C2446" s="201"/>
      <c r="D2446" s="201"/>
      <c r="E2446" s="201"/>
      <c r="F2446" s="201"/>
      <c r="G2446" s="201"/>
      <c r="H2446" s="203"/>
      <c r="I2446" s="201"/>
      <c r="J2446" s="204"/>
      <c r="K2446" s="201"/>
      <c r="L2446" s="201"/>
    </row>
    <row r="2447">
      <c r="A2447" s="200"/>
      <c r="B2447" s="201"/>
      <c r="C2447" s="201"/>
      <c r="D2447" s="201"/>
      <c r="E2447" s="201"/>
      <c r="F2447" s="201"/>
      <c r="G2447" s="201"/>
      <c r="H2447" s="203"/>
      <c r="I2447" s="201"/>
      <c r="J2447" s="204"/>
      <c r="K2447" s="201"/>
      <c r="L2447" s="201"/>
    </row>
    <row r="2448">
      <c r="A2448" s="200"/>
      <c r="B2448" s="201"/>
      <c r="C2448" s="201"/>
      <c r="D2448" s="201"/>
      <c r="E2448" s="201"/>
      <c r="F2448" s="201"/>
      <c r="G2448" s="201"/>
      <c r="H2448" s="203"/>
      <c r="I2448" s="201"/>
      <c r="J2448" s="204"/>
      <c r="K2448" s="201"/>
      <c r="L2448" s="201"/>
    </row>
    <row r="2449">
      <c r="A2449" s="200"/>
      <c r="B2449" s="201"/>
      <c r="C2449" s="201"/>
      <c r="D2449" s="201"/>
      <c r="E2449" s="201"/>
      <c r="F2449" s="201"/>
      <c r="G2449" s="201"/>
      <c r="H2449" s="203"/>
      <c r="I2449" s="201"/>
      <c r="J2449" s="204"/>
      <c r="K2449" s="201"/>
      <c r="L2449" s="201"/>
    </row>
    <row r="2450">
      <c r="A2450" s="200"/>
      <c r="B2450" s="201"/>
      <c r="C2450" s="201"/>
      <c r="D2450" s="201"/>
      <c r="E2450" s="201"/>
      <c r="F2450" s="201"/>
      <c r="G2450" s="201"/>
      <c r="H2450" s="203"/>
      <c r="I2450" s="201"/>
      <c r="J2450" s="204"/>
      <c r="K2450" s="201"/>
      <c r="L2450" s="201"/>
    </row>
    <row r="2451">
      <c r="A2451" s="200"/>
      <c r="B2451" s="201"/>
      <c r="C2451" s="201"/>
      <c r="D2451" s="201"/>
      <c r="E2451" s="201"/>
      <c r="F2451" s="201"/>
      <c r="G2451" s="201"/>
      <c r="H2451" s="203"/>
      <c r="I2451" s="201"/>
      <c r="J2451" s="204"/>
      <c r="K2451" s="201"/>
      <c r="L2451" s="201"/>
    </row>
    <row r="2452">
      <c r="A2452" s="200"/>
      <c r="B2452" s="201"/>
      <c r="C2452" s="201"/>
      <c r="D2452" s="201"/>
      <c r="E2452" s="201"/>
      <c r="F2452" s="201"/>
      <c r="G2452" s="201"/>
      <c r="H2452" s="203"/>
      <c r="I2452" s="201"/>
      <c r="J2452" s="204"/>
      <c r="K2452" s="201"/>
      <c r="L2452" s="201"/>
    </row>
    <row r="2453">
      <c r="A2453" s="200"/>
      <c r="B2453" s="201"/>
      <c r="C2453" s="201"/>
      <c r="D2453" s="201"/>
      <c r="E2453" s="201"/>
      <c r="F2453" s="201"/>
      <c r="G2453" s="201"/>
      <c r="H2453" s="203"/>
      <c r="I2453" s="201"/>
      <c r="J2453" s="204"/>
      <c r="K2453" s="201"/>
      <c r="L2453" s="201"/>
    </row>
    <row r="2454">
      <c r="A2454" s="200"/>
      <c r="B2454" s="201"/>
      <c r="C2454" s="201"/>
      <c r="D2454" s="201"/>
      <c r="E2454" s="201"/>
      <c r="F2454" s="201"/>
      <c r="G2454" s="201"/>
      <c r="H2454" s="203"/>
      <c r="I2454" s="201"/>
      <c r="J2454" s="204"/>
      <c r="K2454" s="201"/>
      <c r="L2454" s="201"/>
    </row>
    <row r="2455">
      <c r="A2455" s="200"/>
      <c r="B2455" s="201"/>
      <c r="C2455" s="201"/>
      <c r="D2455" s="201"/>
      <c r="E2455" s="201"/>
      <c r="F2455" s="201"/>
      <c r="G2455" s="201"/>
      <c r="H2455" s="203"/>
      <c r="I2455" s="201"/>
      <c r="J2455" s="204"/>
      <c r="K2455" s="201"/>
      <c r="L2455" s="201"/>
    </row>
    <row r="2456">
      <c r="A2456" s="200"/>
      <c r="B2456" s="201"/>
      <c r="C2456" s="201"/>
      <c r="D2456" s="201"/>
      <c r="E2456" s="201"/>
      <c r="F2456" s="201"/>
      <c r="G2456" s="201"/>
      <c r="H2456" s="203"/>
      <c r="I2456" s="201"/>
      <c r="J2456" s="204"/>
      <c r="K2456" s="201"/>
      <c r="L2456" s="201"/>
    </row>
    <row r="2457">
      <c r="A2457" s="200"/>
      <c r="B2457" s="201"/>
      <c r="C2457" s="201"/>
      <c r="D2457" s="201"/>
      <c r="E2457" s="201"/>
      <c r="F2457" s="201"/>
      <c r="G2457" s="201"/>
      <c r="H2457" s="203"/>
      <c r="I2457" s="201"/>
      <c r="J2457" s="204"/>
      <c r="K2457" s="201"/>
      <c r="L2457" s="201"/>
    </row>
    <row r="2458">
      <c r="A2458" s="200"/>
      <c r="B2458" s="201"/>
      <c r="C2458" s="201"/>
      <c r="D2458" s="201"/>
      <c r="E2458" s="201"/>
      <c r="F2458" s="201"/>
      <c r="G2458" s="201"/>
      <c r="H2458" s="203"/>
      <c r="I2458" s="201"/>
      <c r="J2458" s="204"/>
      <c r="K2458" s="201"/>
      <c r="L2458" s="201"/>
    </row>
    <row r="2459">
      <c r="A2459" s="200"/>
      <c r="B2459" s="201"/>
      <c r="C2459" s="201"/>
      <c r="D2459" s="201"/>
      <c r="E2459" s="201"/>
      <c r="F2459" s="201"/>
      <c r="G2459" s="201"/>
      <c r="H2459" s="203"/>
      <c r="I2459" s="201"/>
      <c r="J2459" s="204"/>
      <c r="K2459" s="201"/>
      <c r="L2459" s="201"/>
    </row>
    <row r="2460">
      <c r="A2460" s="200"/>
      <c r="B2460" s="201"/>
      <c r="C2460" s="201"/>
      <c r="D2460" s="201"/>
      <c r="E2460" s="201"/>
      <c r="F2460" s="201"/>
      <c r="G2460" s="201"/>
      <c r="H2460" s="203"/>
      <c r="I2460" s="201"/>
      <c r="J2460" s="204"/>
      <c r="K2460" s="201"/>
      <c r="L2460" s="201"/>
    </row>
    <row r="2461">
      <c r="A2461" s="200"/>
      <c r="B2461" s="201"/>
      <c r="C2461" s="201"/>
      <c r="D2461" s="201"/>
      <c r="E2461" s="201"/>
      <c r="F2461" s="201"/>
      <c r="G2461" s="201"/>
      <c r="H2461" s="203"/>
      <c r="I2461" s="201"/>
      <c r="J2461" s="204"/>
      <c r="K2461" s="201"/>
      <c r="L2461" s="201"/>
    </row>
    <row r="2462">
      <c r="A2462" s="200"/>
      <c r="B2462" s="201"/>
      <c r="C2462" s="201"/>
      <c r="D2462" s="201"/>
      <c r="E2462" s="201"/>
      <c r="F2462" s="201"/>
      <c r="G2462" s="201"/>
      <c r="H2462" s="203"/>
      <c r="I2462" s="201"/>
      <c r="J2462" s="204"/>
      <c r="K2462" s="201"/>
      <c r="L2462" s="201"/>
    </row>
    <row r="2463">
      <c r="A2463" s="200"/>
      <c r="B2463" s="201"/>
      <c r="C2463" s="201"/>
      <c r="D2463" s="201"/>
      <c r="E2463" s="201"/>
      <c r="F2463" s="201"/>
      <c r="G2463" s="201"/>
      <c r="H2463" s="203"/>
      <c r="I2463" s="201"/>
      <c r="J2463" s="204"/>
      <c r="K2463" s="201"/>
      <c r="L2463" s="201"/>
    </row>
    <row r="2464">
      <c r="A2464" s="200"/>
      <c r="B2464" s="201"/>
      <c r="C2464" s="201"/>
      <c r="D2464" s="201"/>
      <c r="E2464" s="201"/>
      <c r="F2464" s="201"/>
      <c r="G2464" s="201"/>
      <c r="H2464" s="203"/>
      <c r="I2464" s="201"/>
      <c r="J2464" s="204"/>
      <c r="K2464" s="201"/>
      <c r="L2464" s="201"/>
    </row>
    <row r="2465">
      <c r="A2465" s="200"/>
      <c r="B2465" s="201"/>
      <c r="C2465" s="201"/>
      <c r="D2465" s="201"/>
      <c r="E2465" s="201"/>
      <c r="F2465" s="201"/>
      <c r="G2465" s="201"/>
      <c r="H2465" s="203"/>
      <c r="I2465" s="201"/>
      <c r="J2465" s="204"/>
      <c r="K2465" s="201"/>
      <c r="L2465" s="201"/>
    </row>
    <row r="2466">
      <c r="A2466" s="200"/>
      <c r="B2466" s="201"/>
      <c r="C2466" s="201"/>
      <c r="D2466" s="201"/>
      <c r="E2466" s="201"/>
      <c r="F2466" s="201"/>
      <c r="G2466" s="201"/>
      <c r="H2466" s="203"/>
      <c r="I2466" s="201"/>
      <c r="J2466" s="204"/>
      <c r="K2466" s="201"/>
      <c r="L2466" s="201"/>
    </row>
    <row r="2467">
      <c r="A2467" s="200"/>
      <c r="B2467" s="201"/>
      <c r="C2467" s="201"/>
      <c r="D2467" s="201"/>
      <c r="E2467" s="201"/>
      <c r="F2467" s="201"/>
      <c r="G2467" s="201"/>
      <c r="H2467" s="203"/>
      <c r="I2467" s="201"/>
      <c r="J2467" s="204"/>
      <c r="K2467" s="201"/>
      <c r="L2467" s="201"/>
    </row>
    <row r="2468">
      <c r="A2468" s="200"/>
      <c r="B2468" s="201"/>
      <c r="C2468" s="201"/>
      <c r="D2468" s="201"/>
      <c r="E2468" s="201"/>
      <c r="F2468" s="201"/>
      <c r="G2468" s="201"/>
      <c r="H2468" s="203"/>
      <c r="I2468" s="201"/>
      <c r="J2468" s="204"/>
      <c r="K2468" s="201"/>
      <c r="L2468" s="201"/>
    </row>
    <row r="2469">
      <c r="A2469" s="200"/>
      <c r="B2469" s="201"/>
      <c r="C2469" s="201"/>
      <c r="D2469" s="201"/>
      <c r="E2469" s="201"/>
      <c r="F2469" s="201"/>
      <c r="G2469" s="201"/>
      <c r="H2469" s="203"/>
      <c r="I2469" s="201"/>
      <c r="J2469" s="204"/>
      <c r="K2469" s="201"/>
      <c r="L2469" s="201"/>
    </row>
    <row r="2470">
      <c r="A2470" s="200"/>
      <c r="B2470" s="201"/>
      <c r="C2470" s="201"/>
      <c r="D2470" s="201"/>
      <c r="E2470" s="201"/>
      <c r="F2470" s="201"/>
      <c r="G2470" s="201"/>
      <c r="H2470" s="203"/>
      <c r="I2470" s="201"/>
      <c r="J2470" s="204"/>
      <c r="K2470" s="201"/>
      <c r="L2470" s="201"/>
    </row>
    <row r="2471">
      <c r="A2471" s="200"/>
      <c r="B2471" s="201"/>
      <c r="C2471" s="201"/>
      <c r="D2471" s="201"/>
      <c r="E2471" s="201"/>
      <c r="F2471" s="201"/>
      <c r="G2471" s="201"/>
      <c r="H2471" s="203"/>
      <c r="I2471" s="201"/>
      <c r="J2471" s="204"/>
      <c r="K2471" s="201"/>
      <c r="L2471" s="201"/>
    </row>
    <row r="2472">
      <c r="A2472" s="200"/>
      <c r="B2472" s="201"/>
      <c r="C2472" s="201"/>
      <c r="D2472" s="201"/>
      <c r="E2472" s="201"/>
      <c r="F2472" s="201"/>
      <c r="G2472" s="201"/>
      <c r="H2472" s="203"/>
      <c r="I2472" s="201"/>
      <c r="J2472" s="204"/>
      <c r="K2472" s="201"/>
      <c r="L2472" s="201"/>
    </row>
    <row r="2473">
      <c r="A2473" s="200"/>
      <c r="B2473" s="201"/>
      <c r="C2473" s="201"/>
      <c r="D2473" s="201"/>
      <c r="E2473" s="201"/>
      <c r="F2473" s="201"/>
      <c r="G2473" s="201"/>
      <c r="H2473" s="203"/>
      <c r="I2473" s="201"/>
      <c r="J2473" s="204"/>
      <c r="K2473" s="201"/>
      <c r="L2473" s="201"/>
    </row>
    <row r="2474">
      <c r="A2474" s="200"/>
      <c r="B2474" s="201"/>
      <c r="C2474" s="201"/>
      <c r="D2474" s="201"/>
      <c r="E2474" s="201"/>
      <c r="F2474" s="201"/>
      <c r="G2474" s="201"/>
      <c r="H2474" s="203"/>
      <c r="I2474" s="201"/>
      <c r="J2474" s="204"/>
      <c r="K2474" s="201"/>
      <c r="L2474" s="201"/>
    </row>
    <row r="2475">
      <c r="A2475" s="200"/>
      <c r="B2475" s="201"/>
      <c r="C2475" s="201"/>
      <c r="D2475" s="201"/>
      <c r="E2475" s="201"/>
      <c r="F2475" s="201"/>
      <c r="G2475" s="201"/>
      <c r="H2475" s="203"/>
      <c r="I2475" s="201"/>
      <c r="J2475" s="204"/>
      <c r="K2475" s="201"/>
      <c r="L2475" s="201"/>
    </row>
    <row r="2476">
      <c r="A2476" s="200"/>
      <c r="B2476" s="201"/>
      <c r="C2476" s="201"/>
      <c r="D2476" s="201"/>
      <c r="E2476" s="201"/>
      <c r="F2476" s="201"/>
      <c r="G2476" s="201"/>
      <c r="H2476" s="203"/>
      <c r="I2476" s="201"/>
      <c r="J2476" s="204"/>
      <c r="K2476" s="201"/>
      <c r="L2476" s="201"/>
    </row>
    <row r="2477">
      <c r="A2477" s="200"/>
      <c r="B2477" s="201"/>
      <c r="C2477" s="201"/>
      <c r="D2477" s="201"/>
      <c r="E2477" s="201"/>
      <c r="F2477" s="201"/>
      <c r="G2477" s="201"/>
      <c r="H2477" s="203"/>
      <c r="I2477" s="201"/>
      <c r="J2477" s="204"/>
      <c r="K2477" s="201"/>
      <c r="L2477" s="201"/>
    </row>
    <row r="2478">
      <c r="A2478" s="200"/>
      <c r="B2478" s="201"/>
      <c r="C2478" s="201"/>
      <c r="D2478" s="201"/>
      <c r="E2478" s="201"/>
      <c r="F2478" s="201"/>
      <c r="G2478" s="201"/>
      <c r="H2478" s="203"/>
      <c r="I2478" s="201"/>
      <c r="J2478" s="204"/>
      <c r="K2478" s="201"/>
      <c r="L2478" s="201"/>
    </row>
    <row r="2479">
      <c r="A2479" s="200"/>
      <c r="B2479" s="201"/>
      <c r="C2479" s="201"/>
      <c r="D2479" s="201"/>
      <c r="E2479" s="201"/>
      <c r="F2479" s="201"/>
      <c r="G2479" s="201"/>
      <c r="H2479" s="203"/>
      <c r="I2479" s="201"/>
      <c r="J2479" s="204"/>
      <c r="K2479" s="201"/>
      <c r="L2479" s="201"/>
    </row>
    <row r="2480">
      <c r="A2480" s="200"/>
      <c r="B2480" s="201"/>
      <c r="C2480" s="201"/>
      <c r="D2480" s="201"/>
      <c r="E2480" s="201"/>
      <c r="F2480" s="201"/>
      <c r="G2480" s="201"/>
      <c r="H2480" s="203"/>
      <c r="I2480" s="201"/>
      <c r="J2480" s="204"/>
      <c r="K2480" s="201"/>
      <c r="L2480" s="201"/>
    </row>
    <row r="2481">
      <c r="A2481" s="200"/>
      <c r="B2481" s="201"/>
      <c r="C2481" s="201"/>
      <c r="D2481" s="201"/>
      <c r="E2481" s="201"/>
      <c r="F2481" s="201"/>
      <c r="G2481" s="201"/>
      <c r="H2481" s="203"/>
      <c r="I2481" s="201"/>
      <c r="J2481" s="204"/>
      <c r="K2481" s="201"/>
      <c r="L2481" s="201"/>
    </row>
    <row r="2482">
      <c r="A2482" s="200"/>
      <c r="B2482" s="201"/>
      <c r="C2482" s="201"/>
      <c r="D2482" s="201"/>
      <c r="E2482" s="201"/>
      <c r="F2482" s="201"/>
      <c r="G2482" s="201"/>
      <c r="H2482" s="203"/>
      <c r="I2482" s="201"/>
      <c r="J2482" s="204"/>
      <c r="K2482" s="201"/>
      <c r="L2482" s="201"/>
    </row>
    <row r="2483">
      <c r="A2483" s="200"/>
      <c r="B2483" s="201"/>
      <c r="C2483" s="201"/>
      <c r="D2483" s="201"/>
      <c r="E2483" s="201"/>
      <c r="F2483" s="201"/>
      <c r="G2483" s="201"/>
      <c r="H2483" s="203"/>
      <c r="I2483" s="201"/>
      <c r="J2483" s="204"/>
      <c r="K2483" s="201"/>
      <c r="L2483" s="201"/>
    </row>
    <row r="2484">
      <c r="A2484" s="200"/>
      <c r="B2484" s="201"/>
      <c r="C2484" s="201"/>
      <c r="D2484" s="201"/>
      <c r="E2484" s="201"/>
      <c r="F2484" s="201"/>
      <c r="G2484" s="201"/>
      <c r="H2484" s="203"/>
      <c r="I2484" s="201"/>
      <c r="J2484" s="204"/>
      <c r="K2484" s="201"/>
      <c r="L2484" s="201"/>
    </row>
    <row r="2485">
      <c r="A2485" s="200"/>
      <c r="B2485" s="201"/>
      <c r="C2485" s="201"/>
      <c r="D2485" s="201"/>
      <c r="E2485" s="201"/>
      <c r="F2485" s="201"/>
      <c r="G2485" s="201"/>
      <c r="H2485" s="203"/>
      <c r="I2485" s="201"/>
      <c r="J2485" s="204"/>
      <c r="K2485" s="201"/>
      <c r="L2485" s="201"/>
    </row>
    <row r="2486">
      <c r="A2486" s="200"/>
      <c r="B2486" s="201"/>
      <c r="C2486" s="201"/>
      <c r="D2486" s="201"/>
      <c r="E2486" s="201"/>
      <c r="F2486" s="201"/>
      <c r="G2486" s="201"/>
      <c r="H2486" s="203"/>
      <c r="I2486" s="201"/>
      <c r="J2486" s="204"/>
      <c r="K2486" s="201"/>
      <c r="L2486" s="201"/>
    </row>
    <row r="2487">
      <c r="A2487" s="200"/>
      <c r="B2487" s="201"/>
      <c r="C2487" s="201"/>
      <c r="D2487" s="201"/>
      <c r="E2487" s="201"/>
      <c r="F2487" s="201"/>
      <c r="G2487" s="201"/>
      <c r="H2487" s="203"/>
      <c r="I2487" s="201"/>
      <c r="J2487" s="204"/>
      <c r="K2487" s="201"/>
      <c r="L2487" s="201"/>
    </row>
    <row r="2488">
      <c r="A2488" s="200"/>
      <c r="B2488" s="201"/>
      <c r="C2488" s="201"/>
      <c r="D2488" s="201"/>
      <c r="E2488" s="201"/>
      <c r="F2488" s="201"/>
      <c r="G2488" s="201"/>
      <c r="H2488" s="203"/>
      <c r="I2488" s="201"/>
      <c r="J2488" s="204"/>
      <c r="K2488" s="201"/>
      <c r="L2488" s="201"/>
    </row>
    <row r="2489">
      <c r="A2489" s="200"/>
      <c r="B2489" s="201"/>
      <c r="C2489" s="201"/>
      <c r="D2489" s="201"/>
      <c r="E2489" s="201"/>
      <c r="F2489" s="201"/>
      <c r="G2489" s="201"/>
      <c r="H2489" s="203"/>
      <c r="I2489" s="201"/>
      <c r="J2489" s="204"/>
      <c r="K2489" s="201"/>
      <c r="L2489" s="201"/>
    </row>
    <row r="2490">
      <c r="A2490" s="200"/>
      <c r="B2490" s="201"/>
      <c r="C2490" s="201"/>
      <c r="D2490" s="201"/>
      <c r="E2490" s="201"/>
      <c r="F2490" s="201"/>
      <c r="G2490" s="201"/>
      <c r="H2490" s="203"/>
      <c r="I2490" s="201"/>
      <c r="J2490" s="204"/>
      <c r="K2490" s="201"/>
      <c r="L2490" s="201"/>
    </row>
    <row r="2491">
      <c r="A2491" s="200"/>
      <c r="B2491" s="201"/>
      <c r="C2491" s="201"/>
      <c r="D2491" s="201"/>
      <c r="E2491" s="201"/>
      <c r="F2491" s="201"/>
      <c r="G2491" s="201"/>
      <c r="H2491" s="203"/>
      <c r="I2491" s="201"/>
      <c r="J2491" s="204"/>
      <c r="K2491" s="201"/>
      <c r="L2491" s="201"/>
    </row>
    <row r="2492">
      <c r="A2492" s="200"/>
      <c r="B2492" s="201"/>
      <c r="C2492" s="201"/>
      <c r="D2492" s="201"/>
      <c r="E2492" s="201"/>
      <c r="F2492" s="201"/>
      <c r="G2492" s="201"/>
      <c r="H2492" s="203"/>
      <c r="I2492" s="201"/>
      <c r="J2492" s="204"/>
      <c r="K2492" s="201"/>
      <c r="L2492" s="201"/>
    </row>
    <row r="2493">
      <c r="A2493" s="200"/>
      <c r="B2493" s="201"/>
      <c r="C2493" s="201"/>
      <c r="D2493" s="201"/>
      <c r="E2493" s="201"/>
      <c r="F2493" s="201"/>
      <c r="G2493" s="201"/>
      <c r="H2493" s="203"/>
      <c r="I2493" s="201"/>
      <c r="J2493" s="204"/>
      <c r="K2493" s="201"/>
      <c r="L2493" s="201"/>
    </row>
    <row r="2494">
      <c r="A2494" s="200"/>
      <c r="B2494" s="201"/>
      <c r="C2494" s="201"/>
      <c r="D2494" s="201"/>
      <c r="E2494" s="201"/>
      <c r="F2494" s="201"/>
      <c r="G2494" s="201"/>
      <c r="H2494" s="203"/>
      <c r="I2494" s="201"/>
      <c r="J2494" s="204"/>
      <c r="K2494" s="201"/>
      <c r="L2494" s="201"/>
    </row>
    <row r="2495">
      <c r="A2495" s="200"/>
      <c r="B2495" s="201"/>
      <c r="C2495" s="201"/>
      <c r="D2495" s="201"/>
      <c r="E2495" s="201"/>
      <c r="F2495" s="201"/>
      <c r="G2495" s="201"/>
      <c r="H2495" s="203"/>
      <c r="I2495" s="201"/>
      <c r="J2495" s="204"/>
      <c r="K2495" s="201"/>
      <c r="L2495" s="201"/>
    </row>
    <row r="2496">
      <c r="A2496" s="200"/>
      <c r="B2496" s="201"/>
      <c r="C2496" s="201"/>
      <c r="D2496" s="201"/>
      <c r="E2496" s="201"/>
      <c r="F2496" s="201"/>
      <c r="G2496" s="201"/>
      <c r="H2496" s="203"/>
      <c r="I2496" s="201"/>
      <c r="J2496" s="204"/>
      <c r="K2496" s="201"/>
      <c r="L2496" s="201"/>
    </row>
    <row r="2497">
      <c r="A2497" s="200"/>
      <c r="B2497" s="201"/>
      <c r="C2497" s="201"/>
      <c r="D2497" s="201"/>
      <c r="E2497" s="201"/>
      <c r="F2497" s="201"/>
      <c r="G2497" s="201"/>
      <c r="H2497" s="203"/>
      <c r="I2497" s="201"/>
      <c r="J2497" s="204"/>
      <c r="K2497" s="201"/>
      <c r="L2497" s="201"/>
    </row>
    <row r="2498">
      <c r="A2498" s="200"/>
      <c r="B2498" s="201"/>
      <c r="C2498" s="201"/>
      <c r="D2498" s="201"/>
      <c r="E2498" s="201"/>
      <c r="F2498" s="201"/>
      <c r="G2498" s="201"/>
      <c r="H2498" s="203"/>
      <c r="I2498" s="201"/>
      <c r="J2498" s="204"/>
      <c r="K2498" s="201"/>
      <c r="L2498" s="201"/>
    </row>
    <row r="2499">
      <c r="A2499" s="200"/>
      <c r="B2499" s="201"/>
      <c r="C2499" s="201"/>
      <c r="D2499" s="201"/>
      <c r="E2499" s="201"/>
      <c r="F2499" s="201"/>
      <c r="G2499" s="201"/>
      <c r="H2499" s="203"/>
      <c r="I2499" s="201"/>
      <c r="J2499" s="204"/>
      <c r="K2499" s="201"/>
      <c r="L2499" s="201"/>
    </row>
    <row r="2500">
      <c r="A2500" s="200"/>
      <c r="B2500" s="201"/>
      <c r="C2500" s="201"/>
      <c r="D2500" s="201"/>
      <c r="E2500" s="201"/>
      <c r="F2500" s="201"/>
      <c r="G2500" s="201"/>
      <c r="H2500" s="203"/>
      <c r="I2500" s="201"/>
      <c r="J2500" s="204"/>
      <c r="K2500" s="201"/>
      <c r="L2500" s="201"/>
    </row>
    <row r="2501">
      <c r="A2501" s="200"/>
      <c r="B2501" s="201"/>
      <c r="C2501" s="201"/>
      <c r="D2501" s="201"/>
      <c r="E2501" s="201"/>
      <c r="F2501" s="201"/>
      <c r="G2501" s="201"/>
      <c r="H2501" s="203"/>
      <c r="I2501" s="201"/>
      <c r="J2501" s="204"/>
      <c r="K2501" s="201"/>
      <c r="L2501" s="201"/>
    </row>
    <row r="2502">
      <c r="A2502" s="200"/>
      <c r="B2502" s="201"/>
      <c r="C2502" s="201"/>
      <c r="D2502" s="201"/>
      <c r="E2502" s="201"/>
      <c r="F2502" s="201"/>
      <c r="G2502" s="201"/>
      <c r="H2502" s="203"/>
      <c r="I2502" s="201"/>
      <c r="J2502" s="204"/>
      <c r="K2502" s="201"/>
      <c r="L2502" s="201"/>
    </row>
    <row r="2503">
      <c r="A2503" s="200"/>
      <c r="B2503" s="201"/>
      <c r="C2503" s="201"/>
      <c r="D2503" s="201"/>
      <c r="E2503" s="201"/>
      <c r="F2503" s="201"/>
      <c r="G2503" s="201"/>
      <c r="H2503" s="203"/>
      <c r="I2503" s="201"/>
      <c r="J2503" s="204"/>
      <c r="K2503" s="201"/>
      <c r="L2503" s="201"/>
    </row>
    <row r="2504">
      <c r="A2504" s="200"/>
      <c r="B2504" s="201"/>
      <c r="C2504" s="201"/>
      <c r="D2504" s="201"/>
      <c r="E2504" s="201"/>
      <c r="F2504" s="201"/>
      <c r="G2504" s="201"/>
      <c r="H2504" s="203"/>
      <c r="I2504" s="201"/>
      <c r="J2504" s="204"/>
      <c r="K2504" s="201"/>
      <c r="L2504" s="201"/>
    </row>
    <row r="2505">
      <c r="A2505" s="200"/>
      <c r="B2505" s="201"/>
      <c r="C2505" s="201"/>
      <c r="D2505" s="201"/>
      <c r="E2505" s="201"/>
      <c r="F2505" s="201"/>
      <c r="G2505" s="201"/>
      <c r="H2505" s="203"/>
      <c r="I2505" s="201"/>
      <c r="J2505" s="204"/>
      <c r="K2505" s="201"/>
      <c r="L2505" s="201"/>
    </row>
    <row r="2506">
      <c r="A2506" s="200"/>
      <c r="B2506" s="201"/>
      <c r="C2506" s="201"/>
      <c r="D2506" s="201"/>
      <c r="E2506" s="201"/>
      <c r="F2506" s="201"/>
      <c r="G2506" s="201"/>
      <c r="H2506" s="203"/>
      <c r="I2506" s="201"/>
      <c r="J2506" s="204"/>
      <c r="K2506" s="201"/>
      <c r="L2506" s="201"/>
    </row>
    <row r="2507">
      <c r="A2507" s="200"/>
      <c r="B2507" s="201"/>
      <c r="C2507" s="201"/>
      <c r="D2507" s="201"/>
      <c r="E2507" s="201"/>
      <c r="F2507" s="201"/>
      <c r="G2507" s="201"/>
      <c r="H2507" s="203"/>
      <c r="I2507" s="201"/>
      <c r="J2507" s="204"/>
      <c r="K2507" s="201"/>
      <c r="L2507" s="201"/>
    </row>
    <row r="2508">
      <c r="A2508" s="200"/>
      <c r="B2508" s="201"/>
      <c r="C2508" s="201"/>
      <c r="D2508" s="201"/>
      <c r="E2508" s="201"/>
      <c r="F2508" s="201"/>
      <c r="G2508" s="201"/>
      <c r="H2508" s="203"/>
      <c r="I2508" s="201"/>
      <c r="J2508" s="204"/>
      <c r="K2508" s="201"/>
      <c r="L2508" s="201"/>
    </row>
    <row r="2509">
      <c r="A2509" s="200"/>
      <c r="B2509" s="201"/>
      <c r="C2509" s="201"/>
      <c r="D2509" s="201"/>
      <c r="E2509" s="201"/>
      <c r="F2509" s="201"/>
      <c r="G2509" s="201"/>
      <c r="H2509" s="203"/>
      <c r="I2509" s="201"/>
      <c r="J2509" s="204"/>
      <c r="K2509" s="201"/>
      <c r="L2509" s="201"/>
    </row>
    <row r="2510">
      <c r="A2510" s="200"/>
      <c r="B2510" s="201"/>
      <c r="C2510" s="201"/>
      <c r="D2510" s="201"/>
      <c r="E2510" s="201"/>
      <c r="F2510" s="201"/>
      <c r="G2510" s="201"/>
      <c r="H2510" s="203"/>
      <c r="I2510" s="201"/>
      <c r="J2510" s="204"/>
      <c r="K2510" s="201"/>
      <c r="L2510" s="201"/>
    </row>
    <row r="2511">
      <c r="A2511" s="200"/>
      <c r="B2511" s="201"/>
      <c r="C2511" s="201"/>
      <c r="D2511" s="201"/>
      <c r="E2511" s="201"/>
      <c r="F2511" s="201"/>
      <c r="G2511" s="201"/>
      <c r="H2511" s="203"/>
      <c r="I2511" s="201"/>
      <c r="J2511" s="204"/>
      <c r="K2511" s="201"/>
      <c r="L2511" s="201"/>
    </row>
    <row r="2512">
      <c r="A2512" s="200"/>
      <c r="B2512" s="201"/>
      <c r="C2512" s="201"/>
      <c r="D2512" s="201"/>
      <c r="E2512" s="201"/>
      <c r="F2512" s="201"/>
      <c r="G2512" s="201"/>
      <c r="H2512" s="203"/>
      <c r="I2512" s="201"/>
      <c r="J2512" s="204"/>
      <c r="K2512" s="201"/>
      <c r="L2512" s="201"/>
    </row>
    <row r="2513">
      <c r="A2513" s="200"/>
      <c r="B2513" s="201"/>
      <c r="C2513" s="201"/>
      <c r="D2513" s="201"/>
      <c r="E2513" s="201"/>
      <c r="F2513" s="201"/>
      <c r="G2513" s="201"/>
      <c r="H2513" s="203"/>
      <c r="I2513" s="201"/>
      <c r="J2513" s="204"/>
      <c r="K2513" s="201"/>
      <c r="L2513" s="201"/>
    </row>
    <row r="2514">
      <c r="A2514" s="200"/>
      <c r="B2514" s="201"/>
      <c r="C2514" s="201"/>
      <c r="D2514" s="201"/>
      <c r="E2514" s="201"/>
      <c r="F2514" s="201"/>
      <c r="G2514" s="201"/>
      <c r="H2514" s="203"/>
      <c r="I2514" s="201"/>
      <c r="J2514" s="204"/>
      <c r="K2514" s="201"/>
      <c r="L2514" s="201"/>
    </row>
    <row r="2515">
      <c r="A2515" s="200"/>
      <c r="B2515" s="201"/>
      <c r="C2515" s="201"/>
      <c r="D2515" s="201"/>
      <c r="E2515" s="201"/>
      <c r="F2515" s="201"/>
      <c r="G2515" s="201"/>
      <c r="H2515" s="203"/>
      <c r="I2515" s="201"/>
      <c r="J2515" s="204"/>
      <c r="K2515" s="201"/>
      <c r="L2515" s="201"/>
    </row>
    <row r="2516">
      <c r="A2516" s="200"/>
      <c r="B2516" s="201"/>
      <c r="C2516" s="201"/>
      <c r="D2516" s="201"/>
      <c r="E2516" s="201"/>
      <c r="F2516" s="201"/>
      <c r="G2516" s="201"/>
      <c r="H2516" s="203"/>
      <c r="I2516" s="201"/>
      <c r="J2516" s="204"/>
      <c r="K2516" s="201"/>
      <c r="L2516" s="201"/>
    </row>
    <row r="2517">
      <c r="A2517" s="200"/>
      <c r="B2517" s="201"/>
      <c r="C2517" s="201"/>
      <c r="D2517" s="201"/>
      <c r="E2517" s="201"/>
      <c r="F2517" s="201"/>
      <c r="G2517" s="201"/>
      <c r="H2517" s="203"/>
      <c r="I2517" s="201"/>
      <c r="J2517" s="204"/>
      <c r="K2517" s="201"/>
      <c r="L2517" s="201"/>
    </row>
    <row r="2518">
      <c r="A2518" s="200"/>
      <c r="B2518" s="201"/>
      <c r="C2518" s="201"/>
      <c r="D2518" s="201"/>
      <c r="E2518" s="201"/>
      <c r="F2518" s="201"/>
      <c r="G2518" s="201"/>
      <c r="H2518" s="203"/>
      <c r="I2518" s="201"/>
      <c r="J2518" s="204"/>
      <c r="K2518" s="201"/>
      <c r="L2518" s="201"/>
    </row>
    <row r="2519">
      <c r="A2519" s="200"/>
      <c r="B2519" s="201"/>
      <c r="C2519" s="201"/>
      <c r="D2519" s="201"/>
      <c r="E2519" s="201"/>
      <c r="F2519" s="201"/>
      <c r="G2519" s="201"/>
      <c r="H2519" s="203"/>
      <c r="I2519" s="201"/>
      <c r="J2519" s="204"/>
      <c r="K2519" s="201"/>
      <c r="L2519" s="201"/>
    </row>
    <row r="2520">
      <c r="A2520" s="200"/>
      <c r="B2520" s="201"/>
      <c r="C2520" s="201"/>
      <c r="D2520" s="201"/>
      <c r="E2520" s="201"/>
      <c r="F2520" s="201"/>
      <c r="G2520" s="201"/>
      <c r="H2520" s="203"/>
      <c r="I2520" s="201"/>
      <c r="J2520" s="204"/>
      <c r="K2520" s="201"/>
      <c r="L2520" s="201"/>
    </row>
    <row r="2521">
      <c r="A2521" s="200"/>
      <c r="B2521" s="201"/>
      <c r="C2521" s="201"/>
      <c r="D2521" s="201"/>
      <c r="E2521" s="201"/>
      <c r="F2521" s="201"/>
      <c r="G2521" s="201"/>
      <c r="H2521" s="203"/>
      <c r="I2521" s="201"/>
      <c r="J2521" s="204"/>
      <c r="K2521" s="201"/>
      <c r="L2521" s="201"/>
    </row>
    <row r="2522">
      <c r="A2522" s="200"/>
      <c r="B2522" s="201"/>
      <c r="C2522" s="201"/>
      <c r="D2522" s="201"/>
      <c r="E2522" s="201"/>
      <c r="F2522" s="201"/>
      <c r="G2522" s="201"/>
      <c r="H2522" s="203"/>
      <c r="I2522" s="201"/>
      <c r="J2522" s="204"/>
      <c r="K2522" s="201"/>
      <c r="L2522" s="201"/>
    </row>
    <row r="2523">
      <c r="A2523" s="200"/>
      <c r="B2523" s="201"/>
      <c r="C2523" s="201"/>
      <c r="D2523" s="201"/>
      <c r="E2523" s="201"/>
      <c r="F2523" s="201"/>
      <c r="G2523" s="201"/>
      <c r="H2523" s="203"/>
      <c r="I2523" s="201"/>
      <c r="J2523" s="204"/>
      <c r="K2523" s="201"/>
      <c r="L2523" s="201"/>
    </row>
    <row r="2524">
      <c r="A2524" s="200"/>
      <c r="B2524" s="201"/>
      <c r="C2524" s="201"/>
      <c r="D2524" s="201"/>
      <c r="E2524" s="201"/>
      <c r="F2524" s="201"/>
      <c r="G2524" s="201"/>
      <c r="H2524" s="203"/>
      <c r="I2524" s="201"/>
      <c r="J2524" s="204"/>
      <c r="K2524" s="201"/>
      <c r="L2524" s="201"/>
    </row>
    <row r="2525">
      <c r="A2525" s="200"/>
      <c r="B2525" s="201"/>
      <c r="C2525" s="201"/>
      <c r="D2525" s="201"/>
      <c r="E2525" s="201"/>
      <c r="F2525" s="201"/>
      <c r="G2525" s="201"/>
      <c r="H2525" s="203"/>
      <c r="I2525" s="201"/>
      <c r="J2525" s="204"/>
      <c r="K2525" s="201"/>
      <c r="L2525" s="201"/>
    </row>
    <row r="2526">
      <c r="A2526" s="200"/>
      <c r="B2526" s="201"/>
      <c r="C2526" s="201"/>
      <c r="D2526" s="201"/>
      <c r="E2526" s="201"/>
      <c r="F2526" s="201"/>
      <c r="G2526" s="201"/>
      <c r="H2526" s="203"/>
      <c r="I2526" s="201"/>
      <c r="J2526" s="204"/>
      <c r="K2526" s="201"/>
      <c r="L2526" s="201"/>
    </row>
    <row r="2527">
      <c r="A2527" s="200"/>
      <c r="B2527" s="201"/>
      <c r="C2527" s="201"/>
      <c r="D2527" s="201"/>
      <c r="E2527" s="201"/>
      <c r="F2527" s="201"/>
      <c r="G2527" s="201"/>
      <c r="H2527" s="203"/>
      <c r="I2527" s="201"/>
      <c r="J2527" s="204"/>
      <c r="K2527" s="201"/>
      <c r="L2527" s="201"/>
    </row>
    <row r="2528">
      <c r="A2528" s="200"/>
      <c r="B2528" s="201"/>
      <c r="C2528" s="201"/>
      <c r="D2528" s="201"/>
      <c r="E2528" s="201"/>
      <c r="F2528" s="201"/>
      <c r="G2528" s="201"/>
      <c r="H2528" s="203"/>
      <c r="I2528" s="201"/>
      <c r="J2528" s="204"/>
      <c r="K2528" s="201"/>
      <c r="L2528" s="201"/>
    </row>
    <row r="2529">
      <c r="A2529" s="200"/>
      <c r="B2529" s="201"/>
      <c r="C2529" s="201"/>
      <c r="D2529" s="201"/>
      <c r="E2529" s="201"/>
      <c r="F2529" s="201"/>
      <c r="G2529" s="201"/>
      <c r="H2529" s="203"/>
      <c r="I2529" s="201"/>
      <c r="J2529" s="204"/>
      <c r="K2529" s="201"/>
      <c r="L2529" s="201"/>
    </row>
    <row r="2530">
      <c r="A2530" s="200"/>
      <c r="B2530" s="201"/>
      <c r="C2530" s="201"/>
      <c r="D2530" s="201"/>
      <c r="E2530" s="201"/>
      <c r="F2530" s="201"/>
      <c r="G2530" s="201"/>
      <c r="H2530" s="203"/>
      <c r="I2530" s="201"/>
      <c r="J2530" s="204"/>
      <c r="K2530" s="201"/>
      <c r="L2530" s="201"/>
    </row>
    <row r="2531">
      <c r="A2531" s="200"/>
      <c r="B2531" s="201"/>
      <c r="C2531" s="201"/>
      <c r="D2531" s="201"/>
      <c r="E2531" s="201"/>
      <c r="F2531" s="201"/>
      <c r="G2531" s="201"/>
      <c r="H2531" s="203"/>
      <c r="I2531" s="201"/>
      <c r="J2531" s="204"/>
      <c r="K2531" s="201"/>
      <c r="L2531" s="201"/>
    </row>
    <row r="2532">
      <c r="A2532" s="200"/>
      <c r="B2532" s="201"/>
      <c r="C2532" s="201"/>
      <c r="D2532" s="201"/>
      <c r="E2532" s="201"/>
      <c r="F2532" s="201"/>
      <c r="G2532" s="201"/>
      <c r="H2532" s="203"/>
      <c r="I2532" s="201"/>
      <c r="J2532" s="204"/>
      <c r="K2532" s="201"/>
      <c r="L2532" s="201"/>
    </row>
    <row r="2533">
      <c r="A2533" s="200"/>
      <c r="B2533" s="201"/>
      <c r="C2533" s="201"/>
      <c r="D2533" s="201"/>
      <c r="E2533" s="201"/>
      <c r="F2533" s="201"/>
      <c r="G2533" s="201"/>
      <c r="H2533" s="203"/>
      <c r="I2533" s="201"/>
      <c r="J2533" s="204"/>
      <c r="K2533" s="201"/>
      <c r="L2533" s="201"/>
    </row>
    <row r="2534">
      <c r="A2534" s="200"/>
      <c r="B2534" s="201"/>
      <c r="C2534" s="201"/>
      <c r="D2534" s="201"/>
      <c r="E2534" s="201"/>
      <c r="F2534" s="201"/>
      <c r="G2534" s="201"/>
      <c r="H2534" s="203"/>
      <c r="I2534" s="201"/>
      <c r="J2534" s="204"/>
      <c r="K2534" s="201"/>
      <c r="L2534" s="201"/>
    </row>
    <row r="2535">
      <c r="A2535" s="200"/>
      <c r="B2535" s="201"/>
      <c r="C2535" s="201"/>
      <c r="D2535" s="201"/>
      <c r="E2535" s="201"/>
      <c r="F2535" s="201"/>
      <c r="G2535" s="201"/>
      <c r="H2535" s="203"/>
      <c r="I2535" s="201"/>
      <c r="J2535" s="204"/>
      <c r="K2535" s="201"/>
      <c r="L2535" s="201"/>
    </row>
    <row r="2536">
      <c r="A2536" s="200"/>
      <c r="B2536" s="201"/>
      <c r="C2536" s="201"/>
      <c r="D2536" s="201"/>
      <c r="E2536" s="201"/>
      <c r="F2536" s="201"/>
      <c r="G2536" s="201"/>
      <c r="H2536" s="203"/>
      <c r="I2536" s="201"/>
      <c r="J2536" s="204"/>
      <c r="K2536" s="201"/>
      <c r="L2536" s="201"/>
    </row>
    <row r="2537">
      <c r="A2537" s="200"/>
      <c r="B2537" s="201"/>
      <c r="C2537" s="201"/>
      <c r="D2537" s="201"/>
      <c r="E2537" s="201"/>
      <c r="F2537" s="201"/>
      <c r="G2537" s="201"/>
      <c r="H2537" s="203"/>
      <c r="I2537" s="201"/>
      <c r="J2537" s="204"/>
      <c r="K2537" s="201"/>
      <c r="L2537" s="201"/>
    </row>
    <row r="2538">
      <c r="A2538" s="200"/>
      <c r="B2538" s="201"/>
      <c r="C2538" s="201"/>
      <c r="D2538" s="201"/>
      <c r="E2538" s="201"/>
      <c r="F2538" s="201"/>
      <c r="G2538" s="201"/>
      <c r="H2538" s="203"/>
      <c r="I2538" s="201"/>
      <c r="J2538" s="204"/>
      <c r="K2538" s="201"/>
      <c r="L2538" s="201"/>
    </row>
    <row r="2539">
      <c r="A2539" s="200"/>
      <c r="B2539" s="201"/>
      <c r="C2539" s="201"/>
      <c r="D2539" s="201"/>
      <c r="E2539" s="201"/>
      <c r="F2539" s="201"/>
      <c r="G2539" s="201"/>
      <c r="H2539" s="203"/>
      <c r="I2539" s="201"/>
      <c r="J2539" s="204"/>
      <c r="K2539" s="201"/>
      <c r="L2539" s="201"/>
    </row>
    <row r="2540">
      <c r="A2540" s="200"/>
      <c r="B2540" s="201"/>
      <c r="C2540" s="201"/>
      <c r="D2540" s="201"/>
      <c r="E2540" s="201"/>
      <c r="F2540" s="201"/>
      <c r="G2540" s="201"/>
      <c r="H2540" s="203"/>
      <c r="I2540" s="201"/>
      <c r="J2540" s="204"/>
      <c r="K2540" s="201"/>
      <c r="L2540" s="201"/>
    </row>
    <row r="2541">
      <c r="A2541" s="200"/>
      <c r="B2541" s="201"/>
      <c r="C2541" s="201"/>
      <c r="D2541" s="201"/>
      <c r="E2541" s="201"/>
      <c r="F2541" s="201"/>
      <c r="G2541" s="201"/>
      <c r="H2541" s="203"/>
      <c r="I2541" s="201"/>
      <c r="J2541" s="204"/>
      <c r="K2541" s="201"/>
      <c r="L2541" s="201"/>
    </row>
    <row r="2542">
      <c r="A2542" s="200"/>
      <c r="B2542" s="201"/>
      <c r="C2542" s="201"/>
      <c r="D2542" s="201"/>
      <c r="E2542" s="201"/>
      <c r="F2542" s="201"/>
      <c r="G2542" s="201"/>
      <c r="H2542" s="203"/>
      <c r="I2542" s="201"/>
      <c r="J2542" s="204"/>
      <c r="K2542" s="201"/>
      <c r="L2542" s="201"/>
    </row>
    <row r="2543">
      <c r="A2543" s="200"/>
      <c r="B2543" s="201"/>
      <c r="C2543" s="201"/>
      <c r="D2543" s="201"/>
      <c r="E2543" s="201"/>
      <c r="F2543" s="201"/>
      <c r="G2543" s="201"/>
      <c r="H2543" s="203"/>
      <c r="I2543" s="201"/>
      <c r="J2543" s="204"/>
      <c r="K2543" s="201"/>
      <c r="L2543" s="201"/>
    </row>
    <row r="2544">
      <c r="A2544" s="200"/>
      <c r="B2544" s="201"/>
      <c r="C2544" s="201"/>
      <c r="D2544" s="201"/>
      <c r="E2544" s="201"/>
      <c r="F2544" s="201"/>
      <c r="G2544" s="201"/>
      <c r="H2544" s="203"/>
      <c r="I2544" s="201"/>
      <c r="J2544" s="204"/>
      <c r="K2544" s="201"/>
      <c r="L2544" s="201"/>
    </row>
    <row r="2545">
      <c r="A2545" s="200"/>
      <c r="B2545" s="201"/>
      <c r="C2545" s="201"/>
      <c r="D2545" s="201"/>
      <c r="E2545" s="201"/>
      <c r="F2545" s="201"/>
      <c r="G2545" s="201"/>
      <c r="H2545" s="203"/>
      <c r="I2545" s="201"/>
      <c r="J2545" s="204"/>
      <c r="K2545" s="201"/>
      <c r="L2545" s="201"/>
    </row>
    <row r="2546">
      <c r="A2546" s="200"/>
      <c r="B2546" s="201"/>
      <c r="C2546" s="201"/>
      <c r="D2546" s="201"/>
      <c r="E2546" s="201"/>
      <c r="F2546" s="201"/>
      <c r="G2546" s="201"/>
      <c r="H2546" s="203"/>
      <c r="I2546" s="201"/>
      <c r="J2546" s="204"/>
      <c r="K2546" s="201"/>
      <c r="L2546" s="201"/>
    </row>
    <row r="2547">
      <c r="A2547" s="200"/>
      <c r="B2547" s="201"/>
      <c r="C2547" s="201"/>
      <c r="D2547" s="201"/>
      <c r="E2547" s="201"/>
      <c r="F2547" s="201"/>
      <c r="G2547" s="201"/>
      <c r="H2547" s="203"/>
      <c r="I2547" s="201"/>
      <c r="J2547" s="204"/>
      <c r="K2547" s="201"/>
      <c r="L2547" s="201"/>
    </row>
    <row r="2548">
      <c r="A2548" s="200"/>
      <c r="B2548" s="201"/>
      <c r="C2548" s="201"/>
      <c r="D2548" s="201"/>
      <c r="E2548" s="201"/>
      <c r="F2548" s="201"/>
      <c r="G2548" s="201"/>
      <c r="H2548" s="203"/>
      <c r="I2548" s="201"/>
      <c r="J2548" s="204"/>
      <c r="K2548" s="201"/>
      <c r="L2548" s="201"/>
    </row>
    <row r="2549">
      <c r="A2549" s="200"/>
      <c r="B2549" s="201"/>
      <c r="C2549" s="201"/>
      <c r="D2549" s="201"/>
      <c r="E2549" s="201"/>
      <c r="F2549" s="201"/>
      <c r="G2549" s="201"/>
      <c r="H2549" s="203"/>
      <c r="I2549" s="201"/>
      <c r="J2549" s="204"/>
      <c r="K2549" s="201"/>
      <c r="L2549" s="201"/>
    </row>
    <row r="2550">
      <c r="A2550" s="200"/>
      <c r="B2550" s="201"/>
      <c r="C2550" s="201"/>
      <c r="D2550" s="201"/>
      <c r="E2550" s="201"/>
      <c r="F2550" s="201"/>
      <c r="G2550" s="201"/>
      <c r="H2550" s="203"/>
      <c r="I2550" s="201"/>
      <c r="J2550" s="204"/>
      <c r="K2550" s="201"/>
      <c r="L2550" s="201"/>
    </row>
    <row r="2551">
      <c r="A2551" s="200"/>
      <c r="B2551" s="201"/>
      <c r="C2551" s="201"/>
      <c r="D2551" s="201"/>
      <c r="E2551" s="201"/>
      <c r="F2551" s="201"/>
      <c r="G2551" s="201"/>
      <c r="H2551" s="203"/>
      <c r="I2551" s="201"/>
      <c r="J2551" s="204"/>
      <c r="K2551" s="201"/>
      <c r="L2551" s="201"/>
    </row>
    <row r="2552">
      <c r="A2552" s="200"/>
      <c r="B2552" s="201"/>
      <c r="C2552" s="201"/>
      <c r="D2552" s="201"/>
      <c r="E2552" s="201"/>
      <c r="F2552" s="201"/>
      <c r="G2552" s="201"/>
      <c r="H2552" s="203"/>
      <c r="I2552" s="201"/>
      <c r="J2552" s="204"/>
      <c r="K2552" s="201"/>
      <c r="L2552" s="201"/>
    </row>
    <row r="2553">
      <c r="A2553" s="200"/>
      <c r="B2553" s="201"/>
      <c r="C2553" s="201"/>
      <c r="D2553" s="201"/>
      <c r="E2553" s="201"/>
      <c r="F2553" s="201"/>
      <c r="G2553" s="201"/>
      <c r="H2553" s="203"/>
      <c r="I2553" s="201"/>
      <c r="J2553" s="204"/>
      <c r="K2553" s="201"/>
      <c r="L2553" s="201"/>
    </row>
    <row r="2554">
      <c r="A2554" s="200"/>
      <c r="B2554" s="201"/>
      <c r="C2554" s="201"/>
      <c r="D2554" s="201"/>
      <c r="E2554" s="201"/>
      <c r="F2554" s="201"/>
      <c r="G2554" s="201"/>
      <c r="H2554" s="203"/>
      <c r="I2554" s="201"/>
      <c r="J2554" s="204"/>
      <c r="K2554" s="201"/>
      <c r="L2554" s="201"/>
    </row>
    <row r="2555">
      <c r="A2555" s="200"/>
      <c r="B2555" s="201"/>
      <c r="C2555" s="201"/>
      <c r="D2555" s="201"/>
      <c r="E2555" s="201"/>
      <c r="F2555" s="201"/>
      <c r="G2555" s="201"/>
      <c r="H2555" s="203"/>
      <c r="I2555" s="201"/>
      <c r="J2555" s="204"/>
      <c r="K2555" s="201"/>
      <c r="L2555" s="201"/>
    </row>
    <row r="2556">
      <c r="A2556" s="200"/>
      <c r="B2556" s="201"/>
      <c r="C2556" s="201"/>
      <c r="D2556" s="201"/>
      <c r="E2556" s="201"/>
      <c r="F2556" s="201"/>
      <c r="G2556" s="201"/>
      <c r="H2556" s="203"/>
      <c r="I2556" s="201"/>
      <c r="J2556" s="204"/>
      <c r="K2556" s="201"/>
      <c r="L2556" s="201"/>
    </row>
    <row r="2557">
      <c r="A2557" s="200"/>
      <c r="B2557" s="201"/>
      <c r="C2557" s="201"/>
      <c r="D2557" s="201"/>
      <c r="E2557" s="201"/>
      <c r="F2557" s="201"/>
      <c r="G2557" s="201"/>
      <c r="H2557" s="203"/>
      <c r="I2557" s="201"/>
      <c r="J2557" s="204"/>
      <c r="K2557" s="201"/>
      <c r="L2557" s="201"/>
    </row>
    <row r="2558">
      <c r="A2558" s="200"/>
      <c r="B2558" s="201"/>
      <c r="C2558" s="201"/>
      <c r="D2558" s="201"/>
      <c r="E2558" s="201"/>
      <c r="F2558" s="201"/>
      <c r="G2558" s="201"/>
      <c r="H2558" s="203"/>
      <c r="I2558" s="201"/>
      <c r="J2558" s="204"/>
      <c r="K2558" s="201"/>
      <c r="L2558" s="201"/>
    </row>
    <row r="2559">
      <c r="A2559" s="200"/>
      <c r="B2559" s="201"/>
      <c r="C2559" s="201"/>
      <c r="D2559" s="201"/>
      <c r="E2559" s="201"/>
      <c r="F2559" s="201"/>
      <c r="G2559" s="201"/>
      <c r="H2559" s="203"/>
      <c r="I2559" s="201"/>
      <c r="J2559" s="204"/>
      <c r="K2559" s="201"/>
      <c r="L2559" s="201"/>
    </row>
    <row r="2560">
      <c r="A2560" s="200"/>
      <c r="B2560" s="201"/>
      <c r="C2560" s="201"/>
      <c r="D2560" s="201"/>
      <c r="E2560" s="201"/>
      <c r="F2560" s="201"/>
      <c r="G2560" s="201"/>
      <c r="H2560" s="203"/>
      <c r="I2560" s="201"/>
      <c r="J2560" s="204"/>
      <c r="K2560" s="201"/>
      <c r="L2560" s="201"/>
    </row>
    <row r="2561">
      <c r="A2561" s="200"/>
      <c r="B2561" s="201"/>
      <c r="C2561" s="201"/>
      <c r="D2561" s="201"/>
      <c r="E2561" s="201"/>
      <c r="F2561" s="201"/>
      <c r="G2561" s="201"/>
      <c r="H2561" s="203"/>
      <c r="I2561" s="201"/>
      <c r="J2561" s="204"/>
      <c r="K2561" s="201"/>
      <c r="L2561" s="201"/>
    </row>
    <row r="2562">
      <c r="A2562" s="200"/>
      <c r="B2562" s="201"/>
      <c r="C2562" s="201"/>
      <c r="D2562" s="201"/>
      <c r="E2562" s="201"/>
      <c r="F2562" s="201"/>
      <c r="G2562" s="201"/>
      <c r="H2562" s="203"/>
      <c r="I2562" s="201"/>
      <c r="J2562" s="204"/>
      <c r="K2562" s="201"/>
      <c r="L2562" s="201"/>
    </row>
    <row r="2563">
      <c r="A2563" s="200"/>
      <c r="B2563" s="201"/>
      <c r="C2563" s="201"/>
      <c r="D2563" s="201"/>
      <c r="E2563" s="201"/>
      <c r="F2563" s="201"/>
      <c r="G2563" s="201"/>
      <c r="H2563" s="203"/>
      <c r="I2563" s="201"/>
      <c r="J2563" s="204"/>
      <c r="K2563" s="201"/>
      <c r="L2563" s="201"/>
    </row>
    <row r="2564">
      <c r="A2564" s="200"/>
      <c r="B2564" s="201"/>
      <c r="C2564" s="201"/>
      <c r="D2564" s="201"/>
      <c r="E2564" s="201"/>
      <c r="F2564" s="201"/>
      <c r="G2564" s="201"/>
      <c r="H2564" s="203"/>
      <c r="I2564" s="201"/>
      <c r="J2564" s="204"/>
      <c r="K2564" s="201"/>
      <c r="L2564" s="201"/>
    </row>
    <row r="2565">
      <c r="A2565" s="200"/>
      <c r="B2565" s="201"/>
      <c r="C2565" s="201"/>
      <c r="D2565" s="201"/>
      <c r="E2565" s="201"/>
      <c r="F2565" s="201"/>
      <c r="G2565" s="201"/>
      <c r="H2565" s="203"/>
      <c r="I2565" s="201"/>
      <c r="J2565" s="204"/>
      <c r="K2565" s="201"/>
      <c r="L2565" s="201"/>
    </row>
    <row r="2566">
      <c r="A2566" s="200"/>
      <c r="B2566" s="201"/>
      <c r="C2566" s="201"/>
      <c r="D2566" s="201"/>
      <c r="E2566" s="201"/>
      <c r="F2566" s="201"/>
      <c r="G2566" s="201"/>
      <c r="H2566" s="203"/>
      <c r="I2566" s="201"/>
      <c r="J2566" s="204"/>
      <c r="K2566" s="201"/>
      <c r="L2566" s="201"/>
    </row>
    <row r="2567">
      <c r="A2567" s="200"/>
      <c r="B2567" s="201"/>
      <c r="C2567" s="201"/>
      <c r="D2567" s="201"/>
      <c r="E2567" s="201"/>
      <c r="F2567" s="201"/>
      <c r="G2567" s="201"/>
      <c r="H2567" s="203"/>
      <c r="I2567" s="201"/>
      <c r="J2567" s="204"/>
      <c r="K2567" s="201"/>
      <c r="L2567" s="201"/>
    </row>
    <row r="2568">
      <c r="A2568" s="200"/>
      <c r="B2568" s="201"/>
      <c r="C2568" s="201"/>
      <c r="D2568" s="201"/>
      <c r="E2568" s="201"/>
      <c r="F2568" s="201"/>
      <c r="G2568" s="201"/>
      <c r="H2568" s="203"/>
      <c r="I2568" s="201"/>
      <c r="J2568" s="204"/>
      <c r="K2568" s="201"/>
      <c r="L2568" s="201"/>
    </row>
    <row r="2569">
      <c r="A2569" s="200"/>
      <c r="B2569" s="201"/>
      <c r="C2569" s="201"/>
      <c r="D2569" s="201"/>
      <c r="E2569" s="201"/>
      <c r="F2569" s="201"/>
      <c r="G2569" s="201"/>
      <c r="H2569" s="203"/>
      <c r="I2569" s="201"/>
      <c r="J2569" s="204"/>
      <c r="K2569" s="201"/>
      <c r="L2569" s="201"/>
    </row>
    <row r="2570">
      <c r="A2570" s="200"/>
      <c r="B2570" s="201"/>
      <c r="C2570" s="201"/>
      <c r="D2570" s="201"/>
      <c r="E2570" s="201"/>
      <c r="F2570" s="201"/>
      <c r="G2570" s="201"/>
      <c r="H2570" s="203"/>
      <c r="I2570" s="201"/>
      <c r="J2570" s="204"/>
      <c r="K2570" s="201"/>
      <c r="L2570" s="201"/>
    </row>
    <row r="2571">
      <c r="A2571" s="200"/>
      <c r="B2571" s="201"/>
      <c r="C2571" s="201"/>
      <c r="D2571" s="201"/>
      <c r="E2571" s="201"/>
      <c r="F2571" s="201"/>
      <c r="G2571" s="201"/>
      <c r="H2571" s="203"/>
      <c r="I2571" s="201"/>
      <c r="J2571" s="204"/>
      <c r="K2571" s="201"/>
      <c r="L2571" s="201"/>
    </row>
    <row r="2572">
      <c r="A2572" s="200"/>
      <c r="B2572" s="201"/>
      <c r="C2572" s="201"/>
      <c r="D2572" s="201"/>
      <c r="E2572" s="201"/>
      <c r="F2572" s="201"/>
      <c r="G2572" s="201"/>
      <c r="H2572" s="203"/>
      <c r="I2572" s="201"/>
      <c r="J2572" s="204"/>
      <c r="K2572" s="201"/>
      <c r="L2572" s="201"/>
    </row>
    <row r="2573">
      <c r="A2573" s="200"/>
      <c r="B2573" s="201"/>
      <c r="C2573" s="201"/>
      <c r="D2573" s="201"/>
      <c r="E2573" s="201"/>
      <c r="F2573" s="201"/>
      <c r="G2573" s="201"/>
      <c r="H2573" s="203"/>
      <c r="I2573" s="201"/>
      <c r="J2573" s="204"/>
      <c r="K2573" s="201"/>
      <c r="L2573" s="201"/>
    </row>
    <row r="2574">
      <c r="A2574" s="200"/>
      <c r="B2574" s="201"/>
      <c r="C2574" s="201"/>
      <c r="D2574" s="201"/>
      <c r="E2574" s="201"/>
      <c r="F2574" s="201"/>
      <c r="G2574" s="201"/>
      <c r="H2574" s="203"/>
      <c r="I2574" s="201"/>
      <c r="J2574" s="204"/>
      <c r="K2574" s="201"/>
      <c r="L2574" s="201"/>
    </row>
    <row r="2575">
      <c r="A2575" s="200"/>
      <c r="B2575" s="201"/>
      <c r="C2575" s="201"/>
      <c r="D2575" s="201"/>
      <c r="E2575" s="201"/>
      <c r="F2575" s="201"/>
      <c r="G2575" s="201"/>
      <c r="H2575" s="203"/>
      <c r="I2575" s="201"/>
      <c r="J2575" s="204"/>
      <c r="K2575" s="201"/>
      <c r="L2575" s="201"/>
    </row>
    <row r="2576">
      <c r="A2576" s="200"/>
      <c r="B2576" s="201"/>
      <c r="C2576" s="201"/>
      <c r="D2576" s="201"/>
      <c r="E2576" s="201"/>
      <c r="F2576" s="201"/>
      <c r="G2576" s="201"/>
      <c r="H2576" s="203"/>
      <c r="I2576" s="201"/>
      <c r="J2576" s="204"/>
      <c r="K2576" s="201"/>
      <c r="L2576" s="201"/>
    </row>
    <row r="2577">
      <c r="A2577" s="200"/>
      <c r="B2577" s="201"/>
      <c r="C2577" s="201"/>
      <c r="D2577" s="201"/>
      <c r="E2577" s="201"/>
      <c r="F2577" s="201"/>
      <c r="G2577" s="201"/>
      <c r="H2577" s="203"/>
      <c r="I2577" s="201"/>
      <c r="J2577" s="204"/>
      <c r="K2577" s="201"/>
      <c r="L2577" s="201"/>
    </row>
    <row r="2578">
      <c r="A2578" s="200"/>
      <c r="B2578" s="201"/>
      <c r="C2578" s="201"/>
      <c r="D2578" s="201"/>
      <c r="E2578" s="201"/>
      <c r="F2578" s="201"/>
      <c r="G2578" s="201"/>
      <c r="H2578" s="203"/>
      <c r="I2578" s="201"/>
      <c r="J2578" s="204"/>
      <c r="K2578" s="201"/>
      <c r="L2578" s="201"/>
    </row>
    <row r="2579">
      <c r="A2579" s="200"/>
      <c r="B2579" s="201"/>
      <c r="C2579" s="201"/>
      <c r="D2579" s="201"/>
      <c r="E2579" s="201"/>
      <c r="F2579" s="201"/>
      <c r="G2579" s="201"/>
      <c r="H2579" s="203"/>
      <c r="I2579" s="201"/>
      <c r="J2579" s="204"/>
      <c r="K2579" s="201"/>
      <c r="L2579" s="201"/>
    </row>
    <row r="2580">
      <c r="A2580" s="200"/>
      <c r="B2580" s="201"/>
      <c r="C2580" s="201"/>
      <c r="D2580" s="201"/>
      <c r="E2580" s="201"/>
      <c r="F2580" s="201"/>
      <c r="G2580" s="201"/>
      <c r="H2580" s="203"/>
      <c r="I2580" s="201"/>
      <c r="J2580" s="204"/>
      <c r="K2580" s="201"/>
      <c r="L2580" s="201"/>
    </row>
    <row r="2581">
      <c r="A2581" s="200"/>
      <c r="B2581" s="201"/>
      <c r="C2581" s="201"/>
      <c r="D2581" s="201"/>
      <c r="E2581" s="201"/>
      <c r="F2581" s="201"/>
      <c r="G2581" s="201"/>
      <c r="H2581" s="203"/>
      <c r="I2581" s="201"/>
      <c r="J2581" s="204"/>
      <c r="K2581" s="201"/>
      <c r="L2581" s="201"/>
    </row>
    <row r="2582">
      <c r="A2582" s="200"/>
      <c r="B2582" s="201"/>
      <c r="C2582" s="201"/>
      <c r="D2582" s="201"/>
      <c r="E2582" s="201"/>
      <c r="F2582" s="201"/>
      <c r="G2582" s="201"/>
      <c r="H2582" s="203"/>
      <c r="I2582" s="201"/>
      <c r="J2582" s="204"/>
      <c r="K2582" s="201"/>
      <c r="L2582" s="201"/>
    </row>
    <row r="2583">
      <c r="A2583" s="200"/>
      <c r="B2583" s="201"/>
      <c r="C2583" s="201"/>
      <c r="D2583" s="201"/>
      <c r="E2583" s="201"/>
      <c r="F2583" s="201"/>
      <c r="G2583" s="201"/>
      <c r="H2583" s="203"/>
      <c r="I2583" s="201"/>
      <c r="J2583" s="204"/>
      <c r="K2583" s="201"/>
      <c r="L2583" s="201"/>
    </row>
    <row r="2584">
      <c r="A2584" s="200"/>
      <c r="B2584" s="201"/>
      <c r="C2584" s="201"/>
      <c r="D2584" s="201"/>
      <c r="E2584" s="201"/>
      <c r="F2584" s="201"/>
      <c r="G2584" s="201"/>
      <c r="H2584" s="203"/>
      <c r="I2584" s="201"/>
      <c r="J2584" s="204"/>
      <c r="K2584" s="201"/>
      <c r="L2584" s="201"/>
    </row>
    <row r="2585">
      <c r="A2585" s="200"/>
      <c r="B2585" s="201"/>
      <c r="C2585" s="201"/>
      <c r="D2585" s="201"/>
      <c r="E2585" s="201"/>
      <c r="F2585" s="201"/>
      <c r="G2585" s="201"/>
      <c r="H2585" s="203"/>
      <c r="I2585" s="201"/>
      <c r="J2585" s="204"/>
      <c r="K2585" s="201"/>
      <c r="L2585" s="201"/>
    </row>
    <row r="2586">
      <c r="A2586" s="200"/>
      <c r="B2586" s="201"/>
      <c r="C2586" s="201"/>
      <c r="D2586" s="201"/>
      <c r="E2586" s="201"/>
      <c r="F2586" s="201"/>
      <c r="G2586" s="201"/>
      <c r="H2586" s="203"/>
      <c r="I2586" s="201"/>
      <c r="J2586" s="204"/>
      <c r="K2586" s="201"/>
      <c r="L2586" s="201"/>
    </row>
    <row r="2587">
      <c r="A2587" s="200"/>
      <c r="B2587" s="201"/>
      <c r="C2587" s="201"/>
      <c r="D2587" s="201"/>
      <c r="E2587" s="201"/>
      <c r="F2587" s="201"/>
      <c r="G2587" s="201"/>
      <c r="H2587" s="203"/>
      <c r="I2587" s="201"/>
      <c r="J2587" s="204"/>
      <c r="K2587" s="201"/>
      <c r="L2587" s="201"/>
    </row>
    <row r="2588">
      <c r="A2588" s="200"/>
      <c r="B2588" s="201"/>
      <c r="C2588" s="201"/>
      <c r="D2588" s="201"/>
      <c r="E2588" s="201"/>
      <c r="F2588" s="201"/>
      <c r="G2588" s="201"/>
      <c r="H2588" s="203"/>
      <c r="I2588" s="201"/>
      <c r="J2588" s="204"/>
      <c r="K2588" s="201"/>
      <c r="L2588" s="201"/>
    </row>
    <row r="2589">
      <c r="A2589" s="200"/>
      <c r="B2589" s="201"/>
      <c r="C2589" s="201"/>
      <c r="D2589" s="201"/>
      <c r="E2589" s="201"/>
      <c r="F2589" s="201"/>
      <c r="G2589" s="201"/>
      <c r="H2589" s="203"/>
      <c r="I2589" s="201"/>
      <c r="J2589" s="204"/>
      <c r="K2589" s="201"/>
      <c r="L2589" s="201"/>
    </row>
    <row r="2590">
      <c r="A2590" s="200"/>
      <c r="B2590" s="201"/>
      <c r="C2590" s="201"/>
      <c r="D2590" s="201"/>
      <c r="E2590" s="201"/>
      <c r="F2590" s="201"/>
      <c r="G2590" s="201"/>
      <c r="H2590" s="203"/>
      <c r="I2590" s="201"/>
      <c r="J2590" s="204"/>
      <c r="K2590" s="201"/>
      <c r="L2590" s="201"/>
    </row>
    <row r="2591">
      <c r="A2591" s="200"/>
      <c r="B2591" s="201"/>
      <c r="C2591" s="201"/>
      <c r="D2591" s="201"/>
      <c r="E2591" s="201"/>
      <c r="F2591" s="201"/>
      <c r="G2591" s="201"/>
      <c r="H2591" s="203"/>
      <c r="I2591" s="201"/>
      <c r="J2591" s="204"/>
      <c r="K2591" s="201"/>
      <c r="L2591" s="201"/>
    </row>
    <row r="2592">
      <c r="A2592" s="200"/>
      <c r="B2592" s="201"/>
      <c r="C2592" s="201"/>
      <c r="D2592" s="201"/>
      <c r="E2592" s="201"/>
      <c r="F2592" s="201"/>
      <c r="G2592" s="201"/>
      <c r="H2592" s="203"/>
      <c r="I2592" s="201"/>
      <c r="J2592" s="204"/>
      <c r="K2592" s="201"/>
      <c r="L2592" s="201"/>
    </row>
    <row r="2593">
      <c r="A2593" s="200"/>
      <c r="B2593" s="201"/>
      <c r="C2593" s="201"/>
      <c r="D2593" s="201"/>
      <c r="E2593" s="201"/>
      <c r="F2593" s="201"/>
      <c r="G2593" s="201"/>
      <c r="H2593" s="203"/>
      <c r="I2593" s="201"/>
      <c r="J2593" s="204"/>
      <c r="K2593" s="201"/>
      <c r="L2593" s="201"/>
    </row>
    <row r="2594">
      <c r="A2594" s="200"/>
      <c r="B2594" s="201"/>
      <c r="C2594" s="201"/>
      <c r="D2594" s="201"/>
      <c r="E2594" s="201"/>
      <c r="F2594" s="201"/>
      <c r="G2594" s="201"/>
      <c r="H2594" s="203"/>
      <c r="I2594" s="201"/>
      <c r="J2594" s="204"/>
      <c r="K2594" s="201"/>
      <c r="L2594" s="201"/>
    </row>
    <row r="2595">
      <c r="A2595" s="200"/>
      <c r="B2595" s="201"/>
      <c r="C2595" s="201"/>
      <c r="D2595" s="201"/>
      <c r="E2595" s="201"/>
      <c r="F2595" s="201"/>
      <c r="G2595" s="201"/>
      <c r="H2595" s="203"/>
      <c r="I2595" s="201"/>
      <c r="J2595" s="204"/>
      <c r="K2595" s="201"/>
      <c r="L2595" s="201"/>
    </row>
    <row r="2596">
      <c r="A2596" s="200"/>
      <c r="B2596" s="201"/>
      <c r="C2596" s="201"/>
      <c r="D2596" s="201"/>
      <c r="E2596" s="201"/>
      <c r="F2596" s="201"/>
      <c r="G2596" s="201"/>
      <c r="H2596" s="203"/>
      <c r="I2596" s="201"/>
      <c r="J2596" s="204"/>
      <c r="K2596" s="201"/>
      <c r="L2596" s="201"/>
    </row>
    <row r="2597">
      <c r="A2597" s="200"/>
      <c r="B2597" s="201"/>
      <c r="C2597" s="201"/>
      <c r="D2597" s="201"/>
      <c r="E2597" s="201"/>
      <c r="F2597" s="201"/>
      <c r="G2597" s="201"/>
      <c r="H2597" s="203"/>
      <c r="I2597" s="201"/>
      <c r="J2597" s="204"/>
      <c r="K2597" s="201"/>
      <c r="L2597" s="201"/>
    </row>
    <row r="2598">
      <c r="A2598" s="200"/>
      <c r="B2598" s="201"/>
      <c r="C2598" s="201"/>
      <c r="D2598" s="201"/>
      <c r="E2598" s="201"/>
      <c r="F2598" s="201"/>
      <c r="G2598" s="201"/>
      <c r="H2598" s="203"/>
      <c r="I2598" s="201"/>
      <c r="J2598" s="204"/>
      <c r="K2598" s="201"/>
      <c r="L2598" s="201"/>
    </row>
    <row r="2599">
      <c r="A2599" s="200"/>
      <c r="B2599" s="201"/>
      <c r="C2599" s="201"/>
      <c r="D2599" s="201"/>
      <c r="E2599" s="201"/>
      <c r="F2599" s="201"/>
      <c r="G2599" s="201"/>
      <c r="H2599" s="203"/>
      <c r="I2599" s="201"/>
      <c r="J2599" s="204"/>
      <c r="K2599" s="201"/>
      <c r="L2599" s="201"/>
    </row>
    <row r="2600">
      <c r="A2600" s="200"/>
      <c r="B2600" s="201"/>
      <c r="C2600" s="201"/>
      <c r="D2600" s="201"/>
      <c r="E2600" s="201"/>
      <c r="F2600" s="201"/>
      <c r="G2600" s="201"/>
      <c r="H2600" s="203"/>
      <c r="I2600" s="201"/>
      <c r="J2600" s="204"/>
      <c r="K2600" s="201"/>
      <c r="L2600" s="201"/>
    </row>
    <row r="2601">
      <c r="A2601" s="200"/>
      <c r="B2601" s="201"/>
      <c r="C2601" s="201"/>
      <c r="D2601" s="201"/>
      <c r="E2601" s="201"/>
      <c r="F2601" s="201"/>
      <c r="G2601" s="201"/>
      <c r="H2601" s="203"/>
      <c r="I2601" s="201"/>
      <c r="J2601" s="204"/>
      <c r="K2601" s="201"/>
      <c r="L2601" s="201"/>
    </row>
    <row r="2602">
      <c r="A2602" s="200"/>
      <c r="B2602" s="201"/>
      <c r="C2602" s="201"/>
      <c r="D2602" s="201"/>
      <c r="E2602" s="201"/>
      <c r="F2602" s="201"/>
      <c r="G2602" s="201"/>
      <c r="H2602" s="203"/>
      <c r="I2602" s="201"/>
      <c r="J2602" s="204"/>
      <c r="K2602" s="201"/>
      <c r="L2602" s="201"/>
    </row>
    <row r="2603">
      <c r="A2603" s="200"/>
      <c r="B2603" s="201"/>
      <c r="C2603" s="201"/>
      <c r="D2603" s="201"/>
      <c r="E2603" s="201"/>
      <c r="F2603" s="201"/>
      <c r="G2603" s="201"/>
      <c r="H2603" s="203"/>
      <c r="I2603" s="201"/>
      <c r="J2603" s="204"/>
      <c r="K2603" s="201"/>
      <c r="L2603" s="201"/>
    </row>
    <row r="2604">
      <c r="A2604" s="200"/>
      <c r="B2604" s="201"/>
      <c r="C2604" s="201"/>
      <c r="D2604" s="201"/>
      <c r="E2604" s="201"/>
      <c r="F2604" s="201"/>
      <c r="G2604" s="201"/>
      <c r="H2604" s="203"/>
      <c r="I2604" s="201"/>
      <c r="J2604" s="204"/>
      <c r="K2604" s="201"/>
      <c r="L2604" s="201"/>
    </row>
    <row r="2605">
      <c r="A2605" s="200"/>
      <c r="B2605" s="201"/>
      <c r="C2605" s="201"/>
      <c r="D2605" s="201"/>
      <c r="E2605" s="201"/>
      <c r="F2605" s="201"/>
      <c r="G2605" s="201"/>
      <c r="H2605" s="203"/>
      <c r="I2605" s="201"/>
      <c r="J2605" s="204"/>
      <c r="K2605" s="201"/>
      <c r="L2605" s="201"/>
    </row>
    <row r="2606">
      <c r="A2606" s="200"/>
      <c r="B2606" s="201"/>
      <c r="C2606" s="201"/>
      <c r="D2606" s="201"/>
      <c r="E2606" s="201"/>
      <c r="F2606" s="201"/>
      <c r="G2606" s="201"/>
      <c r="H2606" s="203"/>
      <c r="I2606" s="201"/>
      <c r="J2606" s="204"/>
      <c r="K2606" s="201"/>
      <c r="L2606" s="201"/>
    </row>
    <row r="2607">
      <c r="A2607" s="200"/>
      <c r="B2607" s="201"/>
      <c r="C2607" s="201"/>
      <c r="D2607" s="201"/>
      <c r="E2607" s="201"/>
      <c r="F2607" s="201"/>
      <c r="G2607" s="201"/>
      <c r="H2607" s="203"/>
      <c r="I2607" s="201"/>
      <c r="J2607" s="204"/>
      <c r="K2607" s="201"/>
      <c r="L2607" s="201"/>
    </row>
    <row r="2608">
      <c r="A2608" s="200"/>
      <c r="B2608" s="201"/>
      <c r="C2608" s="201"/>
      <c r="D2608" s="201"/>
      <c r="E2608" s="201"/>
      <c r="F2608" s="201"/>
      <c r="G2608" s="201"/>
      <c r="H2608" s="203"/>
      <c r="I2608" s="201"/>
      <c r="J2608" s="204"/>
      <c r="K2608" s="201"/>
      <c r="L2608" s="201"/>
    </row>
    <row r="2609">
      <c r="A2609" s="200"/>
      <c r="B2609" s="201"/>
      <c r="C2609" s="201"/>
      <c r="D2609" s="201"/>
      <c r="E2609" s="201"/>
      <c r="F2609" s="201"/>
      <c r="G2609" s="201"/>
      <c r="H2609" s="203"/>
      <c r="I2609" s="201"/>
      <c r="J2609" s="204"/>
      <c r="K2609" s="201"/>
      <c r="L2609" s="201"/>
    </row>
    <row r="2610">
      <c r="A2610" s="200"/>
      <c r="B2610" s="201"/>
      <c r="C2610" s="201"/>
      <c r="D2610" s="201"/>
      <c r="E2610" s="201"/>
      <c r="F2610" s="201"/>
      <c r="G2610" s="201"/>
      <c r="H2610" s="203"/>
      <c r="I2610" s="201"/>
      <c r="J2610" s="204"/>
      <c r="K2610" s="201"/>
      <c r="L2610" s="201"/>
    </row>
    <row r="2611">
      <c r="A2611" s="200"/>
      <c r="B2611" s="201"/>
      <c r="C2611" s="201"/>
      <c r="D2611" s="201"/>
      <c r="E2611" s="201"/>
      <c r="F2611" s="201"/>
      <c r="G2611" s="201"/>
      <c r="H2611" s="203"/>
      <c r="I2611" s="201"/>
      <c r="J2611" s="204"/>
      <c r="K2611" s="201"/>
      <c r="L2611" s="201"/>
    </row>
    <row r="2612">
      <c r="A2612" s="200"/>
      <c r="B2612" s="201"/>
      <c r="C2612" s="201"/>
      <c r="D2612" s="201"/>
      <c r="E2612" s="201"/>
      <c r="F2612" s="201"/>
      <c r="G2612" s="201"/>
      <c r="H2612" s="203"/>
      <c r="I2612" s="201"/>
      <c r="J2612" s="204"/>
      <c r="K2612" s="201"/>
      <c r="L2612" s="201"/>
    </row>
    <row r="2613">
      <c r="A2613" s="200"/>
      <c r="B2613" s="201"/>
      <c r="C2613" s="201"/>
      <c r="D2613" s="201"/>
      <c r="E2613" s="201"/>
      <c r="F2613" s="201"/>
      <c r="G2613" s="201"/>
      <c r="H2613" s="203"/>
      <c r="I2613" s="201"/>
      <c r="J2613" s="204"/>
      <c r="K2613" s="201"/>
      <c r="L2613" s="201"/>
    </row>
    <row r="2614">
      <c r="A2614" s="200"/>
      <c r="B2614" s="201"/>
      <c r="C2614" s="201"/>
      <c r="D2614" s="201"/>
      <c r="E2614" s="201"/>
      <c r="F2614" s="201"/>
      <c r="G2614" s="201"/>
      <c r="H2614" s="203"/>
      <c r="I2614" s="201"/>
      <c r="J2614" s="204"/>
      <c r="K2614" s="201"/>
      <c r="L2614" s="201"/>
    </row>
    <row r="2615">
      <c r="A2615" s="200"/>
      <c r="B2615" s="201"/>
      <c r="C2615" s="201"/>
      <c r="D2615" s="201"/>
      <c r="E2615" s="201"/>
      <c r="F2615" s="201"/>
      <c r="G2615" s="201"/>
      <c r="H2615" s="203"/>
      <c r="I2615" s="201"/>
      <c r="J2615" s="204"/>
      <c r="K2615" s="201"/>
      <c r="L2615" s="201"/>
    </row>
    <row r="2616">
      <c r="A2616" s="200"/>
      <c r="B2616" s="201"/>
      <c r="C2616" s="201"/>
      <c r="D2616" s="201"/>
      <c r="E2616" s="201"/>
      <c r="F2616" s="201"/>
      <c r="G2616" s="201"/>
      <c r="H2616" s="203"/>
      <c r="I2616" s="201"/>
      <c r="J2616" s="204"/>
      <c r="K2616" s="201"/>
      <c r="L2616" s="201"/>
    </row>
    <row r="2617">
      <c r="A2617" s="200"/>
      <c r="B2617" s="201"/>
      <c r="C2617" s="201"/>
      <c r="D2617" s="201"/>
      <c r="E2617" s="201"/>
      <c r="F2617" s="201"/>
      <c r="G2617" s="201"/>
      <c r="H2617" s="203"/>
      <c r="I2617" s="201"/>
      <c r="J2617" s="204"/>
      <c r="K2617" s="201"/>
      <c r="L2617" s="201"/>
    </row>
    <row r="2618">
      <c r="A2618" s="200"/>
      <c r="B2618" s="201"/>
      <c r="C2618" s="201"/>
      <c r="D2618" s="201"/>
      <c r="E2618" s="201"/>
      <c r="F2618" s="201"/>
      <c r="G2618" s="201"/>
      <c r="H2618" s="203"/>
      <c r="I2618" s="201"/>
      <c r="J2618" s="204"/>
      <c r="K2618" s="201"/>
      <c r="L2618" s="201"/>
    </row>
    <row r="2619">
      <c r="A2619" s="200"/>
      <c r="B2619" s="201"/>
      <c r="C2619" s="201"/>
      <c r="D2619" s="201"/>
      <c r="E2619" s="201"/>
      <c r="F2619" s="201"/>
      <c r="G2619" s="201"/>
      <c r="H2619" s="203"/>
      <c r="I2619" s="201"/>
      <c r="J2619" s="204"/>
      <c r="K2619" s="201"/>
      <c r="L2619" s="201"/>
    </row>
    <row r="2620">
      <c r="A2620" s="200"/>
      <c r="B2620" s="201"/>
      <c r="C2620" s="201"/>
      <c r="D2620" s="201"/>
      <c r="E2620" s="201"/>
      <c r="F2620" s="201"/>
      <c r="G2620" s="201"/>
      <c r="H2620" s="203"/>
      <c r="I2620" s="201"/>
      <c r="J2620" s="204"/>
      <c r="K2620" s="201"/>
      <c r="L2620" s="201"/>
    </row>
    <row r="2621">
      <c r="A2621" s="200"/>
      <c r="B2621" s="201"/>
      <c r="C2621" s="201"/>
      <c r="D2621" s="201"/>
      <c r="E2621" s="201"/>
      <c r="F2621" s="201"/>
      <c r="G2621" s="201"/>
      <c r="H2621" s="203"/>
      <c r="I2621" s="201"/>
      <c r="J2621" s="204"/>
      <c r="K2621" s="201"/>
      <c r="L2621" s="201"/>
    </row>
    <row r="2622">
      <c r="A2622" s="200"/>
      <c r="B2622" s="201"/>
      <c r="C2622" s="201"/>
      <c r="D2622" s="201"/>
      <c r="E2622" s="201"/>
      <c r="F2622" s="201"/>
      <c r="G2622" s="201"/>
      <c r="H2622" s="203"/>
      <c r="I2622" s="201"/>
      <c r="J2622" s="204"/>
      <c r="K2622" s="201"/>
      <c r="L2622" s="201"/>
    </row>
    <row r="2623">
      <c r="A2623" s="200"/>
      <c r="B2623" s="201"/>
      <c r="C2623" s="201"/>
      <c r="D2623" s="201"/>
      <c r="E2623" s="201"/>
      <c r="F2623" s="201"/>
      <c r="G2623" s="201"/>
      <c r="H2623" s="203"/>
      <c r="I2623" s="201"/>
      <c r="J2623" s="204"/>
      <c r="K2623" s="201"/>
      <c r="L2623" s="201"/>
    </row>
    <row r="2624">
      <c r="A2624" s="200"/>
      <c r="B2624" s="201"/>
      <c r="C2624" s="201"/>
      <c r="D2624" s="201"/>
      <c r="E2624" s="201"/>
      <c r="F2624" s="201"/>
      <c r="G2624" s="201"/>
      <c r="H2624" s="203"/>
      <c r="I2624" s="201"/>
      <c r="J2624" s="204"/>
      <c r="K2624" s="201"/>
      <c r="L2624" s="201"/>
    </row>
    <row r="2625">
      <c r="A2625" s="200"/>
      <c r="B2625" s="201"/>
      <c r="C2625" s="201"/>
      <c r="D2625" s="201"/>
      <c r="E2625" s="201"/>
      <c r="F2625" s="201"/>
      <c r="G2625" s="201"/>
      <c r="H2625" s="203"/>
      <c r="I2625" s="201"/>
      <c r="J2625" s="204"/>
      <c r="K2625" s="201"/>
      <c r="L2625" s="201"/>
    </row>
    <row r="2626">
      <c r="A2626" s="200"/>
      <c r="B2626" s="201"/>
      <c r="C2626" s="201"/>
      <c r="D2626" s="201"/>
      <c r="E2626" s="201"/>
      <c r="F2626" s="201"/>
      <c r="G2626" s="201"/>
      <c r="H2626" s="203"/>
      <c r="I2626" s="201"/>
      <c r="J2626" s="204"/>
      <c r="K2626" s="201"/>
      <c r="L2626" s="201"/>
    </row>
    <row r="2627">
      <c r="A2627" s="200"/>
      <c r="B2627" s="201"/>
      <c r="C2627" s="201"/>
      <c r="D2627" s="201"/>
      <c r="E2627" s="201"/>
      <c r="F2627" s="201"/>
      <c r="G2627" s="201"/>
      <c r="H2627" s="203"/>
      <c r="I2627" s="201"/>
      <c r="J2627" s="204"/>
      <c r="K2627" s="201"/>
      <c r="L2627" s="201"/>
    </row>
    <row r="2628">
      <c r="A2628" s="200"/>
      <c r="B2628" s="201"/>
      <c r="C2628" s="201"/>
      <c r="D2628" s="201"/>
      <c r="E2628" s="201"/>
      <c r="F2628" s="201"/>
      <c r="G2628" s="201"/>
      <c r="H2628" s="203"/>
      <c r="I2628" s="201"/>
      <c r="J2628" s="204"/>
      <c r="K2628" s="201"/>
      <c r="L2628" s="201"/>
    </row>
    <row r="2629">
      <c r="A2629" s="200"/>
      <c r="B2629" s="201"/>
      <c r="C2629" s="201"/>
      <c r="D2629" s="201"/>
      <c r="E2629" s="201"/>
      <c r="F2629" s="201"/>
      <c r="G2629" s="201"/>
      <c r="H2629" s="203"/>
      <c r="I2629" s="201"/>
      <c r="J2629" s="204"/>
      <c r="K2629" s="201"/>
      <c r="L2629" s="201"/>
    </row>
    <row r="2630">
      <c r="A2630" s="200"/>
      <c r="B2630" s="201"/>
      <c r="C2630" s="201"/>
      <c r="D2630" s="201"/>
      <c r="E2630" s="201"/>
      <c r="F2630" s="201"/>
      <c r="G2630" s="201"/>
      <c r="H2630" s="203"/>
      <c r="I2630" s="201"/>
      <c r="J2630" s="204"/>
      <c r="K2630" s="201"/>
      <c r="L2630" s="201"/>
    </row>
    <row r="2631">
      <c r="A2631" s="200"/>
      <c r="B2631" s="201"/>
      <c r="C2631" s="201"/>
      <c r="D2631" s="201"/>
      <c r="E2631" s="201"/>
      <c r="F2631" s="201"/>
      <c r="G2631" s="201"/>
      <c r="H2631" s="203"/>
      <c r="I2631" s="201"/>
      <c r="J2631" s="204"/>
      <c r="K2631" s="201"/>
      <c r="L2631" s="201"/>
    </row>
    <row r="2632">
      <c r="A2632" s="200"/>
      <c r="B2632" s="201"/>
      <c r="C2632" s="201"/>
      <c r="D2632" s="201"/>
      <c r="E2632" s="201"/>
      <c r="F2632" s="201"/>
      <c r="G2632" s="201"/>
      <c r="H2632" s="203"/>
      <c r="I2632" s="201"/>
      <c r="J2632" s="204"/>
      <c r="K2632" s="201"/>
      <c r="L2632" s="201"/>
    </row>
    <row r="2633">
      <c r="A2633" s="200"/>
      <c r="B2633" s="201"/>
      <c r="C2633" s="201"/>
      <c r="D2633" s="201"/>
      <c r="E2633" s="201"/>
      <c r="F2633" s="201"/>
      <c r="G2633" s="201"/>
      <c r="H2633" s="203"/>
      <c r="I2633" s="201"/>
      <c r="J2633" s="204"/>
      <c r="K2633" s="201"/>
      <c r="L2633" s="201"/>
    </row>
    <row r="2634">
      <c r="A2634" s="200"/>
      <c r="B2634" s="201"/>
      <c r="C2634" s="201"/>
      <c r="D2634" s="201"/>
      <c r="E2634" s="201"/>
      <c r="F2634" s="201"/>
      <c r="G2634" s="201"/>
      <c r="H2634" s="203"/>
      <c r="I2634" s="201"/>
      <c r="J2634" s="204"/>
      <c r="K2634" s="201"/>
      <c r="L2634" s="201"/>
    </row>
    <row r="2635">
      <c r="A2635" s="200"/>
      <c r="B2635" s="201"/>
      <c r="C2635" s="201"/>
      <c r="D2635" s="201"/>
      <c r="E2635" s="201"/>
      <c r="F2635" s="201"/>
      <c r="G2635" s="201"/>
      <c r="H2635" s="203"/>
      <c r="I2635" s="201"/>
      <c r="J2635" s="204"/>
      <c r="K2635" s="201"/>
      <c r="L2635" s="201"/>
    </row>
    <row r="2636">
      <c r="A2636" s="200"/>
      <c r="B2636" s="201"/>
      <c r="C2636" s="201"/>
      <c r="D2636" s="201"/>
      <c r="E2636" s="201"/>
      <c r="F2636" s="201"/>
      <c r="G2636" s="201"/>
      <c r="H2636" s="203"/>
      <c r="I2636" s="201"/>
      <c r="J2636" s="204"/>
      <c r="K2636" s="201"/>
      <c r="L2636" s="201"/>
    </row>
    <row r="2637">
      <c r="A2637" s="200"/>
      <c r="B2637" s="201"/>
      <c r="C2637" s="201"/>
      <c r="D2637" s="201"/>
      <c r="E2637" s="201"/>
      <c r="F2637" s="201"/>
      <c r="G2637" s="201"/>
      <c r="H2637" s="203"/>
      <c r="I2637" s="201"/>
      <c r="J2637" s="204"/>
      <c r="K2637" s="201"/>
      <c r="L2637" s="201"/>
    </row>
    <row r="2638">
      <c r="A2638" s="200"/>
      <c r="B2638" s="201"/>
      <c r="C2638" s="201"/>
      <c r="D2638" s="201"/>
      <c r="E2638" s="201"/>
      <c r="F2638" s="201"/>
      <c r="G2638" s="201"/>
      <c r="H2638" s="203"/>
      <c r="I2638" s="201"/>
      <c r="J2638" s="204"/>
      <c r="K2638" s="201"/>
      <c r="L2638" s="201"/>
    </row>
    <row r="2639">
      <c r="A2639" s="200"/>
      <c r="B2639" s="201"/>
      <c r="C2639" s="201"/>
      <c r="D2639" s="201"/>
      <c r="E2639" s="201"/>
      <c r="F2639" s="201"/>
      <c r="G2639" s="201"/>
      <c r="H2639" s="203"/>
      <c r="I2639" s="201"/>
      <c r="J2639" s="204"/>
      <c r="K2639" s="201"/>
      <c r="L2639" s="201"/>
    </row>
    <row r="2640">
      <c r="A2640" s="200"/>
      <c r="B2640" s="201"/>
      <c r="C2640" s="201"/>
      <c r="D2640" s="201"/>
      <c r="E2640" s="201"/>
      <c r="F2640" s="201"/>
      <c r="G2640" s="201"/>
      <c r="H2640" s="203"/>
      <c r="I2640" s="201"/>
      <c r="J2640" s="204"/>
      <c r="K2640" s="201"/>
      <c r="L2640" s="201"/>
    </row>
    <row r="2641">
      <c r="A2641" s="200"/>
      <c r="B2641" s="201"/>
      <c r="C2641" s="201"/>
      <c r="D2641" s="201"/>
      <c r="E2641" s="201"/>
      <c r="F2641" s="201"/>
      <c r="G2641" s="201"/>
      <c r="H2641" s="203"/>
      <c r="I2641" s="201"/>
      <c r="J2641" s="204"/>
      <c r="K2641" s="201"/>
      <c r="L2641" s="201"/>
    </row>
    <row r="2642">
      <c r="A2642" s="200"/>
      <c r="B2642" s="201"/>
      <c r="C2642" s="201"/>
      <c r="D2642" s="201"/>
      <c r="E2642" s="201"/>
      <c r="F2642" s="201"/>
      <c r="G2642" s="201"/>
      <c r="H2642" s="203"/>
      <c r="I2642" s="201"/>
      <c r="J2642" s="204"/>
      <c r="K2642" s="201"/>
      <c r="L2642" s="201"/>
    </row>
    <row r="2643">
      <c r="A2643" s="200"/>
      <c r="B2643" s="201"/>
      <c r="C2643" s="201"/>
      <c r="D2643" s="201"/>
      <c r="E2643" s="201"/>
      <c r="F2643" s="201"/>
      <c r="G2643" s="201"/>
      <c r="H2643" s="203"/>
      <c r="I2643" s="201"/>
      <c r="J2643" s="204"/>
      <c r="K2643" s="201"/>
      <c r="L2643" s="201"/>
    </row>
    <row r="2644">
      <c r="A2644" s="200"/>
      <c r="B2644" s="201"/>
      <c r="C2644" s="201"/>
      <c r="D2644" s="201"/>
      <c r="E2644" s="201"/>
      <c r="F2644" s="201"/>
      <c r="G2644" s="201"/>
      <c r="H2644" s="203"/>
      <c r="I2644" s="201"/>
      <c r="J2644" s="204"/>
      <c r="K2644" s="201"/>
      <c r="L2644" s="201"/>
    </row>
    <row r="2645">
      <c r="A2645" s="200"/>
      <c r="B2645" s="201"/>
      <c r="C2645" s="201"/>
      <c r="D2645" s="201"/>
      <c r="E2645" s="201"/>
      <c r="F2645" s="201"/>
      <c r="G2645" s="201"/>
      <c r="H2645" s="203"/>
      <c r="I2645" s="201"/>
      <c r="J2645" s="204"/>
      <c r="K2645" s="201"/>
      <c r="L2645" s="201"/>
    </row>
    <row r="2646">
      <c r="A2646" s="200"/>
      <c r="B2646" s="201"/>
      <c r="C2646" s="201"/>
      <c r="D2646" s="201"/>
      <c r="E2646" s="201"/>
      <c r="F2646" s="201"/>
      <c r="G2646" s="201"/>
      <c r="H2646" s="203"/>
      <c r="I2646" s="201"/>
      <c r="J2646" s="204"/>
      <c r="K2646" s="201"/>
      <c r="L2646" s="201"/>
    </row>
    <row r="2647">
      <c r="A2647" s="200"/>
      <c r="B2647" s="201"/>
      <c r="C2647" s="201"/>
      <c r="D2647" s="201"/>
      <c r="E2647" s="201"/>
      <c r="F2647" s="201"/>
      <c r="G2647" s="201"/>
      <c r="H2647" s="203"/>
      <c r="I2647" s="201"/>
      <c r="J2647" s="204"/>
      <c r="K2647" s="201"/>
      <c r="L2647" s="201"/>
    </row>
    <row r="2648">
      <c r="A2648" s="200"/>
      <c r="B2648" s="201"/>
      <c r="C2648" s="201"/>
      <c r="D2648" s="201"/>
      <c r="E2648" s="201"/>
      <c r="F2648" s="201"/>
      <c r="G2648" s="201"/>
      <c r="H2648" s="203"/>
      <c r="I2648" s="201"/>
      <c r="J2648" s="204"/>
      <c r="K2648" s="201"/>
      <c r="L2648" s="201"/>
    </row>
    <row r="2649">
      <c r="A2649" s="200"/>
      <c r="B2649" s="201"/>
      <c r="C2649" s="201"/>
      <c r="D2649" s="201"/>
      <c r="E2649" s="201"/>
      <c r="F2649" s="201"/>
      <c r="G2649" s="201"/>
      <c r="H2649" s="203"/>
      <c r="I2649" s="201"/>
      <c r="J2649" s="204"/>
      <c r="K2649" s="201"/>
      <c r="L2649" s="201"/>
    </row>
    <row r="2650">
      <c r="A2650" s="200"/>
      <c r="B2650" s="201"/>
      <c r="C2650" s="201"/>
      <c r="D2650" s="201"/>
      <c r="E2650" s="201"/>
      <c r="F2650" s="201"/>
      <c r="G2650" s="201"/>
      <c r="H2650" s="203"/>
      <c r="I2650" s="201"/>
      <c r="J2650" s="204"/>
      <c r="K2650" s="201"/>
      <c r="L2650" s="201"/>
    </row>
    <row r="2651">
      <c r="A2651" s="200"/>
      <c r="B2651" s="201"/>
      <c r="C2651" s="201"/>
      <c r="D2651" s="201"/>
      <c r="E2651" s="201"/>
      <c r="F2651" s="201"/>
      <c r="G2651" s="201"/>
      <c r="H2651" s="203"/>
      <c r="I2651" s="201"/>
      <c r="J2651" s="204"/>
      <c r="K2651" s="201"/>
      <c r="L2651" s="201"/>
    </row>
    <row r="2652">
      <c r="A2652" s="200"/>
      <c r="B2652" s="201"/>
      <c r="C2652" s="201"/>
      <c r="D2652" s="201"/>
      <c r="E2652" s="201"/>
      <c r="F2652" s="201"/>
      <c r="G2652" s="201"/>
      <c r="H2652" s="203"/>
      <c r="I2652" s="201"/>
      <c r="J2652" s="204"/>
      <c r="K2652" s="201"/>
      <c r="L2652" s="201"/>
    </row>
    <row r="2653">
      <c r="A2653" s="200"/>
      <c r="B2653" s="201"/>
      <c r="C2653" s="201"/>
      <c r="D2653" s="201"/>
      <c r="E2653" s="201"/>
      <c r="F2653" s="201"/>
      <c r="G2653" s="201"/>
      <c r="H2653" s="203"/>
      <c r="I2653" s="201"/>
      <c r="J2653" s="204"/>
      <c r="K2653" s="201"/>
      <c r="L2653" s="201"/>
    </row>
    <row r="2654">
      <c r="A2654" s="200"/>
      <c r="B2654" s="201"/>
      <c r="C2654" s="201"/>
      <c r="D2654" s="201"/>
      <c r="E2654" s="201"/>
      <c r="F2654" s="201"/>
      <c r="G2654" s="201"/>
      <c r="H2654" s="203"/>
      <c r="I2654" s="201"/>
      <c r="J2654" s="204"/>
      <c r="K2654" s="201"/>
      <c r="L2654" s="201"/>
    </row>
    <row r="2655">
      <c r="A2655" s="200"/>
      <c r="B2655" s="201"/>
      <c r="C2655" s="201"/>
      <c r="D2655" s="201"/>
      <c r="E2655" s="201"/>
      <c r="F2655" s="201"/>
      <c r="G2655" s="201"/>
      <c r="H2655" s="203"/>
      <c r="I2655" s="201"/>
      <c r="J2655" s="204"/>
      <c r="K2655" s="201"/>
      <c r="L2655" s="201"/>
    </row>
    <row r="2656">
      <c r="A2656" s="200"/>
      <c r="B2656" s="201"/>
      <c r="C2656" s="201"/>
      <c r="D2656" s="201"/>
      <c r="E2656" s="201"/>
      <c r="F2656" s="201"/>
      <c r="G2656" s="201"/>
      <c r="H2656" s="203"/>
      <c r="I2656" s="201"/>
      <c r="J2656" s="204"/>
      <c r="K2656" s="201"/>
      <c r="L2656" s="201"/>
    </row>
    <row r="2657">
      <c r="A2657" s="200"/>
      <c r="B2657" s="201"/>
      <c r="C2657" s="201"/>
      <c r="D2657" s="201"/>
      <c r="E2657" s="201"/>
      <c r="F2657" s="201"/>
      <c r="G2657" s="201"/>
      <c r="H2657" s="203"/>
      <c r="I2657" s="201"/>
      <c r="J2657" s="204"/>
      <c r="K2657" s="201"/>
      <c r="L2657" s="201"/>
    </row>
    <row r="2658">
      <c r="A2658" s="200"/>
      <c r="B2658" s="201"/>
      <c r="C2658" s="201"/>
      <c r="D2658" s="201"/>
      <c r="E2658" s="201"/>
      <c r="F2658" s="201"/>
      <c r="G2658" s="201"/>
      <c r="H2658" s="203"/>
      <c r="I2658" s="201"/>
      <c r="J2658" s="204"/>
      <c r="K2658" s="201"/>
      <c r="L2658" s="201"/>
    </row>
    <row r="2659">
      <c r="A2659" s="200"/>
      <c r="B2659" s="201"/>
      <c r="C2659" s="201"/>
      <c r="D2659" s="201"/>
      <c r="E2659" s="201"/>
      <c r="F2659" s="201"/>
      <c r="G2659" s="201"/>
      <c r="H2659" s="203"/>
      <c r="I2659" s="201"/>
      <c r="J2659" s="204"/>
      <c r="K2659" s="201"/>
      <c r="L2659" s="201"/>
    </row>
    <row r="2660">
      <c r="A2660" s="200"/>
      <c r="B2660" s="201"/>
      <c r="C2660" s="201"/>
      <c r="D2660" s="201"/>
      <c r="E2660" s="201"/>
      <c r="F2660" s="201"/>
      <c r="G2660" s="201"/>
      <c r="H2660" s="203"/>
      <c r="I2660" s="201"/>
      <c r="J2660" s="204"/>
      <c r="K2660" s="201"/>
      <c r="L2660" s="201"/>
    </row>
    <row r="2661">
      <c r="A2661" s="200"/>
      <c r="B2661" s="201"/>
      <c r="C2661" s="201"/>
      <c r="D2661" s="201"/>
      <c r="E2661" s="201"/>
      <c r="F2661" s="201"/>
      <c r="G2661" s="201"/>
      <c r="H2661" s="203"/>
      <c r="I2661" s="201"/>
      <c r="J2661" s="204"/>
      <c r="K2661" s="201"/>
      <c r="L2661" s="201"/>
    </row>
    <row r="2662">
      <c r="A2662" s="200"/>
      <c r="B2662" s="201"/>
      <c r="C2662" s="201"/>
      <c r="D2662" s="201"/>
      <c r="E2662" s="201"/>
      <c r="F2662" s="201"/>
      <c r="G2662" s="201"/>
      <c r="H2662" s="203"/>
      <c r="I2662" s="201"/>
      <c r="J2662" s="204"/>
      <c r="K2662" s="201"/>
      <c r="L2662" s="201"/>
    </row>
    <row r="2663">
      <c r="A2663" s="200"/>
      <c r="B2663" s="201"/>
      <c r="C2663" s="201"/>
      <c r="D2663" s="201"/>
      <c r="E2663" s="201"/>
      <c r="F2663" s="201"/>
      <c r="G2663" s="201"/>
      <c r="H2663" s="203"/>
      <c r="I2663" s="201"/>
      <c r="J2663" s="204"/>
      <c r="K2663" s="201"/>
      <c r="L2663" s="201"/>
    </row>
    <row r="2664">
      <c r="A2664" s="200"/>
      <c r="B2664" s="201"/>
      <c r="C2664" s="201"/>
      <c r="D2664" s="201"/>
      <c r="E2664" s="201"/>
      <c r="F2664" s="201"/>
      <c r="G2664" s="201"/>
      <c r="H2664" s="203"/>
      <c r="I2664" s="201"/>
      <c r="J2664" s="204"/>
      <c r="K2664" s="201"/>
      <c r="L2664" s="201"/>
    </row>
    <row r="2665">
      <c r="A2665" s="200"/>
      <c r="B2665" s="201"/>
      <c r="C2665" s="201"/>
      <c r="D2665" s="201"/>
      <c r="E2665" s="201"/>
      <c r="F2665" s="201"/>
      <c r="G2665" s="201"/>
      <c r="H2665" s="203"/>
      <c r="I2665" s="201"/>
      <c r="J2665" s="204"/>
      <c r="K2665" s="201"/>
      <c r="L2665" s="201"/>
    </row>
    <row r="2666">
      <c r="A2666" s="200"/>
      <c r="B2666" s="201"/>
      <c r="C2666" s="201"/>
      <c r="D2666" s="201"/>
      <c r="E2666" s="201"/>
      <c r="F2666" s="201"/>
      <c r="G2666" s="201"/>
      <c r="H2666" s="203"/>
      <c r="I2666" s="201"/>
      <c r="J2666" s="204"/>
      <c r="K2666" s="201"/>
      <c r="L2666" s="201"/>
    </row>
    <row r="2667">
      <c r="A2667" s="200"/>
      <c r="B2667" s="201"/>
      <c r="C2667" s="201"/>
      <c r="D2667" s="201"/>
      <c r="E2667" s="201"/>
      <c r="F2667" s="201"/>
      <c r="G2667" s="201"/>
      <c r="H2667" s="203"/>
      <c r="I2667" s="201"/>
      <c r="J2667" s="204"/>
      <c r="K2667" s="201"/>
      <c r="L2667" s="201"/>
    </row>
    <row r="2668">
      <c r="A2668" s="200"/>
      <c r="B2668" s="201"/>
      <c r="C2668" s="201"/>
      <c r="D2668" s="201"/>
      <c r="E2668" s="201"/>
      <c r="F2668" s="201"/>
      <c r="G2668" s="201"/>
      <c r="H2668" s="203"/>
      <c r="I2668" s="201"/>
      <c r="J2668" s="204"/>
      <c r="K2668" s="201"/>
      <c r="L2668" s="201"/>
    </row>
    <row r="2669">
      <c r="A2669" s="200"/>
      <c r="B2669" s="201"/>
      <c r="C2669" s="201"/>
      <c r="D2669" s="201"/>
      <c r="E2669" s="201"/>
      <c r="F2669" s="201"/>
      <c r="G2669" s="201"/>
      <c r="H2669" s="203"/>
      <c r="I2669" s="201"/>
      <c r="J2669" s="204"/>
      <c r="K2669" s="201"/>
      <c r="L2669" s="201"/>
    </row>
    <row r="2670">
      <c r="A2670" s="200"/>
      <c r="B2670" s="201"/>
      <c r="C2670" s="201"/>
      <c r="D2670" s="201"/>
      <c r="E2670" s="201"/>
      <c r="F2670" s="201"/>
      <c r="G2670" s="201"/>
      <c r="H2670" s="203"/>
      <c r="I2670" s="201"/>
      <c r="J2670" s="204"/>
      <c r="K2670" s="201"/>
      <c r="L2670" s="201"/>
    </row>
    <row r="2671">
      <c r="A2671" s="200"/>
      <c r="B2671" s="201"/>
      <c r="C2671" s="201"/>
      <c r="D2671" s="201"/>
      <c r="E2671" s="201"/>
      <c r="F2671" s="201"/>
      <c r="G2671" s="201"/>
      <c r="H2671" s="203"/>
      <c r="I2671" s="201"/>
      <c r="J2671" s="204"/>
      <c r="K2671" s="201"/>
      <c r="L2671" s="201"/>
    </row>
    <row r="2672">
      <c r="A2672" s="200"/>
      <c r="B2672" s="201"/>
      <c r="C2672" s="201"/>
      <c r="D2672" s="201"/>
      <c r="E2672" s="201"/>
      <c r="F2672" s="201"/>
      <c r="G2672" s="201"/>
      <c r="H2672" s="203"/>
      <c r="I2672" s="201"/>
      <c r="J2672" s="204"/>
      <c r="K2672" s="201"/>
      <c r="L2672" s="201"/>
    </row>
    <row r="2673">
      <c r="A2673" s="200"/>
      <c r="B2673" s="201"/>
      <c r="C2673" s="201"/>
      <c r="D2673" s="201"/>
      <c r="E2673" s="201"/>
      <c r="F2673" s="201"/>
      <c r="G2673" s="201"/>
      <c r="H2673" s="203"/>
      <c r="I2673" s="201"/>
      <c r="J2673" s="204"/>
      <c r="K2673" s="201"/>
      <c r="L2673" s="201"/>
    </row>
    <row r="2674">
      <c r="A2674" s="200"/>
      <c r="B2674" s="201"/>
      <c r="C2674" s="201"/>
      <c r="D2674" s="201"/>
      <c r="E2674" s="201"/>
      <c r="F2674" s="201"/>
      <c r="G2674" s="201"/>
      <c r="H2674" s="203"/>
      <c r="I2674" s="201"/>
      <c r="J2674" s="204"/>
      <c r="K2674" s="201"/>
      <c r="L2674" s="201"/>
    </row>
    <row r="2675">
      <c r="A2675" s="200"/>
      <c r="B2675" s="201"/>
      <c r="C2675" s="201"/>
      <c r="D2675" s="201"/>
      <c r="E2675" s="201"/>
      <c r="F2675" s="201"/>
      <c r="G2675" s="201"/>
      <c r="H2675" s="203"/>
      <c r="I2675" s="201"/>
      <c r="J2675" s="204"/>
      <c r="K2675" s="201"/>
      <c r="L2675" s="201"/>
    </row>
    <row r="2676">
      <c r="A2676" s="200"/>
      <c r="B2676" s="201"/>
      <c r="C2676" s="201"/>
      <c r="D2676" s="201"/>
      <c r="E2676" s="201"/>
      <c r="F2676" s="201"/>
      <c r="G2676" s="201"/>
      <c r="H2676" s="203"/>
      <c r="I2676" s="201"/>
      <c r="J2676" s="204"/>
      <c r="K2676" s="201"/>
      <c r="L2676" s="201"/>
    </row>
    <row r="2677">
      <c r="A2677" s="200"/>
      <c r="B2677" s="201"/>
      <c r="C2677" s="201"/>
      <c r="D2677" s="201"/>
      <c r="E2677" s="201"/>
      <c r="F2677" s="201"/>
      <c r="G2677" s="201"/>
      <c r="H2677" s="203"/>
      <c r="I2677" s="201"/>
      <c r="J2677" s="204"/>
      <c r="K2677" s="201"/>
      <c r="L2677" s="201"/>
    </row>
    <row r="2678">
      <c r="A2678" s="200"/>
      <c r="B2678" s="201"/>
      <c r="C2678" s="201"/>
      <c r="D2678" s="201"/>
      <c r="E2678" s="201"/>
      <c r="F2678" s="201"/>
      <c r="G2678" s="201"/>
      <c r="H2678" s="203"/>
      <c r="I2678" s="201"/>
      <c r="J2678" s="204"/>
      <c r="K2678" s="201"/>
      <c r="L2678" s="201"/>
    </row>
    <row r="2679">
      <c r="A2679" s="200"/>
      <c r="B2679" s="201"/>
      <c r="C2679" s="201"/>
      <c r="D2679" s="201"/>
      <c r="E2679" s="201"/>
      <c r="F2679" s="201"/>
      <c r="G2679" s="201"/>
      <c r="H2679" s="203"/>
      <c r="I2679" s="201"/>
      <c r="J2679" s="204"/>
      <c r="K2679" s="201"/>
      <c r="L2679" s="201"/>
    </row>
    <row r="2680">
      <c r="A2680" s="200"/>
      <c r="B2680" s="201"/>
      <c r="C2680" s="201"/>
      <c r="D2680" s="201"/>
      <c r="E2680" s="201"/>
      <c r="F2680" s="201"/>
      <c r="G2680" s="201"/>
      <c r="H2680" s="203"/>
      <c r="I2680" s="201"/>
      <c r="J2680" s="204"/>
      <c r="K2680" s="201"/>
      <c r="L2680" s="201"/>
    </row>
    <row r="2681">
      <c r="A2681" s="200"/>
      <c r="B2681" s="201"/>
      <c r="C2681" s="201"/>
      <c r="D2681" s="201"/>
      <c r="E2681" s="201"/>
      <c r="F2681" s="201"/>
      <c r="G2681" s="201"/>
      <c r="H2681" s="203"/>
      <c r="I2681" s="201"/>
      <c r="J2681" s="204"/>
      <c r="K2681" s="201"/>
      <c r="L2681" s="201"/>
    </row>
    <row r="2682">
      <c r="A2682" s="200"/>
      <c r="B2682" s="201"/>
      <c r="C2682" s="201"/>
      <c r="D2682" s="201"/>
      <c r="E2682" s="201"/>
      <c r="F2682" s="201"/>
      <c r="G2682" s="201"/>
      <c r="H2682" s="203"/>
      <c r="I2682" s="201"/>
      <c r="J2682" s="204"/>
      <c r="K2682" s="201"/>
      <c r="L2682" s="201"/>
    </row>
    <row r="2683">
      <c r="A2683" s="200"/>
      <c r="B2683" s="201"/>
      <c r="C2683" s="201"/>
      <c r="D2683" s="201"/>
      <c r="E2683" s="201"/>
      <c r="F2683" s="201"/>
      <c r="G2683" s="201"/>
      <c r="H2683" s="203"/>
      <c r="I2683" s="201"/>
      <c r="J2683" s="204"/>
      <c r="K2683" s="201"/>
      <c r="L2683" s="201"/>
    </row>
    <row r="2684">
      <c r="A2684" s="200"/>
      <c r="B2684" s="201"/>
      <c r="C2684" s="201"/>
      <c r="D2684" s="201"/>
      <c r="E2684" s="201"/>
      <c r="F2684" s="201"/>
      <c r="G2684" s="201"/>
      <c r="H2684" s="203"/>
      <c r="I2684" s="201"/>
      <c r="J2684" s="204"/>
      <c r="K2684" s="201"/>
      <c r="L2684" s="201"/>
    </row>
    <row r="2685">
      <c r="A2685" s="200"/>
      <c r="B2685" s="201"/>
      <c r="C2685" s="201"/>
      <c r="D2685" s="201"/>
      <c r="E2685" s="201"/>
      <c r="F2685" s="201"/>
      <c r="G2685" s="201"/>
      <c r="H2685" s="203"/>
      <c r="I2685" s="201"/>
      <c r="J2685" s="204"/>
      <c r="K2685" s="201"/>
      <c r="L2685" s="201"/>
    </row>
    <row r="2686">
      <c r="A2686" s="200"/>
      <c r="B2686" s="201"/>
      <c r="C2686" s="201"/>
      <c r="D2686" s="201"/>
      <c r="E2686" s="201"/>
      <c r="F2686" s="201"/>
      <c r="G2686" s="201"/>
      <c r="H2686" s="203"/>
      <c r="I2686" s="201"/>
      <c r="J2686" s="204"/>
      <c r="K2686" s="201"/>
      <c r="L2686" s="201"/>
    </row>
    <row r="2687">
      <c r="A2687" s="200"/>
      <c r="B2687" s="201"/>
      <c r="C2687" s="201"/>
      <c r="D2687" s="201"/>
      <c r="E2687" s="201"/>
      <c r="F2687" s="201"/>
      <c r="G2687" s="201"/>
      <c r="H2687" s="203"/>
      <c r="I2687" s="201"/>
      <c r="J2687" s="204"/>
      <c r="K2687" s="201"/>
      <c r="L2687" s="201"/>
    </row>
    <row r="2688">
      <c r="A2688" s="200"/>
      <c r="B2688" s="201"/>
      <c r="C2688" s="201"/>
      <c r="D2688" s="201"/>
      <c r="E2688" s="201"/>
      <c r="F2688" s="201"/>
      <c r="G2688" s="201"/>
      <c r="H2688" s="203"/>
      <c r="I2688" s="201"/>
      <c r="J2688" s="204"/>
      <c r="K2688" s="201"/>
      <c r="L2688" s="201"/>
    </row>
    <row r="2689">
      <c r="A2689" s="200"/>
      <c r="B2689" s="201"/>
      <c r="C2689" s="201"/>
      <c r="D2689" s="201"/>
      <c r="E2689" s="201"/>
      <c r="F2689" s="201"/>
      <c r="G2689" s="201"/>
      <c r="H2689" s="203"/>
      <c r="I2689" s="201"/>
      <c r="J2689" s="204"/>
      <c r="K2689" s="201"/>
      <c r="L2689" s="201"/>
    </row>
    <row r="2690">
      <c r="A2690" s="200"/>
      <c r="B2690" s="201"/>
      <c r="C2690" s="201"/>
      <c r="D2690" s="201"/>
      <c r="E2690" s="201"/>
      <c r="F2690" s="201"/>
      <c r="G2690" s="201"/>
      <c r="H2690" s="203"/>
      <c r="I2690" s="201"/>
      <c r="J2690" s="204"/>
      <c r="K2690" s="201"/>
      <c r="L2690" s="201"/>
    </row>
    <row r="2691">
      <c r="A2691" s="200"/>
      <c r="B2691" s="201"/>
      <c r="C2691" s="201"/>
      <c r="D2691" s="201"/>
      <c r="E2691" s="201"/>
      <c r="F2691" s="201"/>
      <c r="G2691" s="201"/>
      <c r="H2691" s="203"/>
      <c r="I2691" s="201"/>
      <c r="J2691" s="204"/>
      <c r="K2691" s="201"/>
      <c r="L2691" s="201"/>
    </row>
    <row r="2692">
      <c r="A2692" s="200"/>
      <c r="B2692" s="201"/>
      <c r="C2692" s="201"/>
      <c r="D2692" s="201"/>
      <c r="E2692" s="201"/>
      <c r="F2692" s="201"/>
      <c r="G2692" s="201"/>
      <c r="H2692" s="203"/>
      <c r="I2692" s="201"/>
      <c r="J2692" s="204"/>
      <c r="K2692" s="201"/>
      <c r="L2692" s="201"/>
    </row>
    <row r="2693">
      <c r="A2693" s="200"/>
      <c r="B2693" s="201"/>
      <c r="C2693" s="201"/>
      <c r="D2693" s="201"/>
      <c r="E2693" s="201"/>
      <c r="F2693" s="201"/>
      <c r="G2693" s="201"/>
      <c r="H2693" s="203"/>
      <c r="I2693" s="201"/>
      <c r="J2693" s="204"/>
      <c r="K2693" s="201"/>
      <c r="L2693" s="201"/>
    </row>
    <row r="2694">
      <c r="A2694" s="200"/>
      <c r="B2694" s="201"/>
      <c r="C2694" s="201"/>
      <c r="D2694" s="201"/>
      <c r="E2694" s="201"/>
      <c r="F2694" s="201"/>
      <c r="G2694" s="201"/>
      <c r="H2694" s="203"/>
      <c r="I2694" s="201"/>
      <c r="J2694" s="204"/>
      <c r="K2694" s="201"/>
      <c r="L2694" s="201"/>
    </row>
    <row r="2695">
      <c r="A2695" s="200"/>
      <c r="B2695" s="201"/>
      <c r="C2695" s="201"/>
      <c r="D2695" s="201"/>
      <c r="E2695" s="201"/>
      <c r="F2695" s="201"/>
      <c r="G2695" s="201"/>
      <c r="H2695" s="203"/>
      <c r="I2695" s="201"/>
      <c r="J2695" s="204"/>
      <c r="K2695" s="201"/>
      <c r="L2695" s="201"/>
    </row>
    <row r="2696">
      <c r="A2696" s="200"/>
      <c r="B2696" s="201"/>
      <c r="C2696" s="201"/>
      <c r="D2696" s="201"/>
      <c r="E2696" s="201"/>
      <c r="F2696" s="201"/>
      <c r="G2696" s="201"/>
      <c r="H2696" s="203"/>
      <c r="I2696" s="201"/>
      <c r="J2696" s="204"/>
      <c r="K2696" s="201"/>
      <c r="L2696" s="201"/>
    </row>
    <row r="2697">
      <c r="A2697" s="200"/>
      <c r="B2697" s="201"/>
      <c r="C2697" s="201"/>
      <c r="D2697" s="201"/>
      <c r="E2697" s="201"/>
      <c r="F2697" s="201"/>
      <c r="G2697" s="201"/>
      <c r="H2697" s="203"/>
      <c r="I2697" s="201"/>
      <c r="J2697" s="204"/>
      <c r="K2697" s="201"/>
      <c r="L2697" s="201"/>
    </row>
    <row r="2698">
      <c r="A2698" s="200"/>
      <c r="B2698" s="201"/>
      <c r="C2698" s="201"/>
      <c r="D2698" s="201"/>
      <c r="E2698" s="201"/>
      <c r="F2698" s="201"/>
      <c r="G2698" s="201"/>
      <c r="H2698" s="203"/>
      <c r="I2698" s="201"/>
      <c r="J2698" s="204"/>
      <c r="K2698" s="201"/>
      <c r="L2698" s="201"/>
    </row>
    <row r="2699">
      <c r="A2699" s="200"/>
      <c r="B2699" s="201"/>
      <c r="C2699" s="201"/>
      <c r="D2699" s="201"/>
      <c r="E2699" s="201"/>
      <c r="F2699" s="201"/>
      <c r="G2699" s="201"/>
      <c r="H2699" s="203"/>
      <c r="I2699" s="201"/>
      <c r="J2699" s="204"/>
      <c r="K2699" s="201"/>
      <c r="L2699" s="201"/>
    </row>
    <row r="2700">
      <c r="A2700" s="200"/>
      <c r="B2700" s="201"/>
      <c r="C2700" s="201"/>
      <c r="D2700" s="201"/>
      <c r="E2700" s="201"/>
      <c r="F2700" s="201"/>
      <c r="G2700" s="201"/>
      <c r="H2700" s="203"/>
      <c r="I2700" s="201"/>
      <c r="J2700" s="204"/>
      <c r="K2700" s="201"/>
      <c r="L2700" s="201"/>
    </row>
    <row r="2701">
      <c r="A2701" s="200"/>
      <c r="B2701" s="201"/>
      <c r="C2701" s="201"/>
      <c r="D2701" s="201"/>
      <c r="E2701" s="201"/>
      <c r="F2701" s="201"/>
      <c r="G2701" s="201"/>
      <c r="H2701" s="203"/>
      <c r="I2701" s="201"/>
      <c r="J2701" s="204"/>
      <c r="K2701" s="201"/>
      <c r="L2701" s="201"/>
    </row>
    <row r="2702">
      <c r="A2702" s="200"/>
      <c r="B2702" s="201"/>
      <c r="C2702" s="201"/>
      <c r="D2702" s="201"/>
      <c r="E2702" s="201"/>
      <c r="F2702" s="201"/>
      <c r="G2702" s="201"/>
      <c r="H2702" s="203"/>
      <c r="I2702" s="201"/>
      <c r="J2702" s="204"/>
      <c r="K2702" s="201"/>
      <c r="L2702" s="201"/>
    </row>
    <row r="2703">
      <c r="A2703" s="200"/>
      <c r="B2703" s="201"/>
      <c r="C2703" s="201"/>
      <c r="D2703" s="201"/>
      <c r="E2703" s="201"/>
      <c r="F2703" s="201"/>
      <c r="G2703" s="201"/>
      <c r="H2703" s="203"/>
      <c r="I2703" s="201"/>
      <c r="J2703" s="204"/>
      <c r="K2703" s="201"/>
      <c r="L2703" s="201"/>
    </row>
    <row r="2704">
      <c r="A2704" s="200"/>
      <c r="B2704" s="201"/>
      <c r="C2704" s="201"/>
      <c r="D2704" s="201"/>
      <c r="E2704" s="201"/>
      <c r="F2704" s="201"/>
      <c r="G2704" s="201"/>
      <c r="H2704" s="203"/>
      <c r="I2704" s="201"/>
      <c r="J2704" s="204"/>
      <c r="K2704" s="201"/>
      <c r="L2704" s="201"/>
    </row>
    <row r="2705">
      <c r="A2705" s="200"/>
      <c r="B2705" s="201"/>
      <c r="C2705" s="201"/>
      <c r="D2705" s="201"/>
      <c r="E2705" s="201"/>
      <c r="F2705" s="201"/>
      <c r="G2705" s="201"/>
      <c r="H2705" s="203"/>
      <c r="I2705" s="201"/>
      <c r="J2705" s="204"/>
      <c r="K2705" s="201"/>
      <c r="L2705" s="201"/>
    </row>
    <row r="2706">
      <c r="A2706" s="200"/>
      <c r="B2706" s="201"/>
      <c r="C2706" s="201"/>
      <c r="D2706" s="201"/>
      <c r="E2706" s="201"/>
      <c r="F2706" s="201"/>
      <c r="G2706" s="201"/>
      <c r="H2706" s="203"/>
      <c r="I2706" s="201"/>
      <c r="J2706" s="204"/>
      <c r="K2706" s="201"/>
      <c r="L2706" s="201"/>
    </row>
    <row r="2707">
      <c r="A2707" s="200"/>
      <c r="B2707" s="201"/>
      <c r="C2707" s="201"/>
      <c r="D2707" s="201"/>
      <c r="E2707" s="201"/>
      <c r="F2707" s="201"/>
      <c r="G2707" s="201"/>
      <c r="H2707" s="203"/>
      <c r="I2707" s="201"/>
      <c r="J2707" s="204"/>
      <c r="K2707" s="201"/>
      <c r="L2707" s="201"/>
    </row>
    <row r="2708">
      <c r="A2708" s="200"/>
      <c r="B2708" s="201"/>
      <c r="C2708" s="201"/>
      <c r="D2708" s="201"/>
      <c r="E2708" s="201"/>
      <c r="F2708" s="201"/>
      <c r="G2708" s="201"/>
      <c r="H2708" s="203"/>
      <c r="I2708" s="201"/>
      <c r="J2708" s="204"/>
      <c r="K2708" s="201"/>
      <c r="L2708" s="201"/>
    </row>
    <row r="2709">
      <c r="A2709" s="200"/>
      <c r="B2709" s="201"/>
      <c r="C2709" s="201"/>
      <c r="D2709" s="201"/>
      <c r="E2709" s="201"/>
      <c r="F2709" s="201"/>
      <c r="G2709" s="201"/>
      <c r="H2709" s="203"/>
      <c r="I2709" s="201"/>
      <c r="J2709" s="204"/>
      <c r="K2709" s="201"/>
      <c r="L2709" s="201"/>
    </row>
    <row r="2710">
      <c r="A2710" s="200"/>
      <c r="B2710" s="201"/>
      <c r="C2710" s="201"/>
      <c r="D2710" s="201"/>
      <c r="E2710" s="201"/>
      <c r="F2710" s="201"/>
      <c r="G2710" s="201"/>
      <c r="H2710" s="203"/>
      <c r="I2710" s="201"/>
      <c r="J2710" s="204"/>
      <c r="K2710" s="201"/>
      <c r="L2710" s="201"/>
    </row>
    <row r="2711">
      <c r="A2711" s="200"/>
      <c r="B2711" s="201"/>
      <c r="C2711" s="201"/>
      <c r="D2711" s="201"/>
      <c r="E2711" s="201"/>
      <c r="F2711" s="201"/>
      <c r="G2711" s="201"/>
      <c r="H2711" s="203"/>
      <c r="I2711" s="201"/>
      <c r="J2711" s="204"/>
      <c r="K2711" s="201"/>
      <c r="L2711" s="201"/>
    </row>
    <row r="2712">
      <c r="A2712" s="200"/>
      <c r="B2712" s="201"/>
      <c r="C2712" s="201"/>
      <c r="D2712" s="201"/>
      <c r="E2712" s="201"/>
      <c r="F2712" s="201"/>
      <c r="G2712" s="201"/>
      <c r="H2712" s="203"/>
      <c r="I2712" s="201"/>
      <c r="J2712" s="204"/>
      <c r="K2712" s="201"/>
      <c r="L2712" s="201"/>
    </row>
    <row r="2713">
      <c r="A2713" s="200"/>
      <c r="B2713" s="201"/>
      <c r="C2713" s="201"/>
      <c r="D2713" s="201"/>
      <c r="E2713" s="201"/>
      <c r="F2713" s="201"/>
      <c r="G2713" s="201"/>
      <c r="H2713" s="203"/>
      <c r="I2713" s="201"/>
      <c r="J2713" s="204"/>
      <c r="K2713" s="201"/>
      <c r="L2713" s="201"/>
    </row>
    <row r="2714">
      <c r="A2714" s="200"/>
      <c r="B2714" s="201"/>
      <c r="C2714" s="201"/>
      <c r="D2714" s="201"/>
      <c r="E2714" s="201"/>
      <c r="F2714" s="201"/>
      <c r="G2714" s="201"/>
      <c r="H2714" s="203"/>
      <c r="I2714" s="201"/>
      <c r="J2714" s="204"/>
      <c r="K2714" s="201"/>
      <c r="L2714" s="201"/>
    </row>
    <row r="2715">
      <c r="A2715" s="200"/>
      <c r="B2715" s="201"/>
      <c r="C2715" s="201"/>
      <c r="D2715" s="201"/>
      <c r="E2715" s="201"/>
      <c r="F2715" s="201"/>
      <c r="G2715" s="201"/>
      <c r="H2715" s="203"/>
      <c r="I2715" s="201"/>
      <c r="J2715" s="204"/>
      <c r="K2715" s="201"/>
      <c r="L2715" s="201"/>
    </row>
    <row r="2716">
      <c r="A2716" s="200"/>
      <c r="B2716" s="201"/>
      <c r="C2716" s="201"/>
      <c r="D2716" s="201"/>
      <c r="E2716" s="201"/>
      <c r="F2716" s="201"/>
      <c r="G2716" s="201"/>
      <c r="H2716" s="203"/>
      <c r="I2716" s="201"/>
      <c r="J2716" s="204"/>
      <c r="K2716" s="201"/>
      <c r="L2716" s="201"/>
    </row>
    <row r="2717">
      <c r="A2717" s="200"/>
      <c r="B2717" s="201"/>
      <c r="C2717" s="201"/>
      <c r="D2717" s="201"/>
      <c r="E2717" s="201"/>
      <c r="F2717" s="201"/>
      <c r="G2717" s="201"/>
      <c r="H2717" s="203"/>
      <c r="I2717" s="201"/>
      <c r="J2717" s="204"/>
      <c r="K2717" s="201"/>
      <c r="L2717" s="201"/>
    </row>
    <row r="2718">
      <c r="A2718" s="200"/>
      <c r="B2718" s="201"/>
      <c r="C2718" s="201"/>
      <c r="D2718" s="201"/>
      <c r="E2718" s="201"/>
      <c r="F2718" s="201"/>
      <c r="G2718" s="201"/>
      <c r="H2718" s="203"/>
      <c r="I2718" s="201"/>
      <c r="J2718" s="204"/>
      <c r="K2718" s="201"/>
      <c r="L2718" s="201"/>
    </row>
    <row r="2719">
      <c r="A2719" s="200"/>
      <c r="B2719" s="201"/>
      <c r="C2719" s="201"/>
      <c r="D2719" s="201"/>
      <c r="E2719" s="201"/>
      <c r="F2719" s="201"/>
      <c r="G2719" s="201"/>
      <c r="H2719" s="203"/>
      <c r="I2719" s="201"/>
      <c r="J2719" s="204"/>
      <c r="K2719" s="201"/>
      <c r="L2719" s="201"/>
    </row>
    <row r="2720">
      <c r="A2720" s="200"/>
      <c r="B2720" s="201"/>
      <c r="C2720" s="201"/>
      <c r="D2720" s="201"/>
      <c r="E2720" s="201"/>
      <c r="F2720" s="201"/>
      <c r="G2720" s="201"/>
      <c r="H2720" s="203"/>
      <c r="I2720" s="201"/>
      <c r="J2720" s="204"/>
      <c r="K2720" s="201"/>
      <c r="L2720" s="201"/>
    </row>
    <row r="2721">
      <c r="A2721" s="200"/>
      <c r="B2721" s="201"/>
      <c r="C2721" s="201"/>
      <c r="D2721" s="201"/>
      <c r="E2721" s="201"/>
      <c r="F2721" s="201"/>
      <c r="G2721" s="201"/>
      <c r="H2721" s="203"/>
      <c r="I2721" s="201"/>
      <c r="J2721" s="204"/>
      <c r="K2721" s="201"/>
      <c r="L2721" s="201"/>
    </row>
    <row r="2722">
      <c r="A2722" s="200"/>
      <c r="B2722" s="201"/>
      <c r="C2722" s="201"/>
      <c r="D2722" s="201"/>
      <c r="E2722" s="201"/>
      <c r="F2722" s="201"/>
      <c r="G2722" s="201"/>
      <c r="H2722" s="203"/>
      <c r="I2722" s="201"/>
      <c r="J2722" s="204"/>
      <c r="K2722" s="201"/>
      <c r="L2722" s="201"/>
    </row>
    <row r="2723">
      <c r="A2723" s="200"/>
      <c r="B2723" s="201"/>
      <c r="C2723" s="201"/>
      <c r="D2723" s="201"/>
      <c r="E2723" s="201"/>
      <c r="F2723" s="201"/>
      <c r="G2723" s="201"/>
      <c r="H2723" s="203"/>
      <c r="I2723" s="201"/>
      <c r="J2723" s="204"/>
      <c r="K2723" s="201"/>
      <c r="L2723" s="201"/>
    </row>
    <row r="2724">
      <c r="A2724" s="200"/>
      <c r="B2724" s="201"/>
      <c r="C2724" s="201"/>
      <c r="D2724" s="201"/>
      <c r="E2724" s="201"/>
      <c r="F2724" s="201"/>
      <c r="G2724" s="201"/>
      <c r="H2724" s="203"/>
      <c r="I2724" s="201"/>
      <c r="J2724" s="204"/>
      <c r="K2724" s="201"/>
      <c r="L2724" s="201"/>
    </row>
    <row r="2725">
      <c r="A2725" s="200"/>
      <c r="B2725" s="201"/>
      <c r="C2725" s="201"/>
      <c r="D2725" s="201"/>
      <c r="E2725" s="201"/>
      <c r="F2725" s="201"/>
      <c r="G2725" s="201"/>
      <c r="H2725" s="203"/>
      <c r="I2725" s="201"/>
      <c r="J2725" s="204"/>
      <c r="K2725" s="201"/>
      <c r="L2725" s="201"/>
    </row>
    <row r="2726">
      <c r="A2726" s="200"/>
      <c r="B2726" s="201"/>
      <c r="C2726" s="201"/>
      <c r="D2726" s="201"/>
      <c r="E2726" s="201"/>
      <c r="F2726" s="201"/>
      <c r="G2726" s="201"/>
      <c r="H2726" s="203"/>
      <c r="I2726" s="201"/>
      <c r="J2726" s="204"/>
      <c r="K2726" s="201"/>
      <c r="L2726" s="201"/>
    </row>
    <row r="2727">
      <c r="A2727" s="200"/>
      <c r="B2727" s="201"/>
      <c r="C2727" s="201"/>
      <c r="D2727" s="201"/>
      <c r="E2727" s="201"/>
      <c r="F2727" s="201"/>
      <c r="G2727" s="201"/>
      <c r="H2727" s="203"/>
      <c r="I2727" s="201"/>
      <c r="J2727" s="204"/>
      <c r="K2727" s="201"/>
      <c r="L2727" s="201"/>
    </row>
    <row r="2728">
      <c r="A2728" s="200"/>
      <c r="B2728" s="201"/>
      <c r="C2728" s="201"/>
      <c r="D2728" s="201"/>
      <c r="E2728" s="201"/>
      <c r="F2728" s="201"/>
      <c r="G2728" s="201"/>
      <c r="H2728" s="203"/>
      <c r="I2728" s="201"/>
      <c r="J2728" s="204"/>
      <c r="K2728" s="201"/>
      <c r="L2728" s="201"/>
    </row>
    <row r="2729">
      <c r="A2729" s="200"/>
      <c r="B2729" s="201"/>
      <c r="C2729" s="201"/>
      <c r="D2729" s="201"/>
      <c r="E2729" s="201"/>
      <c r="F2729" s="201"/>
      <c r="G2729" s="201"/>
      <c r="H2729" s="203"/>
      <c r="I2729" s="201"/>
      <c r="J2729" s="204"/>
      <c r="K2729" s="201"/>
      <c r="L2729" s="201"/>
    </row>
    <row r="2730">
      <c r="A2730" s="200"/>
      <c r="B2730" s="201"/>
      <c r="C2730" s="201"/>
      <c r="D2730" s="201"/>
      <c r="E2730" s="201"/>
      <c r="F2730" s="201"/>
      <c r="G2730" s="201"/>
      <c r="H2730" s="203"/>
      <c r="I2730" s="201"/>
      <c r="J2730" s="204"/>
      <c r="K2730" s="201"/>
      <c r="L2730" s="201"/>
    </row>
    <row r="2731">
      <c r="A2731" s="200"/>
      <c r="B2731" s="201"/>
      <c r="C2731" s="201"/>
      <c r="D2731" s="201"/>
      <c r="E2731" s="201"/>
      <c r="F2731" s="201"/>
      <c r="G2731" s="201"/>
      <c r="H2731" s="203"/>
      <c r="I2731" s="201"/>
      <c r="J2731" s="204"/>
      <c r="K2731" s="201"/>
      <c r="L2731" s="201"/>
    </row>
    <row r="2732">
      <c r="A2732" s="200"/>
      <c r="B2732" s="201"/>
      <c r="C2732" s="201"/>
      <c r="D2732" s="201"/>
      <c r="E2732" s="201"/>
      <c r="F2732" s="201"/>
      <c r="G2732" s="201"/>
      <c r="H2732" s="203"/>
      <c r="I2732" s="201"/>
      <c r="J2732" s="204"/>
      <c r="K2732" s="201"/>
      <c r="L2732" s="201"/>
    </row>
    <row r="2733">
      <c r="A2733" s="200"/>
      <c r="B2733" s="201"/>
      <c r="C2733" s="201"/>
      <c r="D2733" s="201"/>
      <c r="E2733" s="201"/>
      <c r="F2733" s="201"/>
      <c r="G2733" s="201"/>
      <c r="H2733" s="203"/>
      <c r="I2733" s="201"/>
      <c r="J2733" s="204"/>
      <c r="K2733" s="201"/>
      <c r="L2733" s="201"/>
    </row>
    <row r="2734">
      <c r="A2734" s="200"/>
      <c r="B2734" s="201"/>
      <c r="C2734" s="201"/>
      <c r="D2734" s="201"/>
      <c r="E2734" s="201"/>
      <c r="F2734" s="201"/>
      <c r="G2734" s="201"/>
      <c r="H2734" s="203"/>
      <c r="I2734" s="201"/>
      <c r="J2734" s="204"/>
      <c r="K2734" s="201"/>
      <c r="L2734" s="201"/>
    </row>
    <row r="2735">
      <c r="A2735" s="200"/>
      <c r="B2735" s="201"/>
      <c r="C2735" s="201"/>
      <c r="D2735" s="201"/>
      <c r="E2735" s="201"/>
      <c r="F2735" s="201"/>
      <c r="G2735" s="201"/>
      <c r="H2735" s="203"/>
      <c r="I2735" s="201"/>
      <c r="J2735" s="204"/>
      <c r="K2735" s="201"/>
      <c r="L2735" s="201"/>
    </row>
    <row r="2736">
      <c r="A2736" s="200"/>
      <c r="B2736" s="201"/>
      <c r="C2736" s="201"/>
      <c r="D2736" s="201"/>
      <c r="E2736" s="201"/>
      <c r="F2736" s="201"/>
      <c r="G2736" s="201"/>
      <c r="H2736" s="203"/>
      <c r="I2736" s="201"/>
      <c r="J2736" s="204"/>
      <c r="K2736" s="201"/>
      <c r="L2736" s="201"/>
    </row>
    <row r="2737">
      <c r="A2737" s="200"/>
      <c r="B2737" s="201"/>
      <c r="C2737" s="201"/>
      <c r="D2737" s="201"/>
      <c r="E2737" s="201"/>
      <c r="F2737" s="201"/>
      <c r="G2737" s="201"/>
      <c r="H2737" s="203"/>
      <c r="I2737" s="201"/>
      <c r="J2737" s="204"/>
      <c r="K2737" s="201"/>
      <c r="L2737" s="201"/>
    </row>
    <row r="2738">
      <c r="A2738" s="200"/>
      <c r="B2738" s="201"/>
      <c r="C2738" s="201"/>
      <c r="D2738" s="201"/>
      <c r="E2738" s="201"/>
      <c r="F2738" s="201"/>
      <c r="G2738" s="201"/>
      <c r="H2738" s="203"/>
      <c r="I2738" s="201"/>
      <c r="J2738" s="204"/>
      <c r="K2738" s="201"/>
      <c r="L2738" s="201"/>
    </row>
    <row r="2739">
      <c r="A2739" s="200"/>
      <c r="B2739" s="201"/>
      <c r="C2739" s="201"/>
      <c r="D2739" s="201"/>
      <c r="E2739" s="201"/>
      <c r="F2739" s="201"/>
      <c r="G2739" s="201"/>
      <c r="H2739" s="203"/>
      <c r="I2739" s="201"/>
      <c r="J2739" s="204"/>
      <c r="K2739" s="201"/>
      <c r="L2739" s="201"/>
    </row>
    <row r="2740">
      <c r="A2740" s="200"/>
      <c r="B2740" s="201"/>
      <c r="C2740" s="201"/>
      <c r="D2740" s="201"/>
      <c r="E2740" s="201"/>
      <c r="F2740" s="201"/>
      <c r="G2740" s="201"/>
      <c r="H2740" s="203"/>
      <c r="I2740" s="201"/>
      <c r="J2740" s="204"/>
      <c r="K2740" s="201"/>
      <c r="L2740" s="201"/>
    </row>
    <row r="2741">
      <c r="A2741" s="200"/>
      <c r="B2741" s="201"/>
      <c r="C2741" s="201"/>
      <c r="D2741" s="201"/>
      <c r="E2741" s="201"/>
      <c r="F2741" s="201"/>
      <c r="G2741" s="201"/>
      <c r="H2741" s="203"/>
      <c r="I2741" s="201"/>
      <c r="J2741" s="204"/>
      <c r="K2741" s="201"/>
      <c r="L2741" s="201"/>
    </row>
    <row r="2742">
      <c r="A2742" s="200"/>
      <c r="B2742" s="201"/>
      <c r="C2742" s="201"/>
      <c r="D2742" s="201"/>
      <c r="E2742" s="201"/>
      <c r="F2742" s="201"/>
      <c r="G2742" s="201"/>
      <c r="H2742" s="203"/>
      <c r="I2742" s="201"/>
      <c r="J2742" s="204"/>
      <c r="K2742" s="201"/>
      <c r="L2742" s="201"/>
    </row>
    <row r="2743">
      <c r="A2743" s="200"/>
      <c r="B2743" s="201"/>
      <c r="C2743" s="201"/>
      <c r="D2743" s="201"/>
      <c r="E2743" s="201"/>
      <c r="F2743" s="201"/>
      <c r="G2743" s="201"/>
      <c r="H2743" s="203"/>
      <c r="I2743" s="201"/>
      <c r="J2743" s="204"/>
      <c r="K2743" s="201"/>
      <c r="L2743" s="201"/>
    </row>
    <row r="2744">
      <c r="A2744" s="200"/>
      <c r="B2744" s="201"/>
      <c r="C2744" s="201"/>
      <c r="D2744" s="201"/>
      <c r="E2744" s="201"/>
      <c r="F2744" s="201"/>
      <c r="G2744" s="201"/>
      <c r="H2744" s="203"/>
      <c r="I2744" s="201"/>
      <c r="J2744" s="204"/>
      <c r="K2744" s="201"/>
      <c r="L2744" s="201"/>
    </row>
    <row r="2745">
      <c r="A2745" s="200"/>
      <c r="B2745" s="201"/>
      <c r="C2745" s="201"/>
      <c r="D2745" s="201"/>
      <c r="E2745" s="201"/>
      <c r="F2745" s="201"/>
      <c r="G2745" s="201"/>
      <c r="H2745" s="203"/>
      <c r="I2745" s="201"/>
      <c r="J2745" s="204"/>
      <c r="K2745" s="201"/>
      <c r="L2745" s="201"/>
    </row>
    <row r="2746">
      <c r="A2746" s="200"/>
      <c r="B2746" s="201"/>
      <c r="C2746" s="201"/>
      <c r="D2746" s="201"/>
      <c r="E2746" s="201"/>
      <c r="F2746" s="201"/>
      <c r="G2746" s="201"/>
      <c r="H2746" s="203"/>
      <c r="I2746" s="201"/>
      <c r="J2746" s="204"/>
      <c r="K2746" s="201"/>
      <c r="L2746" s="201"/>
    </row>
    <row r="2747">
      <c r="A2747" s="200"/>
      <c r="B2747" s="201"/>
      <c r="C2747" s="201"/>
      <c r="D2747" s="201"/>
      <c r="E2747" s="201"/>
      <c r="F2747" s="201"/>
      <c r="G2747" s="201"/>
      <c r="H2747" s="203"/>
      <c r="I2747" s="201"/>
      <c r="J2747" s="204"/>
      <c r="K2747" s="201"/>
      <c r="L2747" s="201"/>
    </row>
    <row r="2748">
      <c r="A2748" s="200"/>
      <c r="B2748" s="201"/>
      <c r="C2748" s="201"/>
      <c r="D2748" s="201"/>
      <c r="E2748" s="201"/>
      <c r="F2748" s="201"/>
      <c r="G2748" s="201"/>
      <c r="H2748" s="203"/>
      <c r="I2748" s="201"/>
      <c r="J2748" s="204"/>
      <c r="K2748" s="201"/>
      <c r="L2748" s="201"/>
    </row>
    <row r="2749">
      <c r="A2749" s="200"/>
      <c r="B2749" s="201"/>
      <c r="C2749" s="201"/>
      <c r="D2749" s="201"/>
      <c r="E2749" s="201"/>
      <c r="F2749" s="201"/>
      <c r="G2749" s="201"/>
      <c r="H2749" s="203"/>
      <c r="I2749" s="201"/>
      <c r="J2749" s="204"/>
      <c r="K2749" s="201"/>
      <c r="L2749" s="201"/>
    </row>
    <row r="2750">
      <c r="A2750" s="200"/>
      <c r="B2750" s="201"/>
      <c r="C2750" s="201"/>
      <c r="D2750" s="201"/>
      <c r="E2750" s="201"/>
      <c r="F2750" s="201"/>
      <c r="G2750" s="201"/>
      <c r="H2750" s="203"/>
      <c r="I2750" s="201"/>
      <c r="J2750" s="204"/>
      <c r="K2750" s="201"/>
      <c r="L2750" s="201"/>
    </row>
    <row r="2751">
      <c r="A2751" s="200"/>
      <c r="B2751" s="201"/>
      <c r="C2751" s="201"/>
      <c r="D2751" s="201"/>
      <c r="E2751" s="201"/>
      <c r="F2751" s="201"/>
      <c r="G2751" s="201"/>
      <c r="H2751" s="203"/>
      <c r="I2751" s="201"/>
      <c r="J2751" s="204"/>
      <c r="K2751" s="201"/>
      <c r="L2751" s="201"/>
    </row>
    <row r="2752">
      <c r="A2752" s="200"/>
      <c r="B2752" s="201"/>
      <c r="C2752" s="201"/>
      <c r="D2752" s="201"/>
      <c r="E2752" s="201"/>
      <c r="F2752" s="201"/>
      <c r="G2752" s="201"/>
      <c r="H2752" s="203"/>
      <c r="I2752" s="201"/>
      <c r="J2752" s="204"/>
      <c r="K2752" s="201"/>
      <c r="L2752" s="201"/>
    </row>
    <row r="2753">
      <c r="A2753" s="200"/>
      <c r="B2753" s="201"/>
      <c r="C2753" s="201"/>
      <c r="D2753" s="201"/>
      <c r="E2753" s="201"/>
      <c r="F2753" s="201"/>
      <c r="G2753" s="201"/>
      <c r="H2753" s="203"/>
      <c r="I2753" s="201"/>
      <c r="J2753" s="204"/>
      <c r="K2753" s="201"/>
      <c r="L2753" s="201"/>
    </row>
    <row r="2754">
      <c r="A2754" s="200"/>
      <c r="B2754" s="201"/>
      <c r="C2754" s="201"/>
      <c r="D2754" s="201"/>
      <c r="E2754" s="201"/>
      <c r="F2754" s="201"/>
      <c r="G2754" s="201"/>
      <c r="H2754" s="203"/>
      <c r="I2754" s="201"/>
      <c r="J2754" s="204"/>
      <c r="K2754" s="201"/>
      <c r="L2754" s="201"/>
    </row>
    <row r="2755">
      <c r="A2755" s="200"/>
      <c r="B2755" s="201"/>
      <c r="C2755" s="201"/>
      <c r="D2755" s="201"/>
      <c r="E2755" s="201"/>
      <c r="F2755" s="201"/>
      <c r="G2755" s="201"/>
      <c r="H2755" s="203"/>
      <c r="I2755" s="201"/>
      <c r="J2755" s="204"/>
      <c r="K2755" s="201"/>
      <c r="L2755" s="201"/>
    </row>
    <row r="2756">
      <c r="A2756" s="200"/>
      <c r="B2756" s="201"/>
      <c r="C2756" s="201"/>
      <c r="D2756" s="201"/>
      <c r="E2756" s="201"/>
      <c r="F2756" s="201"/>
      <c r="G2756" s="201"/>
      <c r="H2756" s="203"/>
      <c r="I2756" s="201"/>
      <c r="J2756" s="204"/>
      <c r="K2756" s="201"/>
      <c r="L2756" s="201"/>
    </row>
    <row r="2757">
      <c r="A2757" s="200"/>
      <c r="B2757" s="201"/>
      <c r="C2757" s="201"/>
      <c r="D2757" s="201"/>
      <c r="E2757" s="201"/>
      <c r="F2757" s="201"/>
      <c r="G2757" s="201"/>
      <c r="H2757" s="203"/>
      <c r="I2757" s="201"/>
      <c r="J2757" s="204"/>
      <c r="K2757" s="201"/>
      <c r="L2757" s="201"/>
    </row>
    <row r="2758">
      <c r="A2758" s="200"/>
      <c r="B2758" s="201"/>
      <c r="C2758" s="201"/>
      <c r="D2758" s="201"/>
      <c r="E2758" s="201"/>
      <c r="F2758" s="201"/>
      <c r="G2758" s="201"/>
      <c r="H2758" s="203"/>
      <c r="I2758" s="201"/>
      <c r="J2758" s="204"/>
      <c r="K2758" s="201"/>
      <c r="L2758" s="201"/>
    </row>
    <row r="2759">
      <c r="A2759" s="200"/>
      <c r="B2759" s="201"/>
      <c r="C2759" s="201"/>
      <c r="D2759" s="201"/>
      <c r="E2759" s="201"/>
      <c r="F2759" s="201"/>
      <c r="G2759" s="201"/>
      <c r="H2759" s="203"/>
      <c r="I2759" s="201"/>
      <c r="J2759" s="204"/>
      <c r="K2759" s="201"/>
      <c r="L2759" s="201"/>
    </row>
    <row r="2760">
      <c r="A2760" s="200"/>
      <c r="B2760" s="201"/>
      <c r="C2760" s="201"/>
      <c r="D2760" s="201"/>
      <c r="E2760" s="201"/>
      <c r="F2760" s="201"/>
      <c r="G2760" s="201"/>
      <c r="H2760" s="203"/>
      <c r="I2760" s="201"/>
      <c r="J2760" s="204"/>
      <c r="K2760" s="201"/>
      <c r="L2760" s="201"/>
    </row>
    <row r="2761">
      <c r="A2761" s="200"/>
      <c r="B2761" s="201"/>
      <c r="C2761" s="201"/>
      <c r="D2761" s="201"/>
      <c r="E2761" s="201"/>
      <c r="F2761" s="201"/>
      <c r="G2761" s="201"/>
      <c r="H2761" s="203"/>
      <c r="I2761" s="201"/>
      <c r="J2761" s="204"/>
      <c r="K2761" s="201"/>
      <c r="L2761" s="201"/>
    </row>
    <row r="2762">
      <c r="A2762" s="200"/>
      <c r="B2762" s="201"/>
      <c r="C2762" s="201"/>
      <c r="D2762" s="201"/>
      <c r="E2762" s="201"/>
      <c r="F2762" s="201"/>
      <c r="G2762" s="201"/>
      <c r="H2762" s="203"/>
      <c r="I2762" s="201"/>
      <c r="J2762" s="204"/>
      <c r="K2762" s="201"/>
      <c r="L2762" s="201"/>
    </row>
    <row r="2763">
      <c r="A2763" s="200"/>
      <c r="B2763" s="201"/>
      <c r="C2763" s="201"/>
      <c r="D2763" s="201"/>
      <c r="E2763" s="201"/>
      <c r="F2763" s="201"/>
      <c r="G2763" s="201"/>
      <c r="H2763" s="203"/>
      <c r="I2763" s="201"/>
      <c r="J2763" s="204"/>
      <c r="K2763" s="201"/>
      <c r="L2763" s="201"/>
    </row>
    <row r="2764">
      <c r="A2764" s="200"/>
      <c r="B2764" s="201"/>
      <c r="C2764" s="201"/>
      <c r="D2764" s="201"/>
      <c r="E2764" s="201"/>
      <c r="F2764" s="201"/>
      <c r="G2764" s="201"/>
      <c r="H2764" s="203"/>
      <c r="I2764" s="201"/>
      <c r="J2764" s="204"/>
      <c r="K2764" s="201"/>
      <c r="L2764" s="201"/>
    </row>
    <row r="2765">
      <c r="A2765" s="200"/>
      <c r="B2765" s="201"/>
      <c r="C2765" s="201"/>
      <c r="D2765" s="201"/>
      <c r="E2765" s="201"/>
      <c r="F2765" s="201"/>
      <c r="G2765" s="201"/>
      <c r="H2765" s="203"/>
      <c r="I2765" s="201"/>
      <c r="J2765" s="204"/>
      <c r="K2765" s="201"/>
      <c r="L2765" s="201"/>
    </row>
    <row r="2766">
      <c r="A2766" s="200"/>
      <c r="B2766" s="201"/>
      <c r="C2766" s="201"/>
      <c r="D2766" s="201"/>
      <c r="E2766" s="201"/>
      <c r="F2766" s="201"/>
      <c r="G2766" s="201"/>
      <c r="H2766" s="203"/>
      <c r="I2766" s="201"/>
      <c r="J2766" s="204"/>
      <c r="K2766" s="201"/>
      <c r="L2766" s="201"/>
    </row>
    <row r="2767">
      <c r="A2767" s="200"/>
      <c r="B2767" s="201"/>
      <c r="C2767" s="201"/>
      <c r="D2767" s="201"/>
      <c r="E2767" s="201"/>
      <c r="F2767" s="201"/>
      <c r="G2767" s="201"/>
      <c r="H2767" s="203"/>
      <c r="I2767" s="201"/>
      <c r="J2767" s="204"/>
      <c r="K2767" s="201"/>
      <c r="L2767" s="201"/>
    </row>
    <row r="2768">
      <c r="A2768" s="200"/>
      <c r="B2768" s="201"/>
      <c r="C2768" s="201"/>
      <c r="D2768" s="201"/>
      <c r="E2768" s="201"/>
      <c r="F2768" s="201"/>
      <c r="G2768" s="201"/>
      <c r="H2768" s="203"/>
      <c r="I2768" s="201"/>
      <c r="J2768" s="204"/>
      <c r="K2768" s="201"/>
      <c r="L2768" s="201"/>
    </row>
    <row r="2769">
      <c r="A2769" s="200"/>
      <c r="B2769" s="201"/>
      <c r="C2769" s="201"/>
      <c r="D2769" s="201"/>
      <c r="E2769" s="201"/>
      <c r="F2769" s="201"/>
      <c r="G2769" s="201"/>
      <c r="H2769" s="203"/>
      <c r="I2769" s="201"/>
      <c r="J2769" s="204"/>
      <c r="K2769" s="201"/>
      <c r="L2769" s="201"/>
    </row>
    <row r="2770">
      <c r="A2770" s="200"/>
      <c r="B2770" s="201"/>
      <c r="C2770" s="201"/>
      <c r="D2770" s="201"/>
      <c r="E2770" s="201"/>
      <c r="F2770" s="201"/>
      <c r="G2770" s="201"/>
      <c r="H2770" s="203"/>
      <c r="I2770" s="201"/>
      <c r="J2770" s="204"/>
      <c r="K2770" s="201"/>
      <c r="L2770" s="201"/>
    </row>
    <row r="2771">
      <c r="A2771" s="200"/>
      <c r="B2771" s="201"/>
      <c r="C2771" s="201"/>
      <c r="D2771" s="201"/>
      <c r="E2771" s="201"/>
      <c r="F2771" s="201"/>
      <c r="G2771" s="201"/>
      <c r="H2771" s="203"/>
      <c r="I2771" s="201"/>
      <c r="J2771" s="204"/>
      <c r="K2771" s="201"/>
      <c r="L2771" s="201"/>
    </row>
    <row r="2772">
      <c r="A2772" s="200"/>
      <c r="B2772" s="201"/>
      <c r="C2772" s="201"/>
      <c r="D2772" s="201"/>
      <c r="E2772" s="201"/>
      <c r="F2772" s="201"/>
      <c r="G2772" s="201"/>
      <c r="H2772" s="203"/>
      <c r="I2772" s="201"/>
      <c r="J2772" s="204"/>
      <c r="K2772" s="201"/>
      <c r="L2772" s="201"/>
    </row>
    <row r="2773">
      <c r="A2773" s="200"/>
      <c r="B2773" s="201"/>
      <c r="C2773" s="201"/>
      <c r="D2773" s="201"/>
      <c r="E2773" s="201"/>
      <c r="F2773" s="201"/>
      <c r="G2773" s="201"/>
      <c r="H2773" s="203"/>
      <c r="I2773" s="201"/>
      <c r="J2773" s="204"/>
      <c r="K2773" s="201"/>
      <c r="L2773" s="201"/>
    </row>
    <row r="2774">
      <c r="A2774" s="200"/>
      <c r="B2774" s="201"/>
      <c r="C2774" s="201"/>
      <c r="D2774" s="201"/>
      <c r="E2774" s="201"/>
      <c r="F2774" s="201"/>
      <c r="G2774" s="201"/>
      <c r="H2774" s="203"/>
      <c r="I2774" s="201"/>
      <c r="J2774" s="204"/>
      <c r="K2774" s="201"/>
      <c r="L2774" s="201"/>
    </row>
    <row r="2775">
      <c r="A2775" s="200"/>
      <c r="B2775" s="201"/>
      <c r="C2775" s="201"/>
      <c r="D2775" s="201"/>
      <c r="E2775" s="201"/>
      <c r="F2775" s="201"/>
      <c r="G2775" s="201"/>
      <c r="H2775" s="203"/>
      <c r="I2775" s="201"/>
      <c r="J2775" s="204"/>
      <c r="K2775" s="201"/>
      <c r="L2775" s="201"/>
    </row>
    <row r="2776">
      <c r="A2776" s="200"/>
      <c r="B2776" s="201"/>
      <c r="C2776" s="201"/>
      <c r="D2776" s="201"/>
      <c r="E2776" s="201"/>
      <c r="F2776" s="201"/>
      <c r="G2776" s="201"/>
      <c r="H2776" s="203"/>
      <c r="I2776" s="201"/>
      <c r="J2776" s="204"/>
      <c r="K2776" s="201"/>
      <c r="L2776" s="201"/>
    </row>
    <row r="2777">
      <c r="A2777" s="200"/>
      <c r="B2777" s="201"/>
      <c r="C2777" s="201"/>
      <c r="D2777" s="201"/>
      <c r="E2777" s="201"/>
      <c r="F2777" s="201"/>
      <c r="G2777" s="201"/>
      <c r="H2777" s="203"/>
      <c r="I2777" s="201"/>
      <c r="J2777" s="204"/>
      <c r="K2777" s="201"/>
      <c r="L2777" s="201"/>
    </row>
    <row r="2778">
      <c r="A2778" s="200"/>
      <c r="B2778" s="201"/>
      <c r="C2778" s="201"/>
      <c r="D2778" s="201"/>
      <c r="E2778" s="201"/>
      <c r="F2778" s="201"/>
      <c r="G2778" s="201"/>
      <c r="H2778" s="203"/>
      <c r="I2778" s="201"/>
      <c r="J2778" s="204"/>
      <c r="K2778" s="201"/>
      <c r="L2778" s="201"/>
    </row>
    <row r="2779">
      <c r="A2779" s="200"/>
      <c r="B2779" s="201"/>
      <c r="C2779" s="201"/>
      <c r="D2779" s="201"/>
      <c r="E2779" s="201"/>
      <c r="F2779" s="201"/>
      <c r="G2779" s="201"/>
      <c r="H2779" s="203"/>
      <c r="I2779" s="201"/>
      <c r="J2779" s="204"/>
      <c r="K2779" s="201"/>
      <c r="L2779" s="201"/>
    </row>
    <row r="2780">
      <c r="A2780" s="200"/>
      <c r="B2780" s="201"/>
      <c r="C2780" s="201"/>
      <c r="D2780" s="201"/>
      <c r="E2780" s="201"/>
      <c r="F2780" s="201"/>
      <c r="G2780" s="201"/>
      <c r="H2780" s="203"/>
      <c r="I2780" s="201"/>
      <c r="J2780" s="204"/>
      <c r="K2780" s="201"/>
      <c r="L2780" s="201"/>
    </row>
    <row r="2781">
      <c r="A2781" s="200"/>
      <c r="B2781" s="201"/>
      <c r="C2781" s="201"/>
      <c r="D2781" s="201"/>
      <c r="E2781" s="201"/>
      <c r="F2781" s="201"/>
      <c r="G2781" s="201"/>
      <c r="H2781" s="203"/>
      <c r="I2781" s="201"/>
      <c r="J2781" s="204"/>
      <c r="K2781" s="201"/>
      <c r="L2781" s="201"/>
    </row>
    <row r="2782">
      <c r="A2782" s="200"/>
      <c r="B2782" s="201"/>
      <c r="C2782" s="201"/>
      <c r="D2782" s="201"/>
      <c r="E2782" s="201"/>
      <c r="F2782" s="201"/>
      <c r="G2782" s="201"/>
      <c r="H2782" s="203"/>
      <c r="I2782" s="201"/>
      <c r="J2782" s="204"/>
      <c r="K2782" s="201"/>
      <c r="L2782" s="201"/>
    </row>
    <row r="2783">
      <c r="A2783" s="200"/>
      <c r="B2783" s="201"/>
      <c r="C2783" s="201"/>
      <c r="D2783" s="201"/>
      <c r="E2783" s="201"/>
      <c r="F2783" s="201"/>
      <c r="G2783" s="201"/>
      <c r="H2783" s="203"/>
      <c r="I2783" s="201"/>
      <c r="J2783" s="204"/>
      <c r="K2783" s="201"/>
      <c r="L2783" s="201"/>
    </row>
    <row r="2784">
      <c r="A2784" s="200"/>
      <c r="B2784" s="201"/>
      <c r="C2784" s="201"/>
      <c r="D2784" s="201"/>
      <c r="E2784" s="201"/>
      <c r="F2784" s="201"/>
      <c r="G2784" s="201"/>
      <c r="H2784" s="203"/>
      <c r="I2784" s="201"/>
      <c r="J2784" s="204"/>
      <c r="K2784" s="201"/>
      <c r="L2784" s="201"/>
    </row>
    <row r="2785">
      <c r="A2785" s="200"/>
      <c r="B2785" s="201"/>
      <c r="C2785" s="201"/>
      <c r="D2785" s="201"/>
      <c r="E2785" s="201"/>
      <c r="F2785" s="201"/>
      <c r="G2785" s="201"/>
      <c r="H2785" s="203"/>
      <c r="I2785" s="201"/>
      <c r="J2785" s="204"/>
      <c r="K2785" s="201"/>
      <c r="L2785" s="201"/>
    </row>
    <row r="2786">
      <c r="A2786" s="200"/>
      <c r="B2786" s="201"/>
      <c r="C2786" s="201"/>
      <c r="D2786" s="201"/>
      <c r="E2786" s="201"/>
      <c r="F2786" s="201"/>
      <c r="G2786" s="201"/>
      <c r="H2786" s="203"/>
      <c r="I2786" s="201"/>
      <c r="J2786" s="204"/>
      <c r="K2786" s="201"/>
      <c r="L2786" s="201"/>
    </row>
    <row r="2787">
      <c r="A2787" s="200"/>
      <c r="B2787" s="201"/>
      <c r="C2787" s="201"/>
      <c r="D2787" s="201"/>
      <c r="E2787" s="201"/>
      <c r="F2787" s="201"/>
      <c r="G2787" s="201"/>
      <c r="H2787" s="203"/>
      <c r="I2787" s="201"/>
      <c r="J2787" s="204"/>
      <c r="K2787" s="201"/>
      <c r="L2787" s="201"/>
    </row>
    <row r="2788">
      <c r="A2788" s="200"/>
      <c r="B2788" s="201"/>
      <c r="C2788" s="201"/>
      <c r="D2788" s="201"/>
      <c r="E2788" s="201"/>
      <c r="F2788" s="201"/>
      <c r="G2788" s="201"/>
      <c r="H2788" s="203"/>
      <c r="I2788" s="201"/>
      <c r="J2788" s="204"/>
      <c r="K2788" s="201"/>
      <c r="L2788" s="201"/>
    </row>
    <row r="2789">
      <c r="A2789" s="200"/>
      <c r="B2789" s="201"/>
      <c r="C2789" s="201"/>
      <c r="D2789" s="201"/>
      <c r="E2789" s="201"/>
      <c r="F2789" s="201"/>
      <c r="G2789" s="201"/>
      <c r="H2789" s="203"/>
      <c r="I2789" s="201"/>
      <c r="J2789" s="204"/>
      <c r="K2789" s="201"/>
      <c r="L2789" s="201"/>
    </row>
    <row r="2790">
      <c r="A2790" s="200"/>
      <c r="B2790" s="201"/>
      <c r="C2790" s="201"/>
      <c r="D2790" s="201"/>
      <c r="E2790" s="201"/>
      <c r="F2790" s="201"/>
      <c r="G2790" s="201"/>
      <c r="H2790" s="203"/>
      <c r="I2790" s="201"/>
      <c r="J2790" s="204"/>
      <c r="K2790" s="201"/>
      <c r="L2790" s="201"/>
    </row>
    <row r="2791">
      <c r="A2791" s="200"/>
      <c r="B2791" s="201"/>
      <c r="C2791" s="201"/>
      <c r="D2791" s="201"/>
      <c r="E2791" s="201"/>
      <c r="F2791" s="201"/>
      <c r="G2791" s="201"/>
      <c r="H2791" s="203"/>
      <c r="I2791" s="201"/>
      <c r="J2791" s="204"/>
      <c r="K2791" s="201"/>
      <c r="L2791" s="201"/>
    </row>
    <row r="2792">
      <c r="A2792" s="200"/>
      <c r="B2792" s="201"/>
      <c r="C2792" s="201"/>
      <c r="D2792" s="201"/>
      <c r="E2792" s="201"/>
      <c r="F2792" s="201"/>
      <c r="G2792" s="201"/>
      <c r="H2792" s="203"/>
      <c r="I2792" s="201"/>
      <c r="J2792" s="204"/>
      <c r="K2792" s="201"/>
      <c r="L2792" s="201"/>
    </row>
    <row r="2793">
      <c r="A2793" s="200"/>
      <c r="B2793" s="201"/>
      <c r="C2793" s="201"/>
      <c r="D2793" s="201"/>
      <c r="E2793" s="201"/>
      <c r="F2793" s="201"/>
      <c r="G2793" s="201"/>
      <c r="H2793" s="203"/>
      <c r="I2793" s="201"/>
      <c r="J2793" s="204"/>
      <c r="K2793" s="201"/>
      <c r="L2793" s="201"/>
    </row>
    <row r="2794">
      <c r="A2794" s="200"/>
      <c r="B2794" s="201"/>
      <c r="C2794" s="201"/>
      <c r="D2794" s="201"/>
      <c r="E2794" s="201"/>
      <c r="F2794" s="201"/>
      <c r="G2794" s="201"/>
      <c r="H2794" s="203"/>
      <c r="I2794" s="201"/>
      <c r="J2794" s="204"/>
      <c r="K2794" s="201"/>
      <c r="L2794" s="201"/>
    </row>
    <row r="2795">
      <c r="A2795" s="200"/>
      <c r="B2795" s="201"/>
      <c r="C2795" s="201"/>
      <c r="D2795" s="201"/>
      <c r="E2795" s="201"/>
      <c r="F2795" s="201"/>
      <c r="G2795" s="201"/>
      <c r="H2795" s="203"/>
      <c r="I2795" s="201"/>
      <c r="J2795" s="204"/>
      <c r="K2795" s="201"/>
      <c r="L2795" s="201"/>
    </row>
    <row r="2796">
      <c r="A2796" s="200"/>
      <c r="B2796" s="201"/>
      <c r="C2796" s="201"/>
      <c r="D2796" s="201"/>
      <c r="E2796" s="201"/>
      <c r="F2796" s="201"/>
      <c r="G2796" s="201"/>
      <c r="H2796" s="203"/>
      <c r="I2796" s="201"/>
      <c r="J2796" s="204"/>
      <c r="K2796" s="201"/>
      <c r="L2796" s="201"/>
    </row>
    <row r="2797">
      <c r="A2797" s="200"/>
      <c r="B2797" s="201"/>
      <c r="C2797" s="201"/>
      <c r="D2797" s="201"/>
      <c r="E2797" s="201"/>
      <c r="F2797" s="201"/>
      <c r="G2797" s="201"/>
      <c r="H2797" s="203"/>
      <c r="I2797" s="201"/>
      <c r="J2797" s="204"/>
      <c r="K2797" s="201"/>
      <c r="L2797" s="201"/>
    </row>
    <row r="2798">
      <c r="A2798" s="200"/>
      <c r="B2798" s="201"/>
      <c r="C2798" s="201"/>
      <c r="D2798" s="201"/>
      <c r="E2798" s="201"/>
      <c r="F2798" s="201"/>
      <c r="G2798" s="201"/>
      <c r="H2798" s="203"/>
      <c r="I2798" s="201"/>
      <c r="J2798" s="204"/>
      <c r="K2798" s="201"/>
      <c r="L2798" s="201"/>
    </row>
    <row r="2799">
      <c r="A2799" s="200"/>
      <c r="B2799" s="201"/>
      <c r="C2799" s="201"/>
      <c r="D2799" s="201"/>
      <c r="E2799" s="201"/>
      <c r="F2799" s="201"/>
      <c r="G2799" s="201"/>
      <c r="H2799" s="203"/>
      <c r="I2799" s="201"/>
      <c r="J2799" s="204"/>
      <c r="K2799" s="201"/>
      <c r="L2799" s="201"/>
    </row>
    <row r="2800">
      <c r="A2800" s="200"/>
      <c r="B2800" s="201"/>
      <c r="C2800" s="201"/>
      <c r="D2800" s="201"/>
      <c r="E2800" s="201"/>
      <c r="F2800" s="201"/>
      <c r="G2800" s="201"/>
      <c r="H2800" s="203"/>
      <c r="I2800" s="201"/>
      <c r="J2800" s="204"/>
      <c r="K2800" s="201"/>
      <c r="L2800" s="201"/>
    </row>
    <row r="2801">
      <c r="A2801" s="200"/>
      <c r="B2801" s="201"/>
      <c r="C2801" s="201"/>
      <c r="D2801" s="201"/>
      <c r="E2801" s="201"/>
      <c r="F2801" s="201"/>
      <c r="G2801" s="201"/>
      <c r="H2801" s="203"/>
      <c r="I2801" s="201"/>
      <c r="J2801" s="204"/>
      <c r="K2801" s="201"/>
      <c r="L2801" s="201"/>
    </row>
    <row r="2802">
      <c r="A2802" s="200"/>
      <c r="B2802" s="201"/>
      <c r="C2802" s="201"/>
      <c r="D2802" s="201"/>
      <c r="E2802" s="201"/>
      <c r="F2802" s="201"/>
      <c r="G2802" s="201"/>
      <c r="H2802" s="203"/>
      <c r="I2802" s="201"/>
      <c r="J2802" s="204"/>
      <c r="K2802" s="201"/>
      <c r="L2802" s="201"/>
    </row>
    <row r="2803">
      <c r="A2803" s="200"/>
      <c r="B2803" s="201"/>
      <c r="C2803" s="201"/>
      <c r="D2803" s="201"/>
      <c r="E2803" s="201"/>
      <c r="F2803" s="201"/>
      <c r="G2803" s="201"/>
      <c r="H2803" s="203"/>
      <c r="I2803" s="201"/>
      <c r="J2803" s="204"/>
      <c r="K2803" s="201"/>
      <c r="L2803" s="201"/>
    </row>
    <row r="2804">
      <c r="A2804" s="200"/>
      <c r="B2804" s="201"/>
      <c r="C2804" s="201"/>
      <c r="D2804" s="201"/>
      <c r="E2804" s="201"/>
      <c r="F2804" s="201"/>
      <c r="G2804" s="201"/>
      <c r="H2804" s="203"/>
      <c r="I2804" s="201"/>
      <c r="J2804" s="204"/>
      <c r="K2804" s="201"/>
      <c r="L2804" s="201"/>
    </row>
    <row r="2805">
      <c r="A2805" s="200"/>
      <c r="B2805" s="201"/>
      <c r="C2805" s="201"/>
      <c r="D2805" s="201"/>
      <c r="E2805" s="201"/>
      <c r="F2805" s="201"/>
      <c r="G2805" s="201"/>
      <c r="H2805" s="203"/>
      <c r="I2805" s="201"/>
      <c r="J2805" s="204"/>
      <c r="K2805" s="201"/>
      <c r="L2805" s="201"/>
    </row>
    <row r="2806">
      <c r="A2806" s="200"/>
      <c r="B2806" s="201"/>
      <c r="C2806" s="201"/>
      <c r="D2806" s="201"/>
      <c r="E2806" s="201"/>
      <c r="F2806" s="201"/>
      <c r="G2806" s="201"/>
      <c r="H2806" s="203"/>
      <c r="I2806" s="201"/>
      <c r="J2806" s="204"/>
      <c r="K2806" s="201"/>
      <c r="L2806" s="201"/>
    </row>
    <row r="2807">
      <c r="A2807" s="200"/>
      <c r="B2807" s="201"/>
      <c r="C2807" s="201"/>
      <c r="D2807" s="201"/>
      <c r="E2807" s="201"/>
      <c r="F2807" s="201"/>
      <c r="G2807" s="201"/>
      <c r="H2807" s="203"/>
      <c r="I2807" s="201"/>
      <c r="J2807" s="204"/>
      <c r="K2807" s="201"/>
      <c r="L2807" s="201"/>
    </row>
    <row r="2808">
      <c r="A2808" s="200"/>
      <c r="B2808" s="201"/>
      <c r="C2808" s="201"/>
      <c r="D2808" s="201"/>
      <c r="E2808" s="201"/>
      <c r="F2808" s="201"/>
      <c r="G2808" s="201"/>
      <c r="H2808" s="203"/>
      <c r="I2808" s="201"/>
      <c r="J2808" s="204"/>
      <c r="K2808" s="201"/>
      <c r="L2808" s="201"/>
    </row>
    <row r="2809">
      <c r="A2809" s="200"/>
      <c r="B2809" s="201"/>
      <c r="C2809" s="201"/>
      <c r="D2809" s="201"/>
      <c r="E2809" s="201"/>
      <c r="F2809" s="201"/>
      <c r="G2809" s="201"/>
      <c r="H2809" s="203"/>
      <c r="I2809" s="201"/>
      <c r="J2809" s="204"/>
      <c r="K2809" s="201"/>
      <c r="L2809" s="201"/>
    </row>
    <row r="2810">
      <c r="A2810" s="200"/>
      <c r="B2810" s="201"/>
      <c r="C2810" s="201"/>
      <c r="D2810" s="201"/>
      <c r="E2810" s="201"/>
      <c r="F2810" s="201"/>
      <c r="G2810" s="201"/>
      <c r="H2810" s="203"/>
      <c r="I2810" s="201"/>
      <c r="J2810" s="204"/>
      <c r="K2810" s="201"/>
      <c r="L2810" s="201"/>
    </row>
    <row r="2811">
      <c r="A2811" s="200"/>
      <c r="B2811" s="201"/>
      <c r="C2811" s="201"/>
      <c r="D2811" s="201"/>
      <c r="E2811" s="201"/>
      <c r="F2811" s="201"/>
      <c r="G2811" s="201"/>
      <c r="H2811" s="203"/>
      <c r="I2811" s="201"/>
      <c r="J2811" s="204"/>
      <c r="K2811" s="201"/>
      <c r="L2811" s="201"/>
    </row>
    <row r="2812">
      <c r="A2812" s="200"/>
      <c r="B2812" s="201"/>
      <c r="C2812" s="201"/>
      <c r="D2812" s="201"/>
      <c r="E2812" s="201"/>
      <c r="F2812" s="201"/>
      <c r="G2812" s="201"/>
      <c r="H2812" s="203"/>
      <c r="I2812" s="201"/>
      <c r="J2812" s="204"/>
      <c r="K2812" s="201"/>
      <c r="L2812" s="201"/>
    </row>
    <row r="2813">
      <c r="A2813" s="200"/>
      <c r="B2813" s="201"/>
      <c r="C2813" s="201"/>
      <c r="D2813" s="201"/>
      <c r="E2813" s="201"/>
      <c r="F2813" s="201"/>
      <c r="G2813" s="201"/>
      <c r="H2813" s="203"/>
      <c r="I2813" s="201"/>
      <c r="J2813" s="204"/>
      <c r="K2813" s="201"/>
      <c r="L2813" s="201"/>
    </row>
    <row r="2814">
      <c r="A2814" s="200"/>
      <c r="B2814" s="201"/>
      <c r="C2814" s="201"/>
      <c r="D2814" s="201"/>
      <c r="E2814" s="201"/>
      <c r="F2814" s="201"/>
      <c r="G2814" s="201"/>
      <c r="H2814" s="203"/>
      <c r="I2814" s="201"/>
      <c r="J2814" s="204"/>
      <c r="K2814" s="201"/>
      <c r="L2814" s="201"/>
    </row>
    <row r="2815">
      <c r="A2815" s="200"/>
      <c r="B2815" s="201"/>
      <c r="C2815" s="201"/>
      <c r="D2815" s="201"/>
      <c r="E2815" s="201"/>
      <c r="F2815" s="201"/>
      <c r="G2815" s="201"/>
      <c r="H2815" s="203"/>
      <c r="I2815" s="201"/>
      <c r="J2815" s="204"/>
      <c r="K2815" s="201"/>
      <c r="L2815" s="201"/>
    </row>
    <row r="2816">
      <c r="A2816" s="200"/>
      <c r="B2816" s="201"/>
      <c r="C2816" s="201"/>
      <c r="D2816" s="201"/>
      <c r="E2816" s="201"/>
      <c r="F2816" s="201"/>
      <c r="G2816" s="201"/>
      <c r="H2816" s="203"/>
      <c r="I2816" s="201"/>
      <c r="J2816" s="204"/>
      <c r="K2816" s="201"/>
      <c r="L2816" s="201"/>
    </row>
    <row r="2817">
      <c r="A2817" s="200"/>
      <c r="B2817" s="201"/>
      <c r="C2817" s="201"/>
      <c r="D2817" s="201"/>
      <c r="E2817" s="201"/>
      <c r="F2817" s="201"/>
      <c r="G2817" s="201"/>
      <c r="H2817" s="203"/>
      <c r="I2817" s="201"/>
      <c r="J2817" s="204"/>
      <c r="K2817" s="201"/>
      <c r="L2817" s="201"/>
    </row>
    <row r="2818">
      <c r="A2818" s="200"/>
      <c r="B2818" s="201"/>
      <c r="C2818" s="201"/>
      <c r="D2818" s="201"/>
      <c r="E2818" s="201"/>
      <c r="F2818" s="201"/>
      <c r="G2818" s="201"/>
      <c r="H2818" s="203"/>
      <c r="I2818" s="201"/>
      <c r="J2818" s="204"/>
      <c r="K2818" s="201"/>
      <c r="L2818" s="201"/>
    </row>
    <row r="2819">
      <c r="A2819" s="200"/>
      <c r="B2819" s="201"/>
      <c r="C2819" s="201"/>
      <c r="D2819" s="201"/>
      <c r="E2819" s="201"/>
      <c r="F2819" s="201"/>
      <c r="G2819" s="201"/>
      <c r="H2819" s="203"/>
      <c r="I2819" s="201"/>
      <c r="J2819" s="204"/>
      <c r="K2819" s="201"/>
      <c r="L2819" s="201"/>
    </row>
    <row r="2820">
      <c r="A2820" s="200"/>
      <c r="B2820" s="201"/>
      <c r="C2820" s="201"/>
      <c r="D2820" s="201"/>
      <c r="E2820" s="201"/>
      <c r="F2820" s="201"/>
      <c r="G2820" s="201"/>
      <c r="H2820" s="203"/>
      <c r="I2820" s="201"/>
      <c r="J2820" s="204"/>
      <c r="K2820" s="201"/>
      <c r="L2820" s="201"/>
    </row>
    <row r="2821">
      <c r="A2821" s="200"/>
      <c r="B2821" s="201"/>
      <c r="C2821" s="201"/>
      <c r="D2821" s="201"/>
      <c r="E2821" s="201"/>
      <c r="F2821" s="201"/>
      <c r="G2821" s="201"/>
      <c r="H2821" s="203"/>
      <c r="I2821" s="201"/>
      <c r="J2821" s="204"/>
      <c r="K2821" s="201"/>
      <c r="L2821" s="201"/>
    </row>
    <row r="2822">
      <c r="A2822" s="200"/>
      <c r="B2822" s="201"/>
      <c r="C2822" s="201"/>
      <c r="D2822" s="201"/>
      <c r="E2822" s="201"/>
      <c r="F2822" s="201"/>
      <c r="G2822" s="201"/>
      <c r="H2822" s="203"/>
      <c r="I2822" s="201"/>
      <c r="J2822" s="204"/>
      <c r="K2822" s="201"/>
      <c r="L2822" s="201"/>
    </row>
    <row r="2823">
      <c r="A2823" s="200"/>
      <c r="B2823" s="201"/>
      <c r="C2823" s="201"/>
      <c r="D2823" s="201"/>
      <c r="E2823" s="201"/>
      <c r="F2823" s="201"/>
      <c r="G2823" s="201"/>
      <c r="H2823" s="203"/>
      <c r="I2823" s="201"/>
      <c r="J2823" s="204"/>
      <c r="K2823" s="201"/>
      <c r="L2823" s="201"/>
    </row>
    <row r="2824">
      <c r="A2824" s="200"/>
      <c r="B2824" s="201"/>
      <c r="C2824" s="201"/>
      <c r="D2824" s="201"/>
      <c r="E2824" s="201"/>
      <c r="F2824" s="201"/>
      <c r="G2824" s="201"/>
      <c r="H2824" s="203"/>
      <c r="I2824" s="201"/>
      <c r="J2824" s="204"/>
      <c r="K2824" s="201"/>
      <c r="L2824" s="201"/>
    </row>
    <row r="2825">
      <c r="A2825" s="200"/>
      <c r="B2825" s="201"/>
      <c r="C2825" s="201"/>
      <c r="D2825" s="201"/>
      <c r="E2825" s="201"/>
      <c r="F2825" s="201"/>
      <c r="G2825" s="201"/>
      <c r="H2825" s="203"/>
      <c r="I2825" s="201"/>
      <c r="J2825" s="204"/>
      <c r="K2825" s="201"/>
      <c r="L2825" s="201"/>
    </row>
    <row r="2826">
      <c r="A2826" s="200"/>
      <c r="B2826" s="201"/>
      <c r="C2826" s="201"/>
      <c r="D2826" s="201"/>
      <c r="E2826" s="201"/>
      <c r="F2826" s="201"/>
      <c r="G2826" s="201"/>
      <c r="H2826" s="203"/>
      <c r="I2826" s="201"/>
      <c r="J2826" s="204"/>
      <c r="K2826" s="201"/>
      <c r="L2826" s="201"/>
    </row>
    <row r="2827">
      <c r="A2827" s="200"/>
      <c r="B2827" s="201"/>
      <c r="C2827" s="201"/>
      <c r="D2827" s="201"/>
      <c r="E2827" s="201"/>
      <c r="F2827" s="201"/>
      <c r="G2827" s="201"/>
      <c r="H2827" s="203"/>
      <c r="I2827" s="201"/>
      <c r="J2827" s="204"/>
      <c r="K2827" s="201"/>
      <c r="L2827" s="201"/>
    </row>
    <row r="2828">
      <c r="A2828" s="200"/>
      <c r="B2828" s="201"/>
      <c r="C2828" s="201"/>
      <c r="D2828" s="201"/>
      <c r="E2828" s="201"/>
      <c r="F2828" s="201"/>
      <c r="G2828" s="201"/>
      <c r="H2828" s="203"/>
      <c r="I2828" s="201"/>
      <c r="J2828" s="204"/>
      <c r="K2828" s="201"/>
      <c r="L2828" s="201"/>
    </row>
    <row r="2829">
      <c r="A2829" s="200"/>
      <c r="B2829" s="201"/>
      <c r="C2829" s="201"/>
      <c r="D2829" s="201"/>
      <c r="E2829" s="201"/>
      <c r="F2829" s="201"/>
      <c r="G2829" s="201"/>
      <c r="H2829" s="203"/>
      <c r="I2829" s="201"/>
      <c r="J2829" s="204"/>
      <c r="K2829" s="201"/>
      <c r="L2829" s="201"/>
    </row>
    <row r="2830">
      <c r="A2830" s="200"/>
      <c r="B2830" s="201"/>
      <c r="C2830" s="201"/>
      <c r="D2830" s="201"/>
      <c r="E2830" s="201"/>
      <c r="F2830" s="201"/>
      <c r="G2830" s="201"/>
      <c r="H2830" s="203"/>
      <c r="I2830" s="201"/>
      <c r="J2830" s="204"/>
      <c r="K2830" s="201"/>
      <c r="L2830" s="201"/>
    </row>
    <row r="2831">
      <c r="A2831" s="200"/>
      <c r="B2831" s="201"/>
      <c r="C2831" s="201"/>
      <c r="D2831" s="201"/>
      <c r="E2831" s="201"/>
      <c r="F2831" s="201"/>
      <c r="G2831" s="201"/>
      <c r="H2831" s="203"/>
      <c r="I2831" s="201"/>
      <c r="J2831" s="204"/>
      <c r="K2831" s="201"/>
      <c r="L2831" s="201"/>
    </row>
    <row r="2832">
      <c r="A2832" s="200"/>
      <c r="B2832" s="201"/>
      <c r="C2832" s="201"/>
      <c r="D2832" s="201"/>
      <c r="E2832" s="201"/>
      <c r="F2832" s="201"/>
      <c r="G2832" s="201"/>
      <c r="H2832" s="203"/>
      <c r="I2832" s="201"/>
      <c r="J2832" s="204"/>
      <c r="K2832" s="201"/>
      <c r="L2832" s="201"/>
    </row>
    <row r="2833">
      <c r="A2833" s="200"/>
      <c r="B2833" s="201"/>
      <c r="C2833" s="201"/>
      <c r="D2833" s="201"/>
      <c r="E2833" s="201"/>
      <c r="F2833" s="201"/>
      <c r="G2833" s="201"/>
      <c r="H2833" s="203"/>
      <c r="I2833" s="201"/>
      <c r="J2833" s="204"/>
      <c r="K2833" s="201"/>
      <c r="L2833" s="201"/>
    </row>
    <row r="2834">
      <c r="A2834" s="200"/>
      <c r="B2834" s="201"/>
      <c r="C2834" s="201"/>
      <c r="D2834" s="201"/>
      <c r="E2834" s="201"/>
      <c r="F2834" s="201"/>
      <c r="G2834" s="201"/>
      <c r="H2834" s="203"/>
      <c r="I2834" s="201"/>
      <c r="J2834" s="204"/>
      <c r="K2834" s="201"/>
      <c r="L2834" s="201"/>
    </row>
    <row r="2835">
      <c r="A2835" s="200"/>
      <c r="B2835" s="201"/>
      <c r="C2835" s="201"/>
      <c r="D2835" s="201"/>
      <c r="E2835" s="201"/>
      <c r="F2835" s="201"/>
      <c r="G2835" s="201"/>
      <c r="H2835" s="203"/>
      <c r="I2835" s="201"/>
      <c r="J2835" s="204"/>
      <c r="K2835" s="201"/>
      <c r="L2835" s="201"/>
    </row>
    <row r="2836">
      <c r="A2836" s="200"/>
      <c r="B2836" s="201"/>
      <c r="C2836" s="201"/>
      <c r="D2836" s="201"/>
      <c r="E2836" s="201"/>
      <c r="F2836" s="201"/>
      <c r="G2836" s="201"/>
      <c r="H2836" s="203"/>
      <c r="I2836" s="201"/>
      <c r="J2836" s="204"/>
      <c r="K2836" s="201"/>
      <c r="L2836" s="201"/>
    </row>
    <row r="2837">
      <c r="A2837" s="200"/>
      <c r="B2837" s="201"/>
      <c r="C2837" s="201"/>
      <c r="D2837" s="201"/>
      <c r="E2837" s="201"/>
      <c r="F2837" s="201"/>
      <c r="G2837" s="201"/>
      <c r="H2837" s="203"/>
      <c r="I2837" s="201"/>
      <c r="J2837" s="204"/>
      <c r="K2837" s="201"/>
      <c r="L2837" s="201"/>
    </row>
    <row r="2838">
      <c r="A2838" s="200"/>
      <c r="B2838" s="201"/>
      <c r="C2838" s="201"/>
      <c r="D2838" s="201"/>
      <c r="E2838" s="201"/>
      <c r="F2838" s="201"/>
      <c r="G2838" s="201"/>
      <c r="H2838" s="203"/>
      <c r="I2838" s="201"/>
      <c r="J2838" s="204"/>
      <c r="K2838" s="201"/>
      <c r="L2838" s="201"/>
    </row>
    <row r="2839">
      <c r="A2839" s="200"/>
      <c r="B2839" s="201"/>
      <c r="C2839" s="201"/>
      <c r="D2839" s="201"/>
      <c r="E2839" s="201"/>
      <c r="F2839" s="201"/>
      <c r="G2839" s="201"/>
      <c r="H2839" s="203"/>
      <c r="I2839" s="201"/>
      <c r="J2839" s="204"/>
      <c r="K2839" s="201"/>
      <c r="L2839" s="201"/>
    </row>
    <row r="2840">
      <c r="A2840" s="200"/>
      <c r="B2840" s="201"/>
      <c r="C2840" s="201"/>
      <c r="D2840" s="201"/>
      <c r="E2840" s="201"/>
      <c r="F2840" s="201"/>
      <c r="G2840" s="201"/>
      <c r="H2840" s="203"/>
      <c r="I2840" s="201"/>
      <c r="J2840" s="204"/>
      <c r="K2840" s="201"/>
      <c r="L2840" s="201"/>
    </row>
    <row r="2841">
      <c r="A2841" s="200"/>
      <c r="B2841" s="201"/>
      <c r="C2841" s="201"/>
      <c r="D2841" s="201"/>
      <c r="E2841" s="201"/>
      <c r="F2841" s="201"/>
      <c r="G2841" s="201"/>
      <c r="H2841" s="203"/>
      <c r="I2841" s="201"/>
      <c r="J2841" s="204"/>
      <c r="K2841" s="201"/>
      <c r="L2841" s="201"/>
    </row>
    <row r="2842">
      <c r="A2842" s="200"/>
      <c r="B2842" s="201"/>
      <c r="C2842" s="201"/>
      <c r="D2842" s="201"/>
      <c r="E2842" s="201"/>
      <c r="F2842" s="201"/>
      <c r="G2842" s="201"/>
      <c r="H2842" s="203"/>
      <c r="I2842" s="201"/>
      <c r="J2842" s="204"/>
      <c r="K2842" s="201"/>
      <c r="L2842" s="201"/>
    </row>
    <row r="2843">
      <c r="A2843" s="200"/>
      <c r="B2843" s="201"/>
      <c r="C2843" s="201"/>
      <c r="D2843" s="201"/>
      <c r="E2843" s="201"/>
      <c r="F2843" s="201"/>
      <c r="G2843" s="201"/>
      <c r="H2843" s="203"/>
      <c r="I2843" s="201"/>
      <c r="J2843" s="204"/>
      <c r="K2843" s="201"/>
      <c r="L2843" s="201"/>
    </row>
    <row r="2844">
      <c r="A2844" s="200"/>
      <c r="B2844" s="201"/>
      <c r="C2844" s="201"/>
      <c r="D2844" s="201"/>
      <c r="E2844" s="201"/>
      <c r="F2844" s="201"/>
      <c r="G2844" s="201"/>
      <c r="H2844" s="203"/>
      <c r="I2844" s="201"/>
      <c r="J2844" s="204"/>
      <c r="K2844" s="201"/>
      <c r="L2844" s="201"/>
    </row>
    <row r="2845">
      <c r="A2845" s="200"/>
      <c r="B2845" s="201"/>
      <c r="C2845" s="201"/>
      <c r="D2845" s="201"/>
      <c r="E2845" s="201"/>
      <c r="F2845" s="201"/>
      <c r="G2845" s="201"/>
      <c r="H2845" s="203"/>
      <c r="I2845" s="201"/>
      <c r="J2845" s="204"/>
      <c r="K2845" s="201"/>
      <c r="L2845" s="201"/>
    </row>
    <row r="2846">
      <c r="A2846" s="200"/>
      <c r="B2846" s="201"/>
      <c r="C2846" s="201"/>
      <c r="D2846" s="201"/>
      <c r="E2846" s="201"/>
      <c r="F2846" s="201"/>
      <c r="G2846" s="201"/>
      <c r="H2846" s="203"/>
      <c r="I2846" s="201"/>
      <c r="J2846" s="204"/>
      <c r="K2846" s="201"/>
      <c r="L2846" s="201"/>
    </row>
    <row r="2847">
      <c r="A2847" s="200"/>
      <c r="B2847" s="201"/>
      <c r="C2847" s="201"/>
      <c r="D2847" s="201"/>
      <c r="E2847" s="201"/>
      <c r="F2847" s="201"/>
      <c r="G2847" s="201"/>
      <c r="H2847" s="203"/>
      <c r="I2847" s="201"/>
      <c r="J2847" s="204"/>
      <c r="K2847" s="201"/>
      <c r="L2847" s="201"/>
    </row>
    <row r="2848">
      <c r="A2848" s="200"/>
      <c r="B2848" s="201"/>
      <c r="C2848" s="201"/>
      <c r="D2848" s="201"/>
      <c r="E2848" s="201"/>
      <c r="F2848" s="201"/>
      <c r="G2848" s="201"/>
      <c r="H2848" s="203"/>
      <c r="I2848" s="201"/>
      <c r="J2848" s="204"/>
      <c r="K2848" s="201"/>
      <c r="L2848" s="201"/>
    </row>
    <row r="2849">
      <c r="A2849" s="200"/>
      <c r="B2849" s="201"/>
      <c r="C2849" s="201"/>
      <c r="D2849" s="201"/>
      <c r="E2849" s="201"/>
      <c r="F2849" s="201"/>
      <c r="G2849" s="201"/>
      <c r="H2849" s="203"/>
      <c r="I2849" s="201"/>
      <c r="J2849" s="204"/>
      <c r="K2849" s="201"/>
      <c r="L2849" s="201"/>
    </row>
    <row r="2850">
      <c r="A2850" s="200"/>
      <c r="B2850" s="201"/>
      <c r="C2850" s="201"/>
      <c r="D2850" s="201"/>
      <c r="E2850" s="201"/>
      <c r="F2850" s="201"/>
      <c r="G2850" s="201"/>
      <c r="H2850" s="203"/>
      <c r="I2850" s="201"/>
      <c r="J2850" s="204"/>
      <c r="K2850" s="201"/>
      <c r="L2850" s="201"/>
    </row>
    <row r="2851">
      <c r="A2851" s="200"/>
      <c r="B2851" s="201"/>
      <c r="C2851" s="201"/>
      <c r="D2851" s="201"/>
      <c r="E2851" s="201"/>
      <c r="F2851" s="201"/>
      <c r="G2851" s="201"/>
      <c r="H2851" s="203"/>
      <c r="I2851" s="201"/>
      <c r="J2851" s="204"/>
      <c r="K2851" s="201"/>
      <c r="L2851" s="201"/>
    </row>
    <row r="2852">
      <c r="A2852" s="200"/>
      <c r="B2852" s="201"/>
      <c r="C2852" s="201"/>
      <c r="D2852" s="201"/>
      <c r="E2852" s="201"/>
      <c r="F2852" s="201"/>
      <c r="G2852" s="201"/>
      <c r="H2852" s="203"/>
      <c r="I2852" s="201"/>
      <c r="J2852" s="204"/>
      <c r="K2852" s="201"/>
      <c r="L2852" s="201"/>
    </row>
    <row r="2853">
      <c r="A2853" s="200"/>
      <c r="B2853" s="201"/>
      <c r="C2853" s="201"/>
      <c r="D2853" s="201"/>
      <c r="E2853" s="201"/>
      <c r="F2853" s="201"/>
      <c r="G2853" s="201"/>
      <c r="H2853" s="203"/>
      <c r="I2853" s="201"/>
      <c r="J2853" s="204"/>
      <c r="K2853" s="201"/>
      <c r="L2853" s="201"/>
    </row>
    <row r="2854">
      <c r="A2854" s="200"/>
      <c r="B2854" s="201"/>
      <c r="C2854" s="201"/>
      <c r="D2854" s="201"/>
      <c r="E2854" s="201"/>
      <c r="F2854" s="201"/>
      <c r="G2854" s="201"/>
      <c r="H2854" s="203"/>
      <c r="I2854" s="201"/>
      <c r="J2854" s="204"/>
      <c r="K2854" s="201"/>
      <c r="L2854" s="201"/>
    </row>
    <row r="2855">
      <c r="A2855" s="200"/>
      <c r="B2855" s="201"/>
      <c r="C2855" s="201"/>
      <c r="D2855" s="201"/>
      <c r="E2855" s="201"/>
      <c r="F2855" s="201"/>
      <c r="G2855" s="201"/>
      <c r="H2855" s="203"/>
      <c r="I2855" s="201"/>
      <c r="J2855" s="204"/>
      <c r="K2855" s="201"/>
      <c r="L2855" s="201"/>
    </row>
    <row r="2856">
      <c r="A2856" s="200"/>
      <c r="B2856" s="201"/>
      <c r="C2856" s="201"/>
      <c r="D2856" s="201"/>
      <c r="E2856" s="201"/>
      <c r="F2856" s="201"/>
      <c r="G2856" s="201"/>
      <c r="H2856" s="203"/>
      <c r="I2856" s="201"/>
      <c r="J2856" s="204"/>
      <c r="K2856" s="201"/>
      <c r="L2856" s="201"/>
    </row>
    <row r="2857">
      <c r="A2857" s="200"/>
      <c r="B2857" s="201"/>
      <c r="C2857" s="201"/>
      <c r="D2857" s="201"/>
      <c r="E2857" s="201"/>
      <c r="F2857" s="201"/>
      <c r="G2857" s="201"/>
      <c r="H2857" s="203"/>
      <c r="I2857" s="201"/>
      <c r="J2857" s="204"/>
      <c r="K2857" s="201"/>
      <c r="L2857" s="201"/>
    </row>
    <row r="2858">
      <c r="A2858" s="200"/>
      <c r="B2858" s="201"/>
      <c r="C2858" s="201"/>
      <c r="D2858" s="201"/>
      <c r="E2858" s="201"/>
      <c r="F2858" s="201"/>
      <c r="G2858" s="201"/>
      <c r="H2858" s="203"/>
      <c r="I2858" s="201"/>
      <c r="J2858" s="204"/>
      <c r="K2858" s="201"/>
      <c r="L2858" s="201"/>
    </row>
    <row r="2859">
      <c r="A2859" s="200"/>
      <c r="B2859" s="201"/>
      <c r="C2859" s="201"/>
      <c r="D2859" s="201"/>
      <c r="E2859" s="201"/>
      <c r="F2859" s="201"/>
      <c r="G2859" s="201"/>
      <c r="H2859" s="203"/>
      <c r="I2859" s="201"/>
      <c r="J2859" s="204"/>
      <c r="K2859" s="201"/>
      <c r="L2859" s="201"/>
    </row>
    <row r="2860">
      <c r="A2860" s="200"/>
      <c r="B2860" s="201"/>
      <c r="C2860" s="201"/>
      <c r="D2860" s="201"/>
      <c r="E2860" s="201"/>
      <c r="F2860" s="201"/>
      <c r="G2860" s="201"/>
      <c r="H2860" s="203"/>
      <c r="I2860" s="201"/>
      <c r="J2860" s="204"/>
      <c r="K2860" s="201"/>
      <c r="L2860" s="201"/>
    </row>
    <row r="2861">
      <c r="A2861" s="200"/>
      <c r="B2861" s="201"/>
      <c r="C2861" s="201"/>
      <c r="D2861" s="201"/>
      <c r="E2861" s="201"/>
      <c r="F2861" s="201"/>
      <c r="G2861" s="201"/>
      <c r="H2861" s="203"/>
      <c r="I2861" s="201"/>
      <c r="J2861" s="204"/>
      <c r="K2861" s="201"/>
      <c r="L2861" s="201"/>
    </row>
    <row r="2862">
      <c r="A2862" s="200"/>
      <c r="B2862" s="201"/>
      <c r="C2862" s="201"/>
      <c r="D2862" s="201"/>
      <c r="E2862" s="201"/>
      <c r="F2862" s="201"/>
      <c r="G2862" s="201"/>
      <c r="H2862" s="203"/>
      <c r="I2862" s="201"/>
      <c r="J2862" s="204"/>
      <c r="K2862" s="201"/>
      <c r="L2862" s="201"/>
    </row>
    <row r="2863">
      <c r="A2863" s="200"/>
      <c r="B2863" s="201"/>
      <c r="C2863" s="201"/>
      <c r="D2863" s="201"/>
      <c r="E2863" s="201"/>
      <c r="F2863" s="201"/>
      <c r="G2863" s="201"/>
      <c r="H2863" s="203"/>
      <c r="I2863" s="201"/>
      <c r="J2863" s="204"/>
      <c r="K2863" s="201"/>
      <c r="L2863" s="201"/>
    </row>
    <row r="2864">
      <c r="A2864" s="200"/>
      <c r="B2864" s="201"/>
      <c r="C2864" s="201"/>
      <c r="D2864" s="201"/>
      <c r="E2864" s="201"/>
      <c r="F2864" s="201"/>
      <c r="G2864" s="201"/>
      <c r="H2864" s="203"/>
      <c r="I2864" s="201"/>
      <c r="J2864" s="204"/>
      <c r="K2864" s="201"/>
      <c r="L2864" s="201"/>
    </row>
    <row r="2865">
      <c r="A2865" s="200"/>
      <c r="B2865" s="201"/>
      <c r="C2865" s="201"/>
      <c r="D2865" s="201"/>
      <c r="E2865" s="201"/>
      <c r="F2865" s="201"/>
      <c r="G2865" s="201"/>
      <c r="H2865" s="203"/>
      <c r="I2865" s="201"/>
      <c r="J2865" s="204"/>
      <c r="K2865" s="201"/>
      <c r="L2865" s="201"/>
    </row>
    <row r="2866">
      <c r="A2866" s="200"/>
      <c r="B2866" s="201"/>
      <c r="C2866" s="201"/>
      <c r="D2866" s="201"/>
      <c r="E2866" s="201"/>
      <c r="F2866" s="201"/>
      <c r="G2866" s="201"/>
      <c r="H2866" s="203"/>
      <c r="I2866" s="201"/>
      <c r="J2866" s="204"/>
      <c r="K2866" s="201"/>
      <c r="L2866" s="201"/>
    </row>
    <row r="2867">
      <c r="A2867" s="200"/>
      <c r="B2867" s="201"/>
      <c r="C2867" s="201"/>
      <c r="D2867" s="201"/>
      <c r="E2867" s="201"/>
      <c r="F2867" s="201"/>
      <c r="G2867" s="201"/>
      <c r="H2867" s="203"/>
      <c r="I2867" s="201"/>
      <c r="J2867" s="204"/>
      <c r="K2867" s="201"/>
      <c r="L2867" s="201"/>
    </row>
    <row r="2868">
      <c r="A2868" s="200"/>
      <c r="B2868" s="201"/>
      <c r="C2868" s="201"/>
      <c r="D2868" s="201"/>
      <c r="E2868" s="201"/>
      <c r="F2868" s="201"/>
      <c r="G2868" s="201"/>
      <c r="H2868" s="203"/>
      <c r="I2868" s="201"/>
      <c r="J2868" s="204"/>
      <c r="K2868" s="201"/>
      <c r="L2868" s="201"/>
    </row>
    <row r="2869">
      <c r="A2869" s="200"/>
      <c r="B2869" s="201"/>
      <c r="C2869" s="201"/>
      <c r="D2869" s="201"/>
      <c r="E2869" s="201"/>
      <c r="F2869" s="201"/>
      <c r="G2869" s="201"/>
      <c r="H2869" s="203"/>
      <c r="I2869" s="201"/>
      <c r="J2869" s="204"/>
      <c r="K2869" s="201"/>
      <c r="L2869" s="201"/>
    </row>
    <row r="2870">
      <c r="A2870" s="200"/>
      <c r="B2870" s="201"/>
      <c r="C2870" s="201"/>
      <c r="D2870" s="201"/>
      <c r="E2870" s="201"/>
      <c r="F2870" s="201"/>
      <c r="G2870" s="201"/>
      <c r="H2870" s="203"/>
      <c r="I2870" s="201"/>
      <c r="J2870" s="204"/>
      <c r="K2870" s="201"/>
      <c r="L2870" s="201"/>
    </row>
    <row r="2871">
      <c r="A2871" s="200"/>
      <c r="B2871" s="201"/>
      <c r="C2871" s="201"/>
      <c r="D2871" s="201"/>
      <c r="E2871" s="201"/>
      <c r="F2871" s="201"/>
      <c r="G2871" s="201"/>
      <c r="H2871" s="203"/>
      <c r="I2871" s="201"/>
      <c r="J2871" s="204"/>
      <c r="K2871" s="201"/>
      <c r="L2871" s="201"/>
    </row>
    <row r="2872">
      <c r="A2872" s="200"/>
      <c r="B2872" s="201"/>
      <c r="C2872" s="201"/>
      <c r="D2872" s="201"/>
      <c r="E2872" s="201"/>
      <c r="F2872" s="201"/>
      <c r="G2872" s="201"/>
      <c r="H2872" s="203"/>
      <c r="I2872" s="201"/>
      <c r="J2872" s="204"/>
      <c r="K2872" s="201"/>
      <c r="L2872" s="201"/>
    </row>
    <row r="2873">
      <c r="A2873" s="200"/>
      <c r="B2873" s="201"/>
      <c r="C2873" s="201"/>
      <c r="D2873" s="201"/>
      <c r="E2873" s="201"/>
      <c r="F2873" s="201"/>
      <c r="G2873" s="201"/>
      <c r="H2873" s="203"/>
      <c r="I2873" s="201"/>
      <c r="J2873" s="204"/>
      <c r="K2873" s="201"/>
      <c r="L2873" s="201"/>
    </row>
    <row r="2874">
      <c r="A2874" s="200"/>
      <c r="B2874" s="201"/>
      <c r="C2874" s="201"/>
      <c r="D2874" s="201"/>
      <c r="E2874" s="201"/>
      <c r="F2874" s="201"/>
      <c r="G2874" s="201"/>
      <c r="H2874" s="203"/>
      <c r="I2874" s="201"/>
      <c r="J2874" s="204"/>
      <c r="K2874" s="201"/>
      <c r="L2874" s="201"/>
    </row>
    <row r="2875">
      <c r="A2875" s="200"/>
      <c r="B2875" s="201"/>
      <c r="C2875" s="201"/>
      <c r="D2875" s="201"/>
      <c r="E2875" s="201"/>
      <c r="F2875" s="201"/>
      <c r="G2875" s="201"/>
      <c r="H2875" s="203"/>
      <c r="I2875" s="201"/>
      <c r="J2875" s="204"/>
      <c r="K2875" s="201"/>
      <c r="L2875" s="201"/>
    </row>
    <row r="2876">
      <c r="A2876" s="200"/>
      <c r="B2876" s="201"/>
      <c r="C2876" s="201"/>
      <c r="D2876" s="201"/>
      <c r="E2876" s="201"/>
      <c r="F2876" s="201"/>
      <c r="G2876" s="201"/>
      <c r="H2876" s="203"/>
      <c r="I2876" s="201"/>
      <c r="J2876" s="204"/>
      <c r="K2876" s="201"/>
      <c r="L2876" s="201"/>
    </row>
    <row r="2877">
      <c r="A2877" s="200"/>
      <c r="B2877" s="201"/>
      <c r="C2877" s="201"/>
      <c r="D2877" s="201"/>
      <c r="E2877" s="201"/>
      <c r="F2877" s="201"/>
      <c r="G2877" s="201"/>
      <c r="H2877" s="203"/>
      <c r="I2877" s="201"/>
      <c r="J2877" s="204"/>
      <c r="K2877" s="201"/>
      <c r="L2877" s="201"/>
    </row>
    <row r="2878">
      <c r="A2878" s="200"/>
      <c r="B2878" s="201"/>
      <c r="C2878" s="201"/>
      <c r="D2878" s="201"/>
      <c r="E2878" s="201"/>
      <c r="F2878" s="201"/>
      <c r="G2878" s="201"/>
      <c r="H2878" s="203"/>
      <c r="I2878" s="201"/>
      <c r="J2878" s="204"/>
      <c r="K2878" s="201"/>
      <c r="L2878" s="201"/>
    </row>
    <row r="2879">
      <c r="A2879" s="200"/>
      <c r="B2879" s="201"/>
      <c r="C2879" s="201"/>
      <c r="D2879" s="201"/>
      <c r="E2879" s="201"/>
      <c r="F2879" s="201"/>
      <c r="G2879" s="201"/>
      <c r="H2879" s="203"/>
      <c r="I2879" s="201"/>
      <c r="J2879" s="204"/>
      <c r="K2879" s="201"/>
      <c r="L2879" s="201"/>
    </row>
    <row r="2880">
      <c r="A2880" s="200"/>
      <c r="B2880" s="201"/>
      <c r="C2880" s="201"/>
      <c r="D2880" s="201"/>
      <c r="E2880" s="201"/>
      <c r="F2880" s="201"/>
      <c r="G2880" s="201"/>
      <c r="H2880" s="203"/>
      <c r="I2880" s="201"/>
      <c r="J2880" s="204"/>
      <c r="K2880" s="201"/>
      <c r="L2880" s="201"/>
    </row>
    <row r="2881">
      <c r="A2881" s="200"/>
      <c r="B2881" s="201"/>
      <c r="C2881" s="201"/>
      <c r="D2881" s="201"/>
      <c r="E2881" s="201"/>
      <c r="F2881" s="201"/>
      <c r="G2881" s="201"/>
      <c r="H2881" s="203"/>
      <c r="I2881" s="201"/>
      <c r="J2881" s="204"/>
      <c r="K2881" s="201"/>
      <c r="L2881" s="201"/>
    </row>
    <row r="2882">
      <c r="A2882" s="200"/>
      <c r="B2882" s="201"/>
      <c r="C2882" s="201"/>
      <c r="D2882" s="201"/>
      <c r="E2882" s="201"/>
      <c r="F2882" s="201"/>
      <c r="G2882" s="201"/>
      <c r="H2882" s="203"/>
      <c r="I2882" s="201"/>
      <c r="J2882" s="204"/>
      <c r="K2882" s="201"/>
      <c r="L2882" s="201"/>
    </row>
    <row r="2883">
      <c r="A2883" s="200"/>
      <c r="B2883" s="201"/>
      <c r="C2883" s="201"/>
      <c r="D2883" s="201"/>
      <c r="E2883" s="201"/>
      <c r="F2883" s="201"/>
      <c r="G2883" s="201"/>
      <c r="H2883" s="203"/>
      <c r="I2883" s="201"/>
      <c r="J2883" s="204"/>
      <c r="K2883" s="201"/>
      <c r="L2883" s="201"/>
    </row>
    <row r="2884">
      <c r="A2884" s="200"/>
      <c r="B2884" s="201"/>
      <c r="C2884" s="201"/>
      <c r="D2884" s="201"/>
      <c r="E2884" s="201"/>
      <c r="F2884" s="201"/>
      <c r="G2884" s="201"/>
      <c r="H2884" s="203"/>
      <c r="I2884" s="201"/>
      <c r="J2884" s="204"/>
      <c r="K2884" s="201"/>
      <c r="L2884" s="201"/>
    </row>
    <row r="2885">
      <c r="A2885" s="200"/>
      <c r="B2885" s="201"/>
      <c r="C2885" s="201"/>
      <c r="D2885" s="201"/>
      <c r="E2885" s="201"/>
      <c r="F2885" s="201"/>
      <c r="G2885" s="201"/>
      <c r="H2885" s="203"/>
      <c r="I2885" s="201"/>
      <c r="J2885" s="204"/>
      <c r="K2885" s="201"/>
      <c r="L2885" s="201"/>
    </row>
    <row r="2886">
      <c r="A2886" s="200"/>
      <c r="B2886" s="201"/>
      <c r="C2886" s="201"/>
      <c r="D2886" s="201"/>
      <c r="E2886" s="201"/>
      <c r="F2886" s="201"/>
      <c r="G2886" s="201"/>
      <c r="H2886" s="203"/>
      <c r="I2886" s="201"/>
      <c r="J2886" s="204"/>
      <c r="K2886" s="201"/>
      <c r="L2886" s="201"/>
    </row>
    <row r="2887">
      <c r="A2887" s="200"/>
      <c r="B2887" s="201"/>
      <c r="C2887" s="201"/>
      <c r="D2887" s="201"/>
      <c r="E2887" s="201"/>
      <c r="F2887" s="201"/>
      <c r="G2887" s="201"/>
      <c r="H2887" s="203"/>
      <c r="I2887" s="201"/>
      <c r="J2887" s="204"/>
      <c r="K2887" s="201"/>
      <c r="L2887" s="201"/>
    </row>
    <row r="2888">
      <c r="A2888" s="200"/>
      <c r="B2888" s="201"/>
      <c r="C2888" s="201"/>
      <c r="D2888" s="201"/>
      <c r="E2888" s="201"/>
      <c r="F2888" s="201"/>
      <c r="G2888" s="201"/>
      <c r="H2888" s="203"/>
      <c r="I2888" s="201"/>
      <c r="J2888" s="204"/>
      <c r="K2888" s="201"/>
      <c r="L2888" s="201"/>
    </row>
    <row r="2889">
      <c r="A2889" s="200"/>
      <c r="B2889" s="201"/>
      <c r="C2889" s="201"/>
      <c r="D2889" s="201"/>
      <c r="E2889" s="201"/>
      <c r="F2889" s="201"/>
      <c r="G2889" s="201"/>
      <c r="H2889" s="203"/>
      <c r="I2889" s="201"/>
      <c r="J2889" s="204"/>
      <c r="K2889" s="201"/>
      <c r="L2889" s="201"/>
    </row>
    <row r="2890">
      <c r="A2890" s="200"/>
      <c r="B2890" s="201"/>
      <c r="C2890" s="201"/>
      <c r="D2890" s="201"/>
      <c r="E2890" s="201"/>
      <c r="F2890" s="201"/>
      <c r="G2890" s="201"/>
      <c r="H2890" s="203"/>
      <c r="I2890" s="201"/>
      <c r="J2890" s="204"/>
      <c r="K2890" s="201"/>
      <c r="L2890" s="201"/>
    </row>
    <row r="2891">
      <c r="A2891" s="200"/>
      <c r="B2891" s="201"/>
      <c r="C2891" s="201"/>
      <c r="D2891" s="201"/>
      <c r="E2891" s="201"/>
      <c r="F2891" s="201"/>
      <c r="G2891" s="201"/>
      <c r="H2891" s="203"/>
      <c r="I2891" s="201"/>
      <c r="J2891" s="204"/>
      <c r="K2891" s="201"/>
      <c r="L2891" s="201"/>
    </row>
    <row r="2892">
      <c r="A2892" s="200"/>
      <c r="B2892" s="201"/>
      <c r="C2892" s="201"/>
      <c r="D2892" s="201"/>
      <c r="E2892" s="201"/>
      <c r="F2892" s="201"/>
      <c r="G2892" s="201"/>
      <c r="H2892" s="203"/>
      <c r="I2892" s="201"/>
      <c r="J2892" s="204"/>
      <c r="K2892" s="201"/>
      <c r="L2892" s="201"/>
    </row>
    <row r="2893">
      <c r="A2893" s="200"/>
      <c r="B2893" s="201"/>
      <c r="C2893" s="201"/>
      <c r="D2893" s="201"/>
      <c r="E2893" s="201"/>
      <c r="F2893" s="201"/>
      <c r="G2893" s="201"/>
      <c r="H2893" s="203"/>
      <c r="I2893" s="201"/>
      <c r="J2893" s="204"/>
      <c r="K2893" s="201"/>
      <c r="L2893" s="201"/>
    </row>
    <row r="2894">
      <c r="A2894" s="200"/>
      <c r="B2894" s="201"/>
      <c r="C2894" s="201"/>
      <c r="D2894" s="201"/>
      <c r="E2894" s="201"/>
      <c r="F2894" s="201"/>
      <c r="G2894" s="201"/>
      <c r="H2894" s="203"/>
      <c r="I2894" s="201"/>
      <c r="J2894" s="204"/>
      <c r="K2894" s="201"/>
      <c r="L2894" s="201"/>
    </row>
    <row r="2895">
      <c r="A2895" s="200"/>
      <c r="B2895" s="201"/>
      <c r="C2895" s="201"/>
      <c r="D2895" s="201"/>
      <c r="E2895" s="201"/>
      <c r="F2895" s="201"/>
      <c r="G2895" s="201"/>
      <c r="H2895" s="203"/>
      <c r="I2895" s="201"/>
      <c r="J2895" s="204"/>
      <c r="K2895" s="201"/>
      <c r="L2895" s="201"/>
    </row>
    <row r="2896">
      <c r="A2896" s="200"/>
      <c r="B2896" s="201"/>
      <c r="C2896" s="201"/>
      <c r="D2896" s="201"/>
      <c r="E2896" s="201"/>
      <c r="F2896" s="201"/>
      <c r="G2896" s="201"/>
      <c r="H2896" s="203"/>
      <c r="I2896" s="201"/>
      <c r="J2896" s="204"/>
      <c r="K2896" s="201"/>
      <c r="L2896" s="201"/>
    </row>
    <row r="2897">
      <c r="A2897" s="200"/>
      <c r="B2897" s="201"/>
      <c r="C2897" s="201"/>
      <c r="D2897" s="201"/>
      <c r="E2897" s="201"/>
      <c r="F2897" s="201"/>
      <c r="G2897" s="201"/>
      <c r="H2897" s="203"/>
      <c r="I2897" s="201"/>
      <c r="J2897" s="204"/>
      <c r="K2897" s="201"/>
      <c r="L2897" s="201"/>
    </row>
    <row r="2898">
      <c r="A2898" s="200"/>
      <c r="B2898" s="201"/>
      <c r="C2898" s="201"/>
      <c r="D2898" s="201"/>
      <c r="E2898" s="201"/>
      <c r="F2898" s="201"/>
      <c r="G2898" s="201"/>
      <c r="H2898" s="203"/>
      <c r="I2898" s="201"/>
      <c r="J2898" s="204"/>
      <c r="K2898" s="201"/>
      <c r="L2898" s="201"/>
    </row>
    <row r="2899">
      <c r="A2899" s="200"/>
      <c r="B2899" s="201"/>
      <c r="C2899" s="201"/>
      <c r="D2899" s="201"/>
      <c r="E2899" s="201"/>
      <c r="F2899" s="201"/>
      <c r="G2899" s="201"/>
      <c r="H2899" s="203"/>
      <c r="I2899" s="201"/>
      <c r="J2899" s="204"/>
      <c r="K2899" s="201"/>
      <c r="L2899" s="201"/>
    </row>
    <row r="2900">
      <c r="A2900" s="200"/>
      <c r="B2900" s="201"/>
      <c r="C2900" s="201"/>
      <c r="D2900" s="201"/>
      <c r="E2900" s="201"/>
      <c r="F2900" s="201"/>
      <c r="G2900" s="201"/>
      <c r="H2900" s="203"/>
      <c r="I2900" s="201"/>
      <c r="J2900" s="204"/>
      <c r="K2900" s="201"/>
      <c r="L2900" s="201"/>
    </row>
    <row r="2901">
      <c r="A2901" s="200"/>
      <c r="B2901" s="201"/>
      <c r="C2901" s="201"/>
      <c r="D2901" s="201"/>
      <c r="E2901" s="201"/>
      <c r="F2901" s="201"/>
      <c r="G2901" s="201"/>
      <c r="H2901" s="203"/>
      <c r="I2901" s="201"/>
      <c r="J2901" s="204"/>
      <c r="K2901" s="201"/>
      <c r="L2901" s="201"/>
    </row>
    <row r="2902">
      <c r="A2902" s="200"/>
      <c r="B2902" s="201"/>
      <c r="C2902" s="201"/>
      <c r="D2902" s="201"/>
      <c r="E2902" s="201"/>
      <c r="F2902" s="201"/>
      <c r="G2902" s="201"/>
      <c r="H2902" s="203"/>
      <c r="I2902" s="201"/>
      <c r="J2902" s="204"/>
      <c r="K2902" s="201"/>
      <c r="L2902" s="201"/>
    </row>
    <row r="2903">
      <c r="A2903" s="200"/>
      <c r="B2903" s="201"/>
      <c r="C2903" s="201"/>
      <c r="D2903" s="201"/>
      <c r="E2903" s="201"/>
      <c r="F2903" s="201"/>
      <c r="G2903" s="201"/>
      <c r="H2903" s="203"/>
      <c r="I2903" s="201"/>
      <c r="J2903" s="204"/>
      <c r="K2903" s="201"/>
      <c r="L2903" s="201"/>
    </row>
    <row r="2904">
      <c r="A2904" s="200"/>
      <c r="B2904" s="201"/>
      <c r="C2904" s="201"/>
      <c r="D2904" s="201"/>
      <c r="E2904" s="201"/>
      <c r="F2904" s="201"/>
      <c r="G2904" s="201"/>
      <c r="H2904" s="203"/>
      <c r="I2904" s="201"/>
      <c r="J2904" s="204"/>
      <c r="K2904" s="201"/>
      <c r="L2904" s="201"/>
    </row>
    <row r="2905">
      <c r="A2905" s="200"/>
      <c r="B2905" s="201"/>
      <c r="C2905" s="201"/>
      <c r="D2905" s="201"/>
      <c r="E2905" s="201"/>
      <c r="F2905" s="201"/>
      <c r="G2905" s="201"/>
      <c r="H2905" s="203"/>
      <c r="I2905" s="201"/>
      <c r="J2905" s="204"/>
      <c r="K2905" s="201"/>
      <c r="L2905" s="201"/>
    </row>
    <row r="2906">
      <c r="A2906" s="200"/>
      <c r="B2906" s="201"/>
      <c r="C2906" s="201"/>
      <c r="D2906" s="201"/>
      <c r="E2906" s="201"/>
      <c r="F2906" s="201"/>
      <c r="G2906" s="201"/>
      <c r="H2906" s="203"/>
      <c r="I2906" s="201"/>
      <c r="J2906" s="204"/>
      <c r="K2906" s="201"/>
      <c r="L2906" s="201"/>
    </row>
    <row r="2907">
      <c r="A2907" s="200"/>
      <c r="B2907" s="201"/>
      <c r="C2907" s="201"/>
      <c r="D2907" s="201"/>
      <c r="E2907" s="201"/>
      <c r="F2907" s="201"/>
      <c r="G2907" s="201"/>
      <c r="H2907" s="203"/>
      <c r="I2907" s="201"/>
      <c r="J2907" s="204"/>
      <c r="K2907" s="201"/>
      <c r="L2907" s="201"/>
    </row>
    <row r="2908">
      <c r="A2908" s="200"/>
      <c r="B2908" s="201"/>
      <c r="C2908" s="201"/>
      <c r="D2908" s="201"/>
      <c r="E2908" s="201"/>
      <c r="F2908" s="201"/>
      <c r="G2908" s="201"/>
      <c r="H2908" s="203"/>
      <c r="I2908" s="201"/>
      <c r="J2908" s="204"/>
      <c r="K2908" s="201"/>
      <c r="L2908" s="201"/>
    </row>
    <row r="2909">
      <c r="A2909" s="200"/>
      <c r="B2909" s="201"/>
      <c r="C2909" s="201"/>
      <c r="D2909" s="201"/>
      <c r="E2909" s="201"/>
      <c r="F2909" s="201"/>
      <c r="G2909" s="201"/>
      <c r="H2909" s="203"/>
      <c r="I2909" s="201"/>
      <c r="J2909" s="204"/>
      <c r="K2909" s="201"/>
      <c r="L2909" s="201"/>
    </row>
    <row r="2910">
      <c r="A2910" s="200"/>
      <c r="B2910" s="201"/>
      <c r="C2910" s="201"/>
      <c r="D2910" s="201"/>
      <c r="E2910" s="201"/>
      <c r="F2910" s="201"/>
      <c r="G2910" s="201"/>
      <c r="H2910" s="203"/>
      <c r="I2910" s="201"/>
      <c r="J2910" s="204"/>
      <c r="K2910" s="201"/>
      <c r="L2910" s="201"/>
    </row>
    <row r="2911">
      <c r="A2911" s="200"/>
      <c r="B2911" s="201"/>
      <c r="C2911" s="201"/>
      <c r="D2911" s="201"/>
      <c r="E2911" s="201"/>
      <c r="F2911" s="201"/>
      <c r="G2911" s="201"/>
      <c r="H2911" s="203"/>
      <c r="I2911" s="201"/>
      <c r="J2911" s="204"/>
      <c r="K2911" s="201"/>
      <c r="L2911" s="201"/>
    </row>
    <row r="2912">
      <c r="A2912" s="200"/>
      <c r="B2912" s="201"/>
      <c r="C2912" s="201"/>
      <c r="D2912" s="201"/>
      <c r="E2912" s="201"/>
      <c r="F2912" s="201"/>
      <c r="G2912" s="201"/>
      <c r="H2912" s="203"/>
      <c r="I2912" s="201"/>
      <c r="J2912" s="204"/>
      <c r="K2912" s="201"/>
      <c r="L2912" s="201"/>
    </row>
    <row r="2913">
      <c r="A2913" s="200"/>
      <c r="B2913" s="201"/>
      <c r="C2913" s="201"/>
      <c r="D2913" s="201"/>
      <c r="E2913" s="201"/>
      <c r="F2913" s="201"/>
      <c r="G2913" s="201"/>
      <c r="H2913" s="203"/>
      <c r="I2913" s="201"/>
      <c r="J2913" s="204"/>
      <c r="K2913" s="201"/>
      <c r="L2913" s="201"/>
    </row>
    <row r="2914">
      <c r="A2914" s="200"/>
      <c r="B2914" s="201"/>
      <c r="C2914" s="201"/>
      <c r="D2914" s="201"/>
      <c r="E2914" s="201"/>
      <c r="F2914" s="201"/>
      <c r="G2914" s="201"/>
      <c r="H2914" s="203"/>
      <c r="I2914" s="201"/>
      <c r="J2914" s="204"/>
      <c r="K2914" s="201"/>
      <c r="L2914" s="201"/>
    </row>
    <row r="2915">
      <c r="A2915" s="200"/>
      <c r="B2915" s="201"/>
      <c r="C2915" s="201"/>
      <c r="D2915" s="201"/>
      <c r="E2915" s="201"/>
      <c r="F2915" s="201"/>
      <c r="G2915" s="201"/>
      <c r="H2915" s="203"/>
      <c r="I2915" s="201"/>
      <c r="J2915" s="204"/>
      <c r="K2915" s="201"/>
      <c r="L2915" s="201"/>
    </row>
    <row r="2916">
      <c r="A2916" s="200"/>
      <c r="B2916" s="201"/>
      <c r="C2916" s="201"/>
      <c r="D2916" s="201"/>
      <c r="E2916" s="201"/>
      <c r="F2916" s="201"/>
      <c r="G2916" s="201"/>
      <c r="H2916" s="203"/>
      <c r="I2916" s="201"/>
      <c r="J2916" s="204"/>
      <c r="K2916" s="201"/>
      <c r="L2916" s="201"/>
    </row>
    <row r="2917">
      <c r="A2917" s="200"/>
      <c r="B2917" s="201"/>
      <c r="C2917" s="201"/>
      <c r="D2917" s="201"/>
      <c r="E2917" s="201"/>
      <c r="F2917" s="201"/>
      <c r="G2917" s="201"/>
      <c r="H2917" s="203"/>
      <c r="I2917" s="201"/>
      <c r="J2917" s="204"/>
      <c r="K2917" s="201"/>
      <c r="L2917" s="201"/>
    </row>
    <row r="2918">
      <c r="A2918" s="200"/>
      <c r="B2918" s="201"/>
      <c r="C2918" s="201"/>
      <c r="D2918" s="201"/>
      <c r="E2918" s="201"/>
      <c r="F2918" s="201"/>
      <c r="G2918" s="201"/>
      <c r="H2918" s="203"/>
      <c r="I2918" s="201"/>
      <c r="J2918" s="204"/>
      <c r="K2918" s="201"/>
      <c r="L2918" s="201"/>
    </row>
    <row r="2919">
      <c r="A2919" s="200"/>
      <c r="B2919" s="201"/>
      <c r="C2919" s="201"/>
      <c r="D2919" s="201"/>
      <c r="E2919" s="201"/>
      <c r="F2919" s="201"/>
      <c r="G2919" s="201"/>
      <c r="H2919" s="203"/>
      <c r="I2919" s="201"/>
      <c r="J2919" s="204"/>
      <c r="K2919" s="201"/>
      <c r="L2919" s="201"/>
    </row>
    <row r="2920">
      <c r="A2920" s="200"/>
      <c r="B2920" s="201"/>
      <c r="C2920" s="201"/>
      <c r="D2920" s="201"/>
      <c r="E2920" s="201"/>
      <c r="F2920" s="201"/>
      <c r="G2920" s="201"/>
      <c r="H2920" s="203"/>
      <c r="I2920" s="201"/>
      <c r="J2920" s="204"/>
      <c r="K2920" s="201"/>
      <c r="L2920" s="201"/>
    </row>
    <row r="2921">
      <c r="A2921" s="200"/>
      <c r="B2921" s="201"/>
      <c r="C2921" s="201"/>
      <c r="D2921" s="201"/>
      <c r="E2921" s="201"/>
      <c r="F2921" s="201"/>
      <c r="G2921" s="201"/>
      <c r="H2921" s="203"/>
      <c r="I2921" s="201"/>
      <c r="J2921" s="204"/>
      <c r="K2921" s="201"/>
      <c r="L2921" s="201"/>
    </row>
    <row r="2922">
      <c r="A2922" s="200"/>
      <c r="B2922" s="201"/>
      <c r="C2922" s="201"/>
      <c r="D2922" s="201"/>
      <c r="E2922" s="201"/>
      <c r="F2922" s="201"/>
      <c r="G2922" s="201"/>
      <c r="H2922" s="203"/>
      <c r="I2922" s="201"/>
      <c r="J2922" s="204"/>
      <c r="K2922" s="201"/>
      <c r="L2922" s="201"/>
    </row>
    <row r="2923">
      <c r="A2923" s="200"/>
      <c r="B2923" s="201"/>
      <c r="C2923" s="201"/>
      <c r="D2923" s="201"/>
      <c r="E2923" s="201"/>
      <c r="F2923" s="201"/>
      <c r="G2923" s="201"/>
      <c r="H2923" s="203"/>
      <c r="I2923" s="201"/>
      <c r="J2923" s="204"/>
      <c r="K2923" s="201"/>
      <c r="L2923" s="201"/>
    </row>
    <row r="2924">
      <c r="A2924" s="200"/>
      <c r="B2924" s="201"/>
      <c r="C2924" s="201"/>
      <c r="D2924" s="201"/>
      <c r="E2924" s="201"/>
      <c r="F2924" s="201"/>
      <c r="G2924" s="201"/>
      <c r="H2924" s="203"/>
      <c r="I2924" s="201"/>
      <c r="J2924" s="204"/>
      <c r="K2924" s="201"/>
      <c r="L2924" s="201"/>
    </row>
    <row r="2925">
      <c r="A2925" s="200"/>
      <c r="B2925" s="201"/>
      <c r="C2925" s="201"/>
      <c r="D2925" s="201"/>
      <c r="E2925" s="201"/>
      <c r="F2925" s="201"/>
      <c r="G2925" s="201"/>
      <c r="H2925" s="203"/>
      <c r="I2925" s="201"/>
      <c r="J2925" s="204"/>
      <c r="K2925" s="201"/>
      <c r="L2925" s="201"/>
    </row>
    <row r="2926">
      <c r="A2926" s="200"/>
      <c r="B2926" s="201"/>
      <c r="C2926" s="201"/>
      <c r="D2926" s="201"/>
      <c r="E2926" s="201"/>
      <c r="F2926" s="201"/>
      <c r="G2926" s="201"/>
      <c r="H2926" s="203"/>
      <c r="I2926" s="201"/>
      <c r="J2926" s="204"/>
      <c r="K2926" s="201"/>
      <c r="L2926" s="201"/>
    </row>
    <row r="2927">
      <c r="A2927" s="200"/>
      <c r="B2927" s="201"/>
      <c r="C2927" s="201"/>
      <c r="D2927" s="201"/>
      <c r="E2927" s="201"/>
      <c r="F2927" s="201"/>
      <c r="G2927" s="201"/>
      <c r="H2927" s="203"/>
      <c r="I2927" s="201"/>
      <c r="J2927" s="204"/>
      <c r="K2927" s="201"/>
      <c r="L2927" s="201"/>
    </row>
    <row r="2928">
      <c r="A2928" s="200"/>
      <c r="B2928" s="201"/>
      <c r="C2928" s="201"/>
      <c r="D2928" s="201"/>
      <c r="E2928" s="201"/>
      <c r="F2928" s="201"/>
      <c r="G2928" s="201"/>
      <c r="H2928" s="203"/>
      <c r="I2928" s="201"/>
      <c r="J2928" s="204"/>
      <c r="K2928" s="201"/>
      <c r="L2928" s="201"/>
    </row>
    <row r="2929">
      <c r="A2929" s="200"/>
      <c r="B2929" s="201"/>
      <c r="C2929" s="201"/>
      <c r="D2929" s="201"/>
      <c r="E2929" s="201"/>
      <c r="F2929" s="201"/>
      <c r="G2929" s="201"/>
      <c r="H2929" s="203"/>
      <c r="I2929" s="201"/>
      <c r="J2929" s="204"/>
      <c r="K2929" s="201"/>
      <c r="L2929" s="201"/>
    </row>
    <row r="2930">
      <c r="A2930" s="200"/>
      <c r="B2930" s="201"/>
      <c r="C2930" s="201"/>
      <c r="D2930" s="201"/>
      <c r="E2930" s="201"/>
      <c r="F2930" s="201"/>
      <c r="G2930" s="201"/>
      <c r="H2930" s="203"/>
      <c r="I2930" s="201"/>
      <c r="J2930" s="204"/>
      <c r="K2930" s="201"/>
      <c r="L2930" s="201"/>
    </row>
    <row r="2931">
      <c r="A2931" s="200"/>
      <c r="B2931" s="201"/>
      <c r="C2931" s="201"/>
      <c r="D2931" s="201"/>
      <c r="E2931" s="201"/>
      <c r="F2931" s="201"/>
      <c r="G2931" s="201"/>
      <c r="H2931" s="203"/>
      <c r="I2931" s="201"/>
      <c r="J2931" s="204"/>
      <c r="K2931" s="201"/>
      <c r="L2931" s="201"/>
    </row>
    <row r="2932">
      <c r="A2932" s="200"/>
      <c r="B2932" s="201"/>
      <c r="C2932" s="201"/>
      <c r="D2932" s="201"/>
      <c r="E2932" s="201"/>
      <c r="F2932" s="201"/>
      <c r="G2932" s="201"/>
      <c r="H2932" s="203"/>
      <c r="I2932" s="201"/>
      <c r="J2932" s="204"/>
      <c r="K2932" s="201"/>
      <c r="L2932" s="201"/>
    </row>
    <row r="2933">
      <c r="A2933" s="200"/>
      <c r="B2933" s="201"/>
      <c r="C2933" s="201"/>
      <c r="D2933" s="201"/>
      <c r="E2933" s="201"/>
      <c r="F2933" s="201"/>
      <c r="G2933" s="201"/>
      <c r="H2933" s="203"/>
      <c r="I2933" s="201"/>
      <c r="J2933" s="204"/>
      <c r="K2933" s="201"/>
      <c r="L2933" s="201"/>
    </row>
    <row r="2934">
      <c r="A2934" s="200"/>
      <c r="B2934" s="201"/>
      <c r="C2934" s="201"/>
      <c r="D2934" s="201"/>
      <c r="E2934" s="201"/>
      <c r="F2934" s="201"/>
      <c r="G2934" s="201"/>
      <c r="H2934" s="203"/>
      <c r="I2934" s="201"/>
      <c r="J2934" s="204"/>
      <c r="K2934" s="201"/>
      <c r="L2934" s="201"/>
    </row>
    <row r="2935">
      <c r="A2935" s="200"/>
      <c r="B2935" s="201"/>
      <c r="C2935" s="201"/>
      <c r="D2935" s="201"/>
      <c r="E2935" s="201"/>
      <c r="F2935" s="201"/>
      <c r="G2935" s="201"/>
      <c r="H2935" s="203"/>
      <c r="I2935" s="201"/>
      <c r="J2935" s="204"/>
      <c r="K2935" s="201"/>
      <c r="L2935" s="201"/>
    </row>
    <row r="2936">
      <c r="A2936" s="200"/>
      <c r="B2936" s="201"/>
      <c r="C2936" s="201"/>
      <c r="D2936" s="201"/>
      <c r="E2936" s="201"/>
      <c r="F2936" s="201"/>
      <c r="G2936" s="201"/>
      <c r="H2936" s="203"/>
      <c r="I2936" s="201"/>
      <c r="J2936" s="204"/>
      <c r="K2936" s="201"/>
      <c r="L2936" s="201"/>
    </row>
    <row r="2937">
      <c r="A2937" s="200"/>
      <c r="B2937" s="201"/>
      <c r="C2937" s="201"/>
      <c r="D2937" s="201"/>
      <c r="E2937" s="201"/>
      <c r="F2937" s="201"/>
      <c r="G2937" s="201"/>
      <c r="H2937" s="203"/>
      <c r="I2937" s="201"/>
      <c r="J2937" s="204"/>
      <c r="K2937" s="201"/>
      <c r="L2937" s="201"/>
    </row>
    <row r="2938">
      <c r="A2938" s="200"/>
      <c r="B2938" s="201"/>
      <c r="C2938" s="201"/>
      <c r="D2938" s="201"/>
      <c r="E2938" s="201"/>
      <c r="F2938" s="201"/>
      <c r="G2938" s="201"/>
      <c r="H2938" s="203"/>
      <c r="I2938" s="201"/>
      <c r="J2938" s="204"/>
      <c r="K2938" s="201"/>
      <c r="L2938" s="201"/>
    </row>
    <row r="2939">
      <c r="A2939" s="200"/>
      <c r="B2939" s="201"/>
      <c r="C2939" s="201"/>
      <c r="D2939" s="201"/>
      <c r="E2939" s="201"/>
      <c r="F2939" s="201"/>
      <c r="G2939" s="201"/>
      <c r="H2939" s="203"/>
      <c r="I2939" s="201"/>
      <c r="J2939" s="204"/>
      <c r="K2939" s="201"/>
      <c r="L2939" s="201"/>
    </row>
    <row r="2940">
      <c r="A2940" s="200"/>
      <c r="B2940" s="201"/>
      <c r="C2940" s="201"/>
      <c r="D2940" s="201"/>
      <c r="E2940" s="201"/>
      <c r="F2940" s="201"/>
      <c r="G2940" s="201"/>
      <c r="H2940" s="203"/>
      <c r="I2940" s="201"/>
      <c r="J2940" s="204"/>
      <c r="K2940" s="201"/>
      <c r="L2940" s="201"/>
    </row>
    <row r="2941">
      <c r="A2941" s="200"/>
      <c r="B2941" s="201"/>
      <c r="C2941" s="201"/>
      <c r="D2941" s="201"/>
      <c r="E2941" s="201"/>
      <c r="F2941" s="201"/>
      <c r="G2941" s="201"/>
      <c r="H2941" s="203"/>
      <c r="I2941" s="201"/>
      <c r="J2941" s="204"/>
      <c r="K2941" s="201"/>
      <c r="L2941" s="201"/>
    </row>
    <row r="2942">
      <c r="A2942" s="200"/>
      <c r="B2942" s="201"/>
      <c r="C2942" s="201"/>
      <c r="D2942" s="201"/>
      <c r="E2942" s="201"/>
      <c r="F2942" s="201"/>
      <c r="G2942" s="201"/>
      <c r="H2942" s="203"/>
      <c r="I2942" s="201"/>
      <c r="J2942" s="204"/>
      <c r="K2942" s="201"/>
      <c r="L2942" s="201"/>
    </row>
    <row r="2943">
      <c r="A2943" s="200"/>
      <c r="B2943" s="201"/>
      <c r="C2943" s="201"/>
      <c r="D2943" s="201"/>
      <c r="E2943" s="201"/>
      <c r="F2943" s="201"/>
      <c r="G2943" s="201"/>
      <c r="H2943" s="203"/>
      <c r="I2943" s="201"/>
      <c r="J2943" s="204"/>
      <c r="K2943" s="201"/>
      <c r="L2943" s="201"/>
    </row>
    <row r="2944">
      <c r="A2944" s="200"/>
      <c r="B2944" s="201"/>
      <c r="C2944" s="201"/>
      <c r="D2944" s="201"/>
      <c r="E2944" s="201"/>
      <c r="F2944" s="201"/>
      <c r="G2944" s="201"/>
      <c r="H2944" s="203"/>
      <c r="I2944" s="201"/>
      <c r="J2944" s="204"/>
      <c r="K2944" s="201"/>
      <c r="L2944" s="201"/>
    </row>
    <row r="2945">
      <c r="A2945" s="200"/>
      <c r="B2945" s="201"/>
      <c r="C2945" s="201"/>
      <c r="D2945" s="201"/>
      <c r="E2945" s="201"/>
      <c r="F2945" s="201"/>
      <c r="G2945" s="201"/>
      <c r="H2945" s="203"/>
      <c r="I2945" s="201"/>
      <c r="J2945" s="204"/>
      <c r="K2945" s="201"/>
      <c r="L2945" s="201"/>
    </row>
    <row r="2946">
      <c r="A2946" s="200"/>
      <c r="B2946" s="201"/>
      <c r="C2946" s="201"/>
      <c r="D2946" s="201"/>
      <c r="E2946" s="201"/>
      <c r="F2946" s="201"/>
      <c r="G2946" s="201"/>
      <c r="H2946" s="203"/>
      <c r="I2946" s="201"/>
      <c r="J2946" s="204"/>
      <c r="K2946" s="201"/>
      <c r="L2946" s="201"/>
    </row>
    <row r="2947">
      <c r="A2947" s="200"/>
      <c r="B2947" s="201"/>
      <c r="C2947" s="201"/>
      <c r="D2947" s="201"/>
      <c r="E2947" s="201"/>
      <c r="F2947" s="201"/>
      <c r="G2947" s="201"/>
      <c r="H2947" s="203"/>
      <c r="I2947" s="201"/>
      <c r="J2947" s="204"/>
      <c r="K2947" s="201"/>
      <c r="L2947" s="201"/>
    </row>
    <row r="2948">
      <c r="A2948" s="200"/>
      <c r="B2948" s="201"/>
      <c r="C2948" s="201"/>
      <c r="D2948" s="201"/>
      <c r="E2948" s="201"/>
      <c r="F2948" s="201"/>
      <c r="G2948" s="201"/>
      <c r="H2948" s="203"/>
      <c r="I2948" s="201"/>
      <c r="J2948" s="204"/>
      <c r="K2948" s="201"/>
      <c r="L2948" s="201"/>
    </row>
    <row r="2949">
      <c r="A2949" s="200"/>
      <c r="B2949" s="201"/>
      <c r="C2949" s="201"/>
      <c r="D2949" s="201"/>
      <c r="E2949" s="201"/>
      <c r="F2949" s="201"/>
      <c r="G2949" s="201"/>
      <c r="H2949" s="203"/>
      <c r="I2949" s="201"/>
      <c r="J2949" s="204"/>
      <c r="K2949" s="201"/>
      <c r="L2949" s="201"/>
    </row>
    <row r="2950">
      <c r="A2950" s="200"/>
      <c r="B2950" s="201"/>
      <c r="C2950" s="201"/>
      <c r="D2950" s="201"/>
      <c r="E2950" s="201"/>
      <c r="F2950" s="201"/>
      <c r="G2950" s="201"/>
      <c r="H2950" s="203"/>
      <c r="I2950" s="201"/>
      <c r="J2950" s="204"/>
      <c r="K2950" s="201"/>
      <c r="L2950" s="201"/>
    </row>
    <row r="2951">
      <c r="A2951" s="200"/>
      <c r="B2951" s="201"/>
      <c r="C2951" s="201"/>
      <c r="D2951" s="201"/>
      <c r="E2951" s="201"/>
      <c r="F2951" s="201"/>
      <c r="G2951" s="201"/>
      <c r="H2951" s="203"/>
      <c r="I2951" s="201"/>
      <c r="J2951" s="204"/>
      <c r="K2951" s="201"/>
      <c r="L2951" s="201"/>
    </row>
    <row r="2952">
      <c r="A2952" s="200"/>
      <c r="B2952" s="201"/>
      <c r="C2952" s="201"/>
      <c r="D2952" s="201"/>
      <c r="E2952" s="201"/>
      <c r="F2952" s="201"/>
      <c r="G2952" s="201"/>
      <c r="H2952" s="203"/>
      <c r="I2952" s="201"/>
      <c r="J2952" s="204"/>
      <c r="K2952" s="201"/>
      <c r="L2952" s="201"/>
    </row>
    <row r="2953">
      <c r="A2953" s="200"/>
      <c r="B2953" s="201"/>
      <c r="C2953" s="201"/>
      <c r="D2953" s="201"/>
      <c r="E2953" s="201"/>
      <c r="F2953" s="201"/>
      <c r="G2953" s="201"/>
      <c r="H2953" s="203"/>
      <c r="I2953" s="201"/>
      <c r="J2953" s="204"/>
      <c r="K2953" s="201"/>
      <c r="L2953" s="201"/>
    </row>
    <row r="2954">
      <c r="A2954" s="200"/>
      <c r="B2954" s="201"/>
      <c r="C2954" s="201"/>
      <c r="D2954" s="201"/>
      <c r="E2954" s="201"/>
      <c r="F2954" s="201"/>
      <c r="G2954" s="201"/>
      <c r="H2954" s="203"/>
      <c r="I2954" s="201"/>
      <c r="J2954" s="204"/>
      <c r="K2954" s="201"/>
      <c r="L2954" s="201"/>
    </row>
    <row r="2955">
      <c r="A2955" s="200"/>
      <c r="B2955" s="201"/>
      <c r="C2955" s="201"/>
      <c r="D2955" s="201"/>
      <c r="E2955" s="201"/>
      <c r="F2955" s="201"/>
      <c r="G2955" s="201"/>
      <c r="H2955" s="203"/>
      <c r="I2955" s="201"/>
      <c r="J2955" s="204"/>
      <c r="K2955" s="201"/>
      <c r="L2955" s="201"/>
    </row>
    <row r="2956">
      <c r="A2956" s="200"/>
      <c r="B2956" s="201"/>
      <c r="C2956" s="201"/>
      <c r="D2956" s="201"/>
      <c r="E2956" s="201"/>
      <c r="F2956" s="201"/>
      <c r="G2956" s="201"/>
      <c r="H2956" s="203"/>
      <c r="I2956" s="201"/>
      <c r="J2956" s="204"/>
      <c r="K2956" s="201"/>
      <c r="L2956" s="201"/>
    </row>
    <row r="2957">
      <c r="A2957" s="200"/>
      <c r="B2957" s="201"/>
      <c r="C2957" s="201"/>
      <c r="D2957" s="201"/>
      <c r="E2957" s="201"/>
      <c r="F2957" s="201"/>
      <c r="G2957" s="201"/>
      <c r="H2957" s="203"/>
      <c r="I2957" s="201"/>
      <c r="J2957" s="204"/>
      <c r="K2957" s="201"/>
      <c r="L2957" s="201"/>
    </row>
    <row r="2958">
      <c r="A2958" s="200"/>
      <c r="B2958" s="201"/>
      <c r="C2958" s="201"/>
      <c r="D2958" s="201"/>
      <c r="E2958" s="201"/>
      <c r="F2958" s="201"/>
      <c r="G2958" s="201"/>
      <c r="H2958" s="203"/>
      <c r="I2958" s="201"/>
      <c r="J2958" s="204"/>
      <c r="K2958" s="201"/>
      <c r="L2958" s="201"/>
    </row>
    <row r="2959">
      <c r="A2959" s="200"/>
      <c r="B2959" s="201"/>
      <c r="C2959" s="201"/>
      <c r="D2959" s="201"/>
      <c r="E2959" s="201"/>
      <c r="F2959" s="201"/>
      <c r="G2959" s="201"/>
      <c r="H2959" s="203"/>
      <c r="I2959" s="201"/>
      <c r="J2959" s="204"/>
      <c r="K2959" s="201"/>
      <c r="L2959" s="201"/>
    </row>
    <row r="2960">
      <c r="A2960" s="200"/>
      <c r="B2960" s="201"/>
      <c r="C2960" s="201"/>
      <c r="D2960" s="201"/>
      <c r="E2960" s="201"/>
      <c r="F2960" s="201"/>
      <c r="G2960" s="201"/>
      <c r="H2960" s="203"/>
      <c r="I2960" s="201"/>
      <c r="J2960" s="204"/>
      <c r="K2960" s="201"/>
      <c r="L2960" s="201"/>
    </row>
    <row r="2961">
      <c r="A2961" s="200"/>
      <c r="B2961" s="201"/>
      <c r="C2961" s="201"/>
      <c r="D2961" s="201"/>
      <c r="E2961" s="201"/>
      <c r="F2961" s="201"/>
      <c r="G2961" s="201"/>
      <c r="H2961" s="203"/>
      <c r="I2961" s="201"/>
      <c r="J2961" s="204"/>
      <c r="K2961" s="201"/>
      <c r="L2961" s="201"/>
    </row>
    <row r="2962">
      <c r="A2962" s="200"/>
      <c r="B2962" s="201"/>
      <c r="C2962" s="201"/>
      <c r="D2962" s="201"/>
      <c r="E2962" s="201"/>
      <c r="F2962" s="201"/>
      <c r="G2962" s="201"/>
      <c r="H2962" s="203"/>
      <c r="I2962" s="201"/>
      <c r="J2962" s="204"/>
      <c r="K2962" s="201"/>
      <c r="L2962" s="201"/>
    </row>
    <row r="2963">
      <c r="A2963" s="200"/>
      <c r="B2963" s="201"/>
      <c r="C2963" s="201"/>
      <c r="D2963" s="201"/>
      <c r="E2963" s="201"/>
      <c r="F2963" s="201"/>
      <c r="G2963" s="201"/>
      <c r="H2963" s="203"/>
      <c r="I2963" s="201"/>
      <c r="J2963" s="204"/>
      <c r="K2963" s="201"/>
      <c r="L2963" s="201"/>
    </row>
    <row r="2964">
      <c r="A2964" s="200"/>
      <c r="B2964" s="201"/>
      <c r="C2964" s="201"/>
      <c r="D2964" s="201"/>
      <c r="E2964" s="201"/>
      <c r="F2964" s="201"/>
      <c r="G2964" s="201"/>
      <c r="H2964" s="203"/>
      <c r="I2964" s="201"/>
      <c r="J2964" s="204"/>
      <c r="K2964" s="201"/>
      <c r="L2964" s="201"/>
    </row>
    <row r="2965">
      <c r="A2965" s="200"/>
      <c r="B2965" s="201"/>
      <c r="C2965" s="201"/>
      <c r="D2965" s="201"/>
      <c r="E2965" s="201"/>
      <c r="F2965" s="201"/>
      <c r="G2965" s="201"/>
      <c r="H2965" s="203"/>
      <c r="I2965" s="201"/>
      <c r="J2965" s="204"/>
      <c r="K2965" s="201"/>
      <c r="L2965" s="201"/>
    </row>
    <row r="2966">
      <c r="A2966" s="200"/>
      <c r="B2966" s="201"/>
      <c r="C2966" s="201"/>
      <c r="D2966" s="201"/>
      <c r="E2966" s="201"/>
      <c r="F2966" s="201"/>
      <c r="G2966" s="201"/>
      <c r="H2966" s="203"/>
      <c r="I2966" s="201"/>
      <c r="J2966" s="204"/>
      <c r="K2966" s="201"/>
      <c r="L2966" s="201"/>
    </row>
    <row r="2967">
      <c r="A2967" s="200"/>
      <c r="B2967" s="201"/>
      <c r="C2967" s="201"/>
      <c r="D2967" s="201"/>
      <c r="E2967" s="201"/>
      <c r="F2967" s="201"/>
      <c r="G2967" s="201"/>
      <c r="H2967" s="203"/>
      <c r="I2967" s="201"/>
      <c r="J2967" s="204"/>
      <c r="K2967" s="201"/>
      <c r="L2967" s="201"/>
    </row>
    <row r="2968">
      <c r="A2968" s="200"/>
      <c r="B2968" s="201"/>
      <c r="C2968" s="201"/>
      <c r="D2968" s="201"/>
      <c r="E2968" s="201"/>
      <c r="F2968" s="201"/>
      <c r="G2968" s="201"/>
      <c r="H2968" s="203"/>
      <c r="I2968" s="201"/>
      <c r="J2968" s="204"/>
      <c r="K2968" s="201"/>
      <c r="L2968" s="201"/>
    </row>
    <row r="2969">
      <c r="A2969" s="200"/>
      <c r="B2969" s="201"/>
      <c r="C2969" s="201"/>
      <c r="D2969" s="201"/>
      <c r="E2969" s="201"/>
      <c r="F2969" s="201"/>
      <c r="G2969" s="201"/>
      <c r="H2969" s="203"/>
      <c r="I2969" s="201"/>
      <c r="J2969" s="204"/>
      <c r="K2969" s="201"/>
      <c r="L2969" s="201"/>
    </row>
    <row r="2970">
      <c r="A2970" s="200"/>
      <c r="B2970" s="201"/>
      <c r="C2970" s="201"/>
      <c r="D2970" s="201"/>
      <c r="E2970" s="201"/>
      <c r="F2970" s="201"/>
      <c r="G2970" s="201"/>
      <c r="H2970" s="203"/>
      <c r="I2970" s="201"/>
      <c r="J2970" s="204"/>
      <c r="K2970" s="201"/>
      <c r="L2970" s="201"/>
    </row>
    <row r="2971">
      <c r="A2971" s="200"/>
      <c r="B2971" s="201"/>
      <c r="C2971" s="201"/>
      <c r="D2971" s="201"/>
      <c r="E2971" s="201"/>
      <c r="F2971" s="201"/>
      <c r="G2971" s="201"/>
      <c r="H2971" s="203"/>
      <c r="I2971" s="201"/>
      <c r="J2971" s="204"/>
      <c r="K2971" s="201"/>
      <c r="L2971" s="201"/>
    </row>
    <row r="2972">
      <c r="A2972" s="200"/>
      <c r="B2972" s="201"/>
      <c r="C2972" s="201"/>
      <c r="D2972" s="201"/>
      <c r="E2972" s="201"/>
      <c r="F2972" s="201"/>
      <c r="G2972" s="201"/>
      <c r="H2972" s="203"/>
      <c r="I2972" s="201"/>
      <c r="J2972" s="204"/>
      <c r="K2972" s="201"/>
      <c r="L2972" s="201"/>
    </row>
    <row r="2973">
      <c r="A2973" s="200"/>
      <c r="B2973" s="201"/>
      <c r="C2973" s="201"/>
      <c r="D2973" s="201"/>
      <c r="E2973" s="201"/>
      <c r="F2973" s="201"/>
      <c r="G2973" s="201"/>
      <c r="H2973" s="203"/>
      <c r="I2973" s="201"/>
      <c r="J2973" s="204"/>
      <c r="K2973" s="201"/>
      <c r="L2973" s="201"/>
    </row>
    <row r="2974">
      <c r="A2974" s="200"/>
      <c r="B2974" s="201"/>
      <c r="C2974" s="201"/>
      <c r="D2974" s="201"/>
      <c r="E2974" s="201"/>
      <c r="F2974" s="201"/>
      <c r="G2974" s="201"/>
      <c r="H2974" s="203"/>
      <c r="I2974" s="201"/>
      <c r="J2974" s="204"/>
      <c r="K2974" s="201"/>
      <c r="L2974" s="201"/>
    </row>
    <row r="2975">
      <c r="A2975" s="200"/>
      <c r="B2975" s="201"/>
      <c r="C2975" s="201"/>
      <c r="D2975" s="201"/>
      <c r="E2975" s="201"/>
      <c r="F2975" s="201"/>
      <c r="G2975" s="201"/>
      <c r="H2975" s="203"/>
      <c r="I2975" s="201"/>
      <c r="J2975" s="204"/>
      <c r="K2975" s="201"/>
      <c r="L2975" s="201"/>
    </row>
    <row r="2976">
      <c r="A2976" s="200"/>
      <c r="B2976" s="201"/>
      <c r="C2976" s="201"/>
      <c r="D2976" s="201"/>
      <c r="E2976" s="201"/>
      <c r="F2976" s="201"/>
      <c r="G2976" s="201"/>
      <c r="H2976" s="203"/>
      <c r="I2976" s="201"/>
      <c r="J2976" s="204"/>
      <c r="K2976" s="201"/>
      <c r="L2976" s="201"/>
    </row>
    <row r="2977">
      <c r="A2977" s="200"/>
      <c r="B2977" s="201"/>
      <c r="C2977" s="201"/>
      <c r="D2977" s="201"/>
      <c r="E2977" s="201"/>
      <c r="F2977" s="201"/>
      <c r="G2977" s="201"/>
      <c r="H2977" s="203"/>
      <c r="I2977" s="201"/>
      <c r="J2977" s="204"/>
      <c r="K2977" s="201"/>
      <c r="L2977" s="201"/>
    </row>
    <row r="2978">
      <c r="A2978" s="200"/>
      <c r="B2978" s="201"/>
      <c r="C2978" s="201"/>
      <c r="D2978" s="201"/>
      <c r="E2978" s="201"/>
      <c r="F2978" s="201"/>
      <c r="G2978" s="201"/>
      <c r="H2978" s="203"/>
      <c r="I2978" s="201"/>
      <c r="J2978" s="204"/>
      <c r="K2978" s="201"/>
      <c r="L2978" s="201"/>
    </row>
    <row r="2979">
      <c r="A2979" s="200"/>
      <c r="B2979" s="201"/>
      <c r="C2979" s="201"/>
      <c r="D2979" s="201"/>
      <c r="E2979" s="201"/>
      <c r="F2979" s="201"/>
      <c r="G2979" s="201"/>
      <c r="H2979" s="203"/>
      <c r="I2979" s="201"/>
      <c r="J2979" s="204"/>
      <c r="K2979" s="201"/>
      <c r="L2979" s="201"/>
    </row>
    <row r="2980">
      <c r="A2980" s="200"/>
      <c r="B2980" s="201"/>
      <c r="C2980" s="201"/>
      <c r="D2980" s="201"/>
      <c r="E2980" s="201"/>
      <c r="F2980" s="201"/>
      <c r="G2980" s="201"/>
      <c r="H2980" s="203"/>
      <c r="I2980" s="201"/>
      <c r="J2980" s="204"/>
      <c r="K2980" s="201"/>
      <c r="L2980" s="201"/>
    </row>
    <row r="2981">
      <c r="A2981" s="200"/>
      <c r="B2981" s="201"/>
      <c r="C2981" s="201"/>
      <c r="D2981" s="201"/>
      <c r="E2981" s="201"/>
      <c r="F2981" s="201"/>
      <c r="G2981" s="201"/>
      <c r="H2981" s="203"/>
      <c r="I2981" s="201"/>
      <c r="J2981" s="204"/>
      <c r="K2981" s="201"/>
      <c r="L2981" s="201"/>
    </row>
    <row r="2982">
      <c r="A2982" s="200"/>
      <c r="B2982" s="201"/>
      <c r="C2982" s="201"/>
      <c r="D2982" s="201"/>
      <c r="E2982" s="201"/>
      <c r="F2982" s="201"/>
      <c r="G2982" s="201"/>
      <c r="H2982" s="203"/>
      <c r="I2982" s="201"/>
      <c r="J2982" s="204"/>
      <c r="K2982" s="201"/>
      <c r="L2982" s="201"/>
    </row>
    <row r="2983">
      <c r="A2983" s="200"/>
      <c r="B2983" s="201"/>
      <c r="C2983" s="201"/>
      <c r="D2983" s="201"/>
      <c r="E2983" s="201"/>
      <c r="F2983" s="201"/>
      <c r="G2983" s="201"/>
      <c r="H2983" s="203"/>
      <c r="I2983" s="201"/>
      <c r="J2983" s="204"/>
      <c r="K2983" s="201"/>
      <c r="L2983" s="201"/>
    </row>
    <row r="2984">
      <c r="A2984" s="200"/>
      <c r="B2984" s="201"/>
      <c r="C2984" s="201"/>
      <c r="D2984" s="201"/>
      <c r="E2984" s="201"/>
      <c r="F2984" s="201"/>
      <c r="G2984" s="201"/>
      <c r="H2984" s="203"/>
      <c r="I2984" s="201"/>
      <c r="J2984" s="204"/>
      <c r="K2984" s="201"/>
      <c r="L2984" s="201"/>
    </row>
    <row r="2985">
      <c r="A2985" s="200"/>
      <c r="B2985" s="201"/>
      <c r="C2985" s="201"/>
      <c r="D2985" s="201"/>
      <c r="E2985" s="201"/>
      <c r="F2985" s="201"/>
      <c r="G2985" s="201"/>
      <c r="H2985" s="203"/>
      <c r="I2985" s="201"/>
      <c r="J2985" s="204"/>
      <c r="K2985" s="201"/>
      <c r="L2985" s="201"/>
    </row>
    <row r="2986">
      <c r="A2986" s="200"/>
      <c r="B2986" s="201"/>
      <c r="C2986" s="201"/>
      <c r="D2986" s="201"/>
      <c r="E2986" s="201"/>
      <c r="F2986" s="201"/>
      <c r="G2986" s="201"/>
      <c r="H2986" s="203"/>
      <c r="I2986" s="201"/>
      <c r="J2986" s="204"/>
      <c r="K2986" s="201"/>
      <c r="L2986" s="201"/>
    </row>
    <row r="2987">
      <c r="A2987" s="200"/>
      <c r="B2987" s="201"/>
      <c r="C2987" s="201"/>
      <c r="D2987" s="201"/>
      <c r="E2987" s="201"/>
      <c r="F2987" s="201"/>
      <c r="G2987" s="201"/>
      <c r="H2987" s="203"/>
      <c r="I2987" s="201"/>
      <c r="J2987" s="204"/>
      <c r="K2987" s="201"/>
      <c r="L2987" s="201"/>
    </row>
    <row r="2988">
      <c r="A2988" s="200"/>
      <c r="B2988" s="201"/>
      <c r="C2988" s="201"/>
      <c r="D2988" s="201"/>
      <c r="E2988" s="201"/>
      <c r="F2988" s="201"/>
      <c r="G2988" s="201"/>
      <c r="H2988" s="203"/>
      <c r="I2988" s="201"/>
      <c r="J2988" s="204"/>
      <c r="K2988" s="201"/>
      <c r="L2988" s="201"/>
    </row>
    <row r="2989">
      <c r="A2989" s="200"/>
      <c r="B2989" s="201"/>
      <c r="C2989" s="201"/>
      <c r="D2989" s="201"/>
      <c r="E2989" s="201"/>
      <c r="F2989" s="201"/>
      <c r="G2989" s="201"/>
      <c r="H2989" s="203"/>
      <c r="I2989" s="201"/>
      <c r="J2989" s="204"/>
      <c r="K2989" s="201"/>
      <c r="L2989" s="201"/>
    </row>
    <row r="2990">
      <c r="A2990" s="200"/>
      <c r="B2990" s="201"/>
      <c r="C2990" s="201"/>
      <c r="D2990" s="201"/>
      <c r="E2990" s="201"/>
      <c r="F2990" s="201"/>
      <c r="G2990" s="201"/>
      <c r="H2990" s="203"/>
      <c r="I2990" s="201"/>
      <c r="J2990" s="204"/>
      <c r="K2990" s="201"/>
      <c r="L2990" s="201"/>
    </row>
    <row r="2991">
      <c r="A2991" s="200"/>
      <c r="B2991" s="201"/>
      <c r="C2991" s="201"/>
      <c r="D2991" s="201"/>
      <c r="E2991" s="201"/>
      <c r="F2991" s="201"/>
      <c r="G2991" s="201"/>
      <c r="H2991" s="203"/>
      <c r="I2991" s="201"/>
      <c r="J2991" s="204"/>
      <c r="K2991" s="201"/>
      <c r="L2991" s="201"/>
    </row>
    <row r="2992">
      <c r="A2992" s="200"/>
      <c r="B2992" s="201"/>
      <c r="C2992" s="201"/>
      <c r="D2992" s="201"/>
      <c r="E2992" s="201"/>
      <c r="F2992" s="201"/>
      <c r="G2992" s="201"/>
      <c r="H2992" s="203"/>
      <c r="I2992" s="201"/>
      <c r="J2992" s="204"/>
      <c r="K2992" s="201"/>
      <c r="L2992" s="201"/>
    </row>
    <row r="2993">
      <c r="A2993" s="200"/>
      <c r="B2993" s="201"/>
      <c r="C2993" s="201"/>
      <c r="D2993" s="201"/>
      <c r="E2993" s="201"/>
      <c r="F2993" s="201"/>
      <c r="G2993" s="201"/>
      <c r="H2993" s="203"/>
      <c r="I2993" s="201"/>
      <c r="J2993" s="204"/>
      <c r="K2993" s="201"/>
      <c r="L2993" s="201"/>
    </row>
    <row r="2994">
      <c r="A2994" s="200"/>
      <c r="B2994" s="201"/>
      <c r="C2994" s="201"/>
      <c r="D2994" s="201"/>
      <c r="E2994" s="201"/>
      <c r="F2994" s="201"/>
      <c r="G2994" s="201"/>
      <c r="H2994" s="203"/>
      <c r="I2994" s="201"/>
      <c r="J2994" s="204"/>
      <c r="K2994" s="201"/>
      <c r="L2994" s="201"/>
    </row>
    <row r="2995">
      <c r="A2995" s="200"/>
      <c r="B2995" s="201"/>
      <c r="C2995" s="201"/>
      <c r="D2995" s="201"/>
      <c r="E2995" s="201"/>
      <c r="F2995" s="201"/>
      <c r="G2995" s="201"/>
      <c r="H2995" s="203"/>
      <c r="I2995" s="201"/>
      <c r="J2995" s="204"/>
      <c r="K2995" s="201"/>
      <c r="L2995" s="201"/>
    </row>
    <row r="2996">
      <c r="A2996" s="200"/>
      <c r="B2996" s="201"/>
      <c r="C2996" s="201"/>
      <c r="D2996" s="201"/>
      <c r="E2996" s="201"/>
      <c r="F2996" s="201"/>
      <c r="G2996" s="201"/>
      <c r="H2996" s="203"/>
      <c r="I2996" s="201"/>
      <c r="J2996" s="204"/>
      <c r="K2996" s="201"/>
      <c r="L2996" s="201"/>
    </row>
    <row r="2997">
      <c r="A2997" s="200"/>
      <c r="B2997" s="201"/>
      <c r="C2997" s="201"/>
      <c r="D2997" s="201"/>
      <c r="E2997" s="201"/>
      <c r="F2997" s="201"/>
      <c r="G2997" s="201"/>
      <c r="H2997" s="203"/>
      <c r="I2997" s="201"/>
      <c r="J2997" s="204"/>
      <c r="K2997" s="201"/>
      <c r="L2997" s="201"/>
    </row>
    <row r="2998">
      <c r="A2998" s="200"/>
      <c r="B2998" s="201"/>
      <c r="C2998" s="201"/>
      <c r="D2998" s="201"/>
      <c r="E2998" s="201"/>
      <c r="F2998" s="201"/>
      <c r="G2998" s="201"/>
      <c r="H2998" s="203"/>
      <c r="I2998" s="201"/>
      <c r="J2998" s="204"/>
      <c r="K2998" s="201"/>
      <c r="L2998" s="201"/>
    </row>
    <row r="2999">
      <c r="A2999" s="200"/>
      <c r="B2999" s="201"/>
      <c r="C2999" s="201"/>
      <c r="D2999" s="201"/>
      <c r="E2999" s="201"/>
      <c r="F2999" s="201"/>
      <c r="G2999" s="201"/>
      <c r="H2999" s="203"/>
      <c r="I2999" s="201"/>
      <c r="J2999" s="204"/>
      <c r="K2999" s="201"/>
      <c r="L2999" s="201"/>
    </row>
    <row r="3000">
      <c r="A3000" s="200"/>
      <c r="B3000" s="201"/>
      <c r="C3000" s="201"/>
      <c r="D3000" s="201"/>
      <c r="E3000" s="201"/>
      <c r="F3000" s="201"/>
      <c r="G3000" s="201"/>
      <c r="H3000" s="203"/>
      <c r="I3000" s="201"/>
      <c r="J3000" s="204"/>
      <c r="K3000" s="201"/>
      <c r="L3000" s="201"/>
    </row>
    <row r="3001">
      <c r="A3001" s="200"/>
      <c r="B3001" s="201"/>
      <c r="C3001" s="201"/>
      <c r="D3001" s="201"/>
      <c r="E3001" s="201"/>
      <c r="F3001" s="201"/>
      <c r="G3001" s="201"/>
      <c r="H3001" s="203"/>
      <c r="I3001" s="201"/>
      <c r="J3001" s="204"/>
      <c r="K3001" s="201"/>
      <c r="L3001" s="201"/>
    </row>
    <row r="3002">
      <c r="A3002" s="200"/>
      <c r="B3002" s="201"/>
      <c r="C3002" s="201"/>
      <c r="D3002" s="201"/>
      <c r="E3002" s="201"/>
      <c r="F3002" s="201"/>
      <c r="G3002" s="201"/>
      <c r="H3002" s="203"/>
      <c r="I3002" s="201"/>
      <c r="J3002" s="204"/>
      <c r="K3002" s="201"/>
      <c r="L3002" s="201"/>
    </row>
    <row r="3003">
      <c r="A3003" s="200"/>
      <c r="B3003" s="201"/>
      <c r="C3003" s="201"/>
      <c r="D3003" s="201"/>
      <c r="E3003" s="201"/>
      <c r="F3003" s="201"/>
      <c r="G3003" s="201"/>
      <c r="H3003" s="203"/>
      <c r="I3003" s="201"/>
      <c r="J3003" s="204"/>
      <c r="K3003" s="201"/>
      <c r="L3003" s="201"/>
    </row>
    <row r="3004">
      <c r="A3004" s="200"/>
      <c r="B3004" s="201"/>
      <c r="C3004" s="201"/>
      <c r="D3004" s="201"/>
      <c r="E3004" s="201"/>
      <c r="F3004" s="201"/>
      <c r="G3004" s="201"/>
      <c r="H3004" s="203"/>
      <c r="I3004" s="201"/>
      <c r="J3004" s="204"/>
      <c r="K3004" s="201"/>
      <c r="L3004" s="201"/>
    </row>
    <row r="3005">
      <c r="A3005" s="200"/>
      <c r="B3005" s="201"/>
      <c r="C3005" s="201"/>
      <c r="D3005" s="201"/>
      <c r="E3005" s="201"/>
      <c r="F3005" s="201"/>
      <c r="G3005" s="201"/>
      <c r="H3005" s="203"/>
      <c r="I3005" s="201"/>
      <c r="J3005" s="204"/>
      <c r="K3005" s="201"/>
      <c r="L3005" s="201"/>
    </row>
    <row r="3006">
      <c r="A3006" s="200"/>
      <c r="B3006" s="201"/>
      <c r="C3006" s="201"/>
      <c r="D3006" s="201"/>
      <c r="E3006" s="201"/>
      <c r="F3006" s="201"/>
      <c r="G3006" s="201"/>
      <c r="H3006" s="203"/>
      <c r="I3006" s="201"/>
      <c r="J3006" s="204"/>
      <c r="K3006" s="201"/>
      <c r="L3006" s="201"/>
    </row>
    <row r="3007">
      <c r="A3007" s="200"/>
      <c r="B3007" s="201"/>
      <c r="C3007" s="201"/>
      <c r="D3007" s="201"/>
      <c r="E3007" s="201"/>
      <c r="F3007" s="201"/>
      <c r="G3007" s="201"/>
      <c r="H3007" s="203"/>
      <c r="I3007" s="201"/>
      <c r="J3007" s="204"/>
      <c r="K3007" s="201"/>
      <c r="L3007" s="201"/>
    </row>
    <row r="3008">
      <c r="A3008" s="200"/>
      <c r="B3008" s="201"/>
      <c r="C3008" s="201"/>
      <c r="D3008" s="201"/>
      <c r="E3008" s="201"/>
      <c r="F3008" s="201"/>
      <c r="G3008" s="201"/>
      <c r="H3008" s="203"/>
      <c r="I3008" s="201"/>
      <c r="J3008" s="204"/>
      <c r="K3008" s="201"/>
      <c r="L3008" s="201"/>
    </row>
    <row r="3009">
      <c r="A3009" s="200"/>
      <c r="B3009" s="201"/>
      <c r="C3009" s="201"/>
      <c r="D3009" s="201"/>
      <c r="E3009" s="201"/>
      <c r="F3009" s="201"/>
      <c r="G3009" s="201"/>
      <c r="H3009" s="203"/>
      <c r="I3009" s="201"/>
      <c r="J3009" s="204"/>
      <c r="K3009" s="201"/>
      <c r="L3009" s="201"/>
    </row>
    <row r="3010">
      <c r="A3010" s="200"/>
      <c r="B3010" s="201"/>
      <c r="C3010" s="201"/>
      <c r="D3010" s="201"/>
      <c r="E3010" s="201"/>
      <c r="F3010" s="201"/>
      <c r="G3010" s="201"/>
      <c r="H3010" s="203"/>
      <c r="I3010" s="201"/>
      <c r="J3010" s="204"/>
      <c r="K3010" s="201"/>
      <c r="L3010" s="201"/>
    </row>
    <row r="3011">
      <c r="A3011" s="200"/>
      <c r="B3011" s="201"/>
      <c r="C3011" s="201"/>
      <c r="D3011" s="201"/>
      <c r="E3011" s="201"/>
      <c r="F3011" s="201"/>
      <c r="G3011" s="201"/>
      <c r="H3011" s="203"/>
      <c r="I3011" s="201"/>
      <c r="J3011" s="204"/>
      <c r="K3011" s="201"/>
      <c r="L3011" s="201"/>
    </row>
    <row r="3012">
      <c r="A3012" s="200"/>
      <c r="B3012" s="201"/>
      <c r="C3012" s="201"/>
      <c r="D3012" s="201"/>
      <c r="E3012" s="201"/>
      <c r="F3012" s="201"/>
      <c r="G3012" s="201"/>
      <c r="H3012" s="203"/>
      <c r="I3012" s="201"/>
      <c r="J3012" s="204"/>
      <c r="K3012" s="201"/>
      <c r="L3012" s="201"/>
    </row>
    <row r="3013">
      <c r="A3013" s="200"/>
      <c r="B3013" s="201"/>
      <c r="C3013" s="201"/>
      <c r="D3013" s="201"/>
      <c r="E3013" s="201"/>
      <c r="F3013" s="201"/>
      <c r="G3013" s="201"/>
      <c r="H3013" s="203"/>
      <c r="I3013" s="201"/>
      <c r="J3013" s="204"/>
      <c r="K3013" s="201"/>
      <c r="L3013" s="201"/>
    </row>
    <row r="3014">
      <c r="A3014" s="200"/>
      <c r="B3014" s="201"/>
      <c r="C3014" s="201"/>
      <c r="D3014" s="201"/>
      <c r="E3014" s="201"/>
      <c r="F3014" s="201"/>
      <c r="G3014" s="201"/>
      <c r="H3014" s="203"/>
      <c r="I3014" s="201"/>
      <c r="J3014" s="204"/>
      <c r="K3014" s="201"/>
      <c r="L3014" s="201"/>
    </row>
    <row r="3015">
      <c r="A3015" s="200"/>
      <c r="B3015" s="201"/>
      <c r="C3015" s="201"/>
      <c r="D3015" s="201"/>
      <c r="E3015" s="201"/>
      <c r="F3015" s="201"/>
      <c r="G3015" s="201"/>
      <c r="H3015" s="203"/>
      <c r="I3015" s="201"/>
      <c r="J3015" s="204"/>
      <c r="K3015" s="201"/>
      <c r="L3015" s="201"/>
    </row>
    <row r="3016">
      <c r="A3016" s="200"/>
      <c r="B3016" s="201"/>
      <c r="C3016" s="201"/>
      <c r="D3016" s="201"/>
      <c r="E3016" s="201"/>
      <c r="F3016" s="201"/>
      <c r="G3016" s="201"/>
      <c r="H3016" s="203"/>
      <c r="I3016" s="201"/>
      <c r="J3016" s="204"/>
      <c r="K3016" s="201"/>
      <c r="L3016" s="201"/>
    </row>
    <row r="3017">
      <c r="A3017" s="200"/>
      <c r="B3017" s="201"/>
      <c r="C3017" s="201"/>
      <c r="D3017" s="201"/>
      <c r="E3017" s="201"/>
      <c r="F3017" s="201"/>
      <c r="G3017" s="201"/>
      <c r="H3017" s="203"/>
      <c r="I3017" s="201"/>
      <c r="J3017" s="204"/>
      <c r="K3017" s="201"/>
      <c r="L3017" s="201"/>
    </row>
    <row r="3018">
      <c r="A3018" s="200"/>
      <c r="B3018" s="201"/>
      <c r="C3018" s="201"/>
      <c r="D3018" s="201"/>
      <c r="E3018" s="201"/>
      <c r="F3018" s="201"/>
      <c r="G3018" s="201"/>
      <c r="H3018" s="203"/>
      <c r="I3018" s="201"/>
      <c r="J3018" s="204"/>
      <c r="K3018" s="201"/>
      <c r="L3018" s="201"/>
    </row>
    <row r="3019">
      <c r="A3019" s="200"/>
      <c r="B3019" s="201"/>
      <c r="C3019" s="201"/>
      <c r="D3019" s="201"/>
      <c r="E3019" s="201"/>
      <c r="F3019" s="201"/>
      <c r="G3019" s="201"/>
      <c r="H3019" s="203"/>
      <c r="I3019" s="201"/>
      <c r="J3019" s="204"/>
      <c r="K3019" s="201"/>
      <c r="L3019" s="201"/>
    </row>
    <row r="3020">
      <c r="A3020" s="200"/>
      <c r="B3020" s="201"/>
      <c r="C3020" s="201"/>
      <c r="D3020" s="201"/>
      <c r="E3020" s="201"/>
      <c r="F3020" s="201"/>
      <c r="G3020" s="201"/>
      <c r="H3020" s="203"/>
      <c r="I3020" s="201"/>
      <c r="J3020" s="204"/>
      <c r="K3020" s="201"/>
      <c r="L3020" s="201"/>
    </row>
    <row r="3021">
      <c r="A3021" s="200"/>
      <c r="B3021" s="201"/>
      <c r="C3021" s="201"/>
      <c r="D3021" s="201"/>
      <c r="E3021" s="201"/>
      <c r="F3021" s="201"/>
      <c r="G3021" s="201"/>
      <c r="H3021" s="203"/>
      <c r="I3021" s="201"/>
      <c r="J3021" s="204"/>
      <c r="K3021" s="201"/>
      <c r="L3021" s="201"/>
    </row>
    <row r="3022">
      <c r="A3022" s="200"/>
      <c r="B3022" s="201"/>
      <c r="C3022" s="201"/>
      <c r="D3022" s="201"/>
      <c r="E3022" s="201"/>
      <c r="F3022" s="201"/>
      <c r="G3022" s="201"/>
      <c r="H3022" s="203"/>
      <c r="I3022" s="201"/>
      <c r="J3022" s="204"/>
      <c r="K3022" s="201"/>
      <c r="L3022" s="201"/>
    </row>
    <row r="3023">
      <c r="A3023" s="200"/>
      <c r="B3023" s="201"/>
      <c r="C3023" s="201"/>
      <c r="D3023" s="201"/>
      <c r="E3023" s="201"/>
      <c r="F3023" s="201"/>
      <c r="G3023" s="201"/>
      <c r="H3023" s="203"/>
      <c r="I3023" s="201"/>
      <c r="J3023" s="204"/>
      <c r="K3023" s="201"/>
      <c r="L3023" s="201"/>
    </row>
    <row r="3024">
      <c r="A3024" s="200"/>
      <c r="B3024" s="201"/>
      <c r="C3024" s="201"/>
      <c r="D3024" s="201"/>
      <c r="E3024" s="201"/>
      <c r="F3024" s="201"/>
      <c r="G3024" s="201"/>
      <c r="H3024" s="203"/>
      <c r="I3024" s="201"/>
      <c r="J3024" s="204"/>
      <c r="K3024" s="201"/>
      <c r="L3024" s="201"/>
    </row>
    <row r="3025">
      <c r="A3025" s="200"/>
      <c r="B3025" s="201"/>
      <c r="C3025" s="201"/>
      <c r="D3025" s="201"/>
      <c r="E3025" s="201"/>
      <c r="F3025" s="201"/>
      <c r="G3025" s="201"/>
      <c r="H3025" s="203"/>
      <c r="I3025" s="201"/>
      <c r="J3025" s="204"/>
      <c r="K3025" s="201"/>
      <c r="L3025" s="201"/>
    </row>
    <row r="3026">
      <c r="A3026" s="200"/>
      <c r="B3026" s="201"/>
      <c r="C3026" s="201"/>
      <c r="D3026" s="201"/>
      <c r="E3026" s="201"/>
      <c r="F3026" s="201"/>
      <c r="G3026" s="201"/>
      <c r="H3026" s="203"/>
      <c r="I3026" s="201"/>
      <c r="J3026" s="204"/>
      <c r="K3026" s="201"/>
      <c r="L3026" s="201"/>
    </row>
    <row r="3027">
      <c r="A3027" s="200"/>
      <c r="B3027" s="201"/>
      <c r="C3027" s="201"/>
      <c r="D3027" s="201"/>
      <c r="E3027" s="201"/>
      <c r="F3027" s="201"/>
      <c r="G3027" s="201"/>
      <c r="H3027" s="203"/>
      <c r="I3027" s="201"/>
      <c r="J3027" s="204"/>
      <c r="K3027" s="201"/>
      <c r="L3027" s="201"/>
    </row>
    <row r="3028">
      <c r="A3028" s="200"/>
      <c r="B3028" s="201"/>
      <c r="C3028" s="201"/>
      <c r="D3028" s="201"/>
      <c r="E3028" s="201"/>
      <c r="F3028" s="201"/>
      <c r="G3028" s="201"/>
      <c r="H3028" s="203"/>
      <c r="I3028" s="201"/>
      <c r="J3028" s="204"/>
      <c r="K3028" s="201"/>
      <c r="L3028" s="201"/>
    </row>
    <row r="3029">
      <c r="A3029" s="200"/>
      <c r="B3029" s="201"/>
      <c r="C3029" s="201"/>
      <c r="D3029" s="201"/>
      <c r="E3029" s="201"/>
      <c r="F3029" s="201"/>
      <c r="G3029" s="201"/>
      <c r="H3029" s="203"/>
      <c r="I3029" s="201"/>
      <c r="J3029" s="204"/>
      <c r="K3029" s="201"/>
      <c r="L3029" s="201"/>
    </row>
    <row r="3030">
      <c r="A3030" s="200"/>
      <c r="B3030" s="201"/>
      <c r="C3030" s="201"/>
      <c r="D3030" s="201"/>
      <c r="E3030" s="201"/>
      <c r="F3030" s="201"/>
      <c r="G3030" s="201"/>
      <c r="H3030" s="203"/>
      <c r="I3030" s="201"/>
      <c r="J3030" s="204"/>
      <c r="K3030" s="201"/>
      <c r="L3030" s="201"/>
    </row>
    <row r="3031">
      <c r="A3031" s="200"/>
      <c r="B3031" s="201"/>
      <c r="C3031" s="201"/>
      <c r="D3031" s="201"/>
      <c r="E3031" s="201"/>
      <c r="F3031" s="201"/>
      <c r="G3031" s="201"/>
      <c r="H3031" s="203"/>
      <c r="I3031" s="201"/>
      <c r="J3031" s="204"/>
      <c r="K3031" s="201"/>
      <c r="L3031" s="201"/>
    </row>
    <row r="3032">
      <c r="A3032" s="200"/>
      <c r="B3032" s="201"/>
      <c r="C3032" s="201"/>
      <c r="D3032" s="201"/>
      <c r="E3032" s="201"/>
      <c r="F3032" s="201"/>
      <c r="G3032" s="201"/>
      <c r="H3032" s="203"/>
      <c r="I3032" s="201"/>
      <c r="J3032" s="204"/>
      <c r="K3032" s="201"/>
      <c r="L3032" s="201"/>
    </row>
    <row r="3033">
      <c r="A3033" s="200"/>
      <c r="B3033" s="201"/>
      <c r="C3033" s="201"/>
      <c r="D3033" s="201"/>
      <c r="E3033" s="201"/>
      <c r="F3033" s="201"/>
      <c r="G3033" s="201"/>
      <c r="H3033" s="203"/>
      <c r="I3033" s="201"/>
      <c r="J3033" s="204"/>
      <c r="K3033" s="201"/>
      <c r="L3033" s="201"/>
    </row>
    <row r="3034">
      <c r="A3034" s="200"/>
      <c r="B3034" s="201"/>
      <c r="C3034" s="201"/>
      <c r="D3034" s="201"/>
      <c r="E3034" s="201"/>
      <c r="F3034" s="201"/>
      <c r="G3034" s="201"/>
      <c r="H3034" s="203"/>
      <c r="I3034" s="201"/>
      <c r="J3034" s="204"/>
      <c r="K3034" s="201"/>
      <c r="L3034" s="201"/>
    </row>
    <row r="3035">
      <c r="A3035" s="200"/>
      <c r="B3035" s="201"/>
      <c r="C3035" s="201"/>
      <c r="D3035" s="201"/>
      <c r="E3035" s="201"/>
      <c r="F3035" s="201"/>
      <c r="G3035" s="201"/>
      <c r="H3035" s="203"/>
      <c r="I3035" s="201"/>
      <c r="J3035" s="204"/>
      <c r="K3035" s="201"/>
      <c r="L3035" s="201"/>
    </row>
    <row r="3036">
      <c r="A3036" s="200"/>
      <c r="B3036" s="201"/>
      <c r="C3036" s="201"/>
      <c r="D3036" s="201"/>
      <c r="E3036" s="201"/>
      <c r="F3036" s="201"/>
      <c r="G3036" s="201"/>
      <c r="H3036" s="203"/>
      <c r="I3036" s="201"/>
      <c r="J3036" s="204"/>
      <c r="K3036" s="201"/>
      <c r="L3036" s="201"/>
    </row>
    <row r="3037">
      <c r="A3037" s="200"/>
      <c r="B3037" s="201"/>
      <c r="C3037" s="201"/>
      <c r="D3037" s="201"/>
      <c r="E3037" s="201"/>
      <c r="F3037" s="201"/>
      <c r="G3037" s="201"/>
      <c r="H3037" s="203"/>
      <c r="I3037" s="201"/>
      <c r="J3037" s="204"/>
      <c r="K3037" s="201"/>
      <c r="L3037" s="201"/>
    </row>
    <row r="3038">
      <c r="A3038" s="200"/>
      <c r="B3038" s="201"/>
      <c r="C3038" s="201"/>
      <c r="D3038" s="201"/>
      <c r="E3038" s="201"/>
      <c r="F3038" s="201"/>
      <c r="G3038" s="201"/>
      <c r="H3038" s="203"/>
      <c r="I3038" s="201"/>
      <c r="J3038" s="204"/>
      <c r="K3038" s="201"/>
      <c r="L3038" s="201"/>
    </row>
    <row r="3039">
      <c r="A3039" s="200"/>
      <c r="B3039" s="201"/>
      <c r="C3039" s="201"/>
      <c r="D3039" s="201"/>
      <c r="E3039" s="201"/>
      <c r="F3039" s="201"/>
      <c r="G3039" s="201"/>
      <c r="H3039" s="203"/>
      <c r="I3039" s="201"/>
      <c r="J3039" s="204"/>
      <c r="K3039" s="201"/>
      <c r="L3039" s="201"/>
    </row>
    <row r="3040">
      <c r="A3040" s="200"/>
      <c r="B3040" s="201"/>
      <c r="C3040" s="201"/>
      <c r="D3040" s="201"/>
      <c r="E3040" s="201"/>
      <c r="F3040" s="201"/>
      <c r="G3040" s="201"/>
      <c r="H3040" s="203"/>
      <c r="I3040" s="201"/>
      <c r="J3040" s="204"/>
      <c r="K3040" s="201"/>
      <c r="L3040" s="201"/>
    </row>
    <row r="3041">
      <c r="A3041" s="200"/>
      <c r="B3041" s="201"/>
      <c r="C3041" s="201"/>
      <c r="D3041" s="201"/>
      <c r="E3041" s="201"/>
      <c r="F3041" s="201"/>
      <c r="G3041" s="201"/>
      <c r="H3041" s="203"/>
      <c r="I3041" s="201"/>
      <c r="J3041" s="204"/>
      <c r="K3041" s="201"/>
      <c r="L3041" s="201"/>
    </row>
    <row r="3042">
      <c r="A3042" s="200"/>
      <c r="B3042" s="201"/>
      <c r="C3042" s="201"/>
      <c r="D3042" s="201"/>
      <c r="E3042" s="201"/>
      <c r="F3042" s="201"/>
      <c r="G3042" s="201"/>
      <c r="H3042" s="203"/>
      <c r="I3042" s="201"/>
      <c r="J3042" s="204"/>
      <c r="K3042" s="201"/>
      <c r="L3042" s="201"/>
    </row>
    <row r="3043">
      <c r="A3043" s="200"/>
      <c r="B3043" s="201"/>
      <c r="C3043" s="201"/>
      <c r="D3043" s="201"/>
      <c r="E3043" s="201"/>
      <c r="F3043" s="201"/>
      <c r="G3043" s="201"/>
      <c r="H3043" s="203"/>
      <c r="I3043" s="201"/>
      <c r="J3043" s="204"/>
      <c r="K3043" s="201"/>
      <c r="L3043" s="201"/>
    </row>
    <row r="3044">
      <c r="A3044" s="200"/>
      <c r="B3044" s="201"/>
      <c r="C3044" s="201"/>
      <c r="D3044" s="201"/>
      <c r="E3044" s="201"/>
      <c r="F3044" s="201"/>
      <c r="G3044" s="201"/>
      <c r="H3044" s="203"/>
      <c r="I3044" s="201"/>
      <c r="J3044" s="204"/>
      <c r="K3044" s="201"/>
      <c r="L3044" s="201"/>
    </row>
    <row r="3045">
      <c r="A3045" s="200"/>
      <c r="B3045" s="201"/>
      <c r="C3045" s="201"/>
      <c r="D3045" s="201"/>
      <c r="E3045" s="201"/>
      <c r="F3045" s="201"/>
      <c r="G3045" s="201"/>
      <c r="H3045" s="203"/>
      <c r="I3045" s="201"/>
      <c r="J3045" s="204"/>
      <c r="K3045" s="201"/>
      <c r="L3045" s="201"/>
    </row>
    <row r="3046">
      <c r="A3046" s="200"/>
      <c r="B3046" s="201"/>
      <c r="C3046" s="201"/>
      <c r="D3046" s="201"/>
      <c r="E3046" s="201"/>
      <c r="F3046" s="201"/>
      <c r="G3046" s="201"/>
      <c r="H3046" s="203"/>
      <c r="I3046" s="201"/>
      <c r="J3046" s="204"/>
      <c r="K3046" s="201"/>
      <c r="L3046" s="201"/>
    </row>
    <row r="3047">
      <c r="A3047" s="200"/>
      <c r="B3047" s="201"/>
      <c r="C3047" s="201"/>
      <c r="D3047" s="201"/>
      <c r="E3047" s="201"/>
      <c r="F3047" s="201"/>
      <c r="G3047" s="201"/>
      <c r="H3047" s="203"/>
      <c r="I3047" s="201"/>
      <c r="J3047" s="204"/>
      <c r="K3047" s="201"/>
      <c r="L3047" s="201"/>
    </row>
    <row r="3048">
      <c r="A3048" s="200"/>
      <c r="B3048" s="201"/>
      <c r="C3048" s="201"/>
      <c r="D3048" s="201"/>
      <c r="E3048" s="201"/>
      <c r="F3048" s="201"/>
      <c r="G3048" s="201"/>
      <c r="H3048" s="203"/>
      <c r="I3048" s="201"/>
      <c r="J3048" s="204"/>
      <c r="K3048" s="201"/>
      <c r="L3048" s="201"/>
    </row>
    <row r="3049">
      <c r="A3049" s="200"/>
      <c r="B3049" s="201"/>
      <c r="C3049" s="201"/>
      <c r="D3049" s="201"/>
      <c r="E3049" s="201"/>
      <c r="F3049" s="201"/>
      <c r="G3049" s="201"/>
      <c r="H3049" s="203"/>
      <c r="I3049" s="201"/>
      <c r="J3049" s="204"/>
      <c r="K3049" s="201"/>
      <c r="L3049" s="201"/>
    </row>
    <row r="3050">
      <c r="A3050" s="200"/>
      <c r="B3050" s="201"/>
      <c r="C3050" s="201"/>
      <c r="D3050" s="201"/>
      <c r="E3050" s="201"/>
      <c r="F3050" s="201"/>
      <c r="G3050" s="201"/>
      <c r="H3050" s="203"/>
      <c r="I3050" s="201"/>
      <c r="J3050" s="204"/>
      <c r="K3050" s="201"/>
      <c r="L3050" s="201"/>
    </row>
    <row r="3051">
      <c r="A3051" s="200"/>
      <c r="B3051" s="201"/>
      <c r="C3051" s="201"/>
      <c r="D3051" s="201"/>
      <c r="E3051" s="201"/>
      <c r="F3051" s="201"/>
      <c r="G3051" s="201"/>
      <c r="H3051" s="203"/>
      <c r="I3051" s="201"/>
      <c r="J3051" s="204"/>
      <c r="K3051" s="201"/>
      <c r="L3051" s="201"/>
    </row>
    <row r="3052">
      <c r="A3052" s="200"/>
      <c r="B3052" s="201"/>
      <c r="C3052" s="201"/>
      <c r="D3052" s="201"/>
      <c r="E3052" s="201"/>
      <c r="F3052" s="201"/>
      <c r="G3052" s="201"/>
      <c r="H3052" s="203"/>
      <c r="I3052" s="201"/>
      <c r="J3052" s="204"/>
      <c r="K3052" s="201"/>
      <c r="L3052" s="201"/>
    </row>
    <row r="3053">
      <c r="A3053" s="200"/>
      <c r="B3053" s="201"/>
      <c r="C3053" s="201"/>
      <c r="D3053" s="201"/>
      <c r="E3053" s="201"/>
      <c r="F3053" s="201"/>
      <c r="G3053" s="201"/>
      <c r="H3053" s="203"/>
      <c r="I3053" s="201"/>
      <c r="J3053" s="204"/>
      <c r="K3053" s="201"/>
      <c r="L3053" s="201"/>
    </row>
    <row r="3054">
      <c r="A3054" s="200"/>
      <c r="B3054" s="201"/>
      <c r="C3054" s="201"/>
      <c r="D3054" s="201"/>
      <c r="E3054" s="201"/>
      <c r="F3054" s="201"/>
      <c r="G3054" s="201"/>
      <c r="H3054" s="203"/>
      <c r="I3054" s="201"/>
      <c r="J3054" s="204"/>
      <c r="K3054" s="201"/>
      <c r="L3054" s="201"/>
    </row>
    <row r="3055">
      <c r="A3055" s="200"/>
      <c r="B3055" s="201"/>
      <c r="C3055" s="201"/>
      <c r="D3055" s="201"/>
      <c r="E3055" s="201"/>
      <c r="F3055" s="201"/>
      <c r="G3055" s="201"/>
      <c r="H3055" s="203"/>
      <c r="I3055" s="201"/>
      <c r="J3055" s="204"/>
      <c r="K3055" s="201"/>
      <c r="L3055" s="201"/>
    </row>
    <row r="3056">
      <c r="A3056" s="200"/>
      <c r="B3056" s="201"/>
      <c r="C3056" s="201"/>
      <c r="D3056" s="201"/>
      <c r="E3056" s="201"/>
      <c r="F3056" s="201"/>
      <c r="G3056" s="201"/>
      <c r="H3056" s="203"/>
      <c r="I3056" s="201"/>
      <c r="J3056" s="204"/>
      <c r="K3056" s="201"/>
      <c r="L3056" s="201"/>
    </row>
    <row r="3057">
      <c r="A3057" s="200"/>
      <c r="B3057" s="201"/>
      <c r="C3057" s="201"/>
      <c r="D3057" s="201"/>
      <c r="E3057" s="201"/>
      <c r="F3057" s="201"/>
      <c r="G3057" s="201"/>
      <c r="H3057" s="203"/>
      <c r="I3057" s="201"/>
      <c r="J3057" s="204"/>
      <c r="K3057" s="201"/>
      <c r="L3057" s="201"/>
    </row>
    <row r="3058">
      <c r="A3058" s="200"/>
      <c r="B3058" s="201"/>
      <c r="C3058" s="201"/>
      <c r="D3058" s="201"/>
      <c r="E3058" s="201"/>
      <c r="F3058" s="201"/>
      <c r="G3058" s="201"/>
      <c r="H3058" s="203"/>
      <c r="I3058" s="201"/>
      <c r="J3058" s="204"/>
      <c r="K3058" s="201"/>
      <c r="L3058" s="201"/>
    </row>
    <row r="3059">
      <c r="A3059" s="200"/>
      <c r="B3059" s="201"/>
      <c r="C3059" s="201"/>
      <c r="D3059" s="201"/>
      <c r="E3059" s="201"/>
      <c r="F3059" s="201"/>
      <c r="G3059" s="201"/>
      <c r="H3059" s="203"/>
      <c r="I3059" s="201"/>
      <c r="J3059" s="204"/>
      <c r="K3059" s="201"/>
      <c r="L3059" s="201"/>
    </row>
    <row r="3060">
      <c r="A3060" s="200"/>
      <c r="B3060" s="201"/>
      <c r="C3060" s="201"/>
      <c r="D3060" s="201"/>
      <c r="E3060" s="201"/>
      <c r="F3060" s="201"/>
      <c r="G3060" s="201"/>
      <c r="H3060" s="203"/>
      <c r="I3060" s="201"/>
      <c r="J3060" s="204"/>
      <c r="K3060" s="201"/>
      <c r="L3060" s="201"/>
    </row>
    <row r="3061">
      <c r="A3061" s="200"/>
      <c r="B3061" s="201"/>
      <c r="C3061" s="201"/>
      <c r="D3061" s="201"/>
      <c r="E3061" s="201"/>
      <c r="F3061" s="201"/>
      <c r="G3061" s="201"/>
      <c r="H3061" s="203"/>
      <c r="I3061" s="201"/>
      <c r="J3061" s="204"/>
      <c r="K3061" s="201"/>
      <c r="L3061" s="201"/>
    </row>
    <row r="3062">
      <c r="A3062" s="200"/>
      <c r="B3062" s="201"/>
      <c r="C3062" s="201"/>
      <c r="D3062" s="201"/>
      <c r="E3062" s="201"/>
      <c r="F3062" s="201"/>
      <c r="G3062" s="201"/>
      <c r="H3062" s="203"/>
      <c r="I3062" s="201"/>
      <c r="J3062" s="204"/>
      <c r="K3062" s="201"/>
      <c r="L3062" s="201"/>
    </row>
    <row r="3063">
      <c r="A3063" s="200"/>
      <c r="B3063" s="201"/>
      <c r="C3063" s="201"/>
      <c r="D3063" s="201"/>
      <c r="E3063" s="201"/>
      <c r="F3063" s="201"/>
      <c r="G3063" s="201"/>
      <c r="H3063" s="203"/>
      <c r="I3063" s="201"/>
      <c r="J3063" s="204"/>
      <c r="K3063" s="201"/>
      <c r="L3063" s="201"/>
    </row>
    <row r="3064">
      <c r="A3064" s="200"/>
      <c r="B3064" s="201"/>
      <c r="C3064" s="201"/>
      <c r="D3064" s="201"/>
      <c r="E3064" s="201"/>
      <c r="F3064" s="201"/>
      <c r="G3064" s="201"/>
      <c r="H3064" s="203"/>
      <c r="I3064" s="201"/>
      <c r="J3064" s="204"/>
      <c r="K3064" s="201"/>
      <c r="L3064" s="201"/>
    </row>
    <row r="3065">
      <c r="A3065" s="200"/>
      <c r="B3065" s="201"/>
      <c r="C3065" s="201"/>
      <c r="D3065" s="201"/>
      <c r="E3065" s="201"/>
      <c r="F3065" s="201"/>
      <c r="G3065" s="201"/>
      <c r="H3065" s="203"/>
      <c r="I3065" s="201"/>
      <c r="J3065" s="204"/>
      <c r="K3065" s="201"/>
      <c r="L3065" s="201"/>
    </row>
    <row r="3066">
      <c r="A3066" s="200"/>
      <c r="B3066" s="201"/>
      <c r="C3066" s="201"/>
      <c r="D3066" s="201"/>
      <c r="E3066" s="201"/>
      <c r="F3066" s="201"/>
      <c r="G3066" s="201"/>
      <c r="H3066" s="203"/>
      <c r="I3066" s="201"/>
      <c r="J3066" s="204"/>
      <c r="K3066" s="201"/>
      <c r="L3066" s="201"/>
    </row>
    <row r="3067">
      <c r="A3067" s="200"/>
      <c r="B3067" s="201"/>
      <c r="C3067" s="201"/>
      <c r="D3067" s="201"/>
      <c r="E3067" s="201"/>
      <c r="F3067" s="201"/>
      <c r="G3067" s="201"/>
      <c r="H3067" s="203"/>
      <c r="I3067" s="201"/>
      <c r="J3067" s="204"/>
      <c r="K3067" s="201"/>
      <c r="L3067" s="201"/>
    </row>
    <row r="3068">
      <c r="A3068" s="200"/>
      <c r="B3068" s="201"/>
      <c r="C3068" s="201"/>
      <c r="D3068" s="201"/>
      <c r="E3068" s="201"/>
      <c r="F3068" s="201"/>
      <c r="G3068" s="201"/>
      <c r="H3068" s="203"/>
      <c r="I3068" s="201"/>
      <c r="J3068" s="204"/>
      <c r="K3068" s="201"/>
      <c r="L3068" s="201"/>
    </row>
    <row r="3069">
      <c r="A3069" s="200"/>
      <c r="B3069" s="201"/>
      <c r="C3069" s="201"/>
      <c r="D3069" s="201"/>
      <c r="E3069" s="201"/>
      <c r="F3069" s="201"/>
      <c r="G3069" s="201"/>
      <c r="H3069" s="203"/>
      <c r="I3069" s="201"/>
      <c r="J3069" s="204"/>
      <c r="K3069" s="201"/>
      <c r="L3069" s="201"/>
    </row>
    <row r="3070">
      <c r="A3070" s="200"/>
      <c r="B3070" s="201"/>
      <c r="C3070" s="201"/>
      <c r="D3070" s="201"/>
      <c r="E3070" s="201"/>
      <c r="F3070" s="201"/>
      <c r="G3070" s="201"/>
      <c r="H3070" s="203"/>
      <c r="I3070" s="201"/>
      <c r="J3070" s="204"/>
      <c r="K3070" s="201"/>
      <c r="L3070" s="201"/>
    </row>
    <row r="3071">
      <c r="A3071" s="200"/>
      <c r="B3071" s="201"/>
      <c r="C3071" s="201"/>
      <c r="D3071" s="201"/>
      <c r="E3071" s="201"/>
      <c r="F3071" s="201"/>
      <c r="G3071" s="201"/>
      <c r="H3071" s="203"/>
      <c r="I3071" s="201"/>
      <c r="J3071" s="204"/>
      <c r="K3071" s="201"/>
      <c r="L3071" s="201"/>
    </row>
    <row r="3072">
      <c r="A3072" s="200"/>
      <c r="B3072" s="201"/>
      <c r="C3072" s="201"/>
      <c r="D3072" s="201"/>
      <c r="E3072" s="201"/>
      <c r="F3072" s="201"/>
      <c r="G3072" s="201"/>
      <c r="H3072" s="203"/>
      <c r="I3072" s="201"/>
      <c r="J3072" s="204"/>
      <c r="K3072" s="201"/>
      <c r="L3072" s="201"/>
    </row>
    <row r="3073">
      <c r="A3073" s="200"/>
      <c r="B3073" s="201"/>
      <c r="C3073" s="201"/>
      <c r="D3073" s="201"/>
      <c r="E3073" s="201"/>
      <c r="F3073" s="201"/>
      <c r="G3073" s="201"/>
      <c r="H3073" s="203"/>
      <c r="I3073" s="201"/>
      <c r="J3073" s="204"/>
      <c r="K3073" s="201"/>
      <c r="L3073" s="201"/>
    </row>
    <row r="3074">
      <c r="A3074" s="200"/>
      <c r="B3074" s="201"/>
      <c r="C3074" s="201"/>
      <c r="D3074" s="201"/>
      <c r="E3074" s="201"/>
      <c r="F3074" s="201"/>
      <c r="G3074" s="201"/>
      <c r="H3074" s="203"/>
      <c r="I3074" s="201"/>
      <c r="J3074" s="204"/>
      <c r="K3074" s="201"/>
      <c r="L3074" s="201"/>
    </row>
    <row r="3075">
      <c r="A3075" s="200"/>
      <c r="B3075" s="201"/>
      <c r="C3075" s="201"/>
      <c r="D3075" s="201"/>
      <c r="E3075" s="201"/>
      <c r="F3075" s="201"/>
      <c r="G3075" s="201"/>
      <c r="H3075" s="203"/>
      <c r="I3075" s="201"/>
      <c r="J3075" s="204"/>
      <c r="K3075" s="201"/>
      <c r="L3075" s="201"/>
    </row>
    <row r="3076">
      <c r="A3076" s="200"/>
      <c r="B3076" s="201"/>
      <c r="C3076" s="201"/>
      <c r="D3076" s="201"/>
      <c r="E3076" s="201"/>
      <c r="F3076" s="201"/>
      <c r="G3076" s="201"/>
      <c r="H3076" s="203"/>
      <c r="I3076" s="201"/>
      <c r="J3076" s="204"/>
      <c r="K3076" s="201"/>
      <c r="L3076" s="201"/>
    </row>
    <row r="3077">
      <c r="A3077" s="200"/>
      <c r="B3077" s="201"/>
      <c r="C3077" s="201"/>
      <c r="D3077" s="201"/>
      <c r="E3077" s="201"/>
      <c r="F3077" s="201"/>
      <c r="G3077" s="201"/>
      <c r="H3077" s="203"/>
      <c r="I3077" s="201"/>
      <c r="J3077" s="204"/>
      <c r="K3077" s="201"/>
      <c r="L3077" s="201"/>
    </row>
    <row r="3078">
      <c r="A3078" s="200"/>
      <c r="B3078" s="201"/>
      <c r="C3078" s="201"/>
      <c r="D3078" s="201"/>
      <c r="E3078" s="201"/>
      <c r="F3078" s="201"/>
      <c r="G3078" s="201"/>
      <c r="H3078" s="203"/>
      <c r="I3078" s="201"/>
      <c r="J3078" s="204"/>
      <c r="K3078" s="201"/>
      <c r="L3078" s="201"/>
    </row>
    <row r="3079">
      <c r="A3079" s="200"/>
      <c r="B3079" s="201"/>
      <c r="C3079" s="201"/>
      <c r="D3079" s="201"/>
      <c r="E3079" s="201"/>
      <c r="F3079" s="201"/>
      <c r="G3079" s="201"/>
      <c r="H3079" s="203"/>
      <c r="I3079" s="201"/>
      <c r="J3079" s="204"/>
      <c r="K3079" s="201"/>
      <c r="L3079" s="201"/>
    </row>
    <row r="3080">
      <c r="A3080" s="200"/>
      <c r="B3080" s="201"/>
      <c r="C3080" s="201"/>
      <c r="D3080" s="201"/>
      <c r="E3080" s="201"/>
      <c r="F3080" s="201"/>
      <c r="G3080" s="201"/>
      <c r="H3080" s="203"/>
      <c r="I3080" s="201"/>
      <c r="J3080" s="204"/>
      <c r="K3080" s="201"/>
      <c r="L3080" s="201"/>
    </row>
    <row r="3081">
      <c r="A3081" s="200"/>
      <c r="B3081" s="201"/>
      <c r="C3081" s="201"/>
      <c r="D3081" s="201"/>
      <c r="E3081" s="201"/>
      <c r="F3081" s="201"/>
      <c r="G3081" s="201"/>
      <c r="H3081" s="203"/>
      <c r="I3081" s="201"/>
      <c r="J3081" s="204"/>
      <c r="K3081" s="201"/>
      <c r="L3081" s="201"/>
    </row>
    <row r="3082">
      <c r="A3082" s="200"/>
      <c r="B3082" s="201"/>
      <c r="C3082" s="201"/>
      <c r="D3082" s="201"/>
      <c r="E3082" s="201"/>
      <c r="F3082" s="201"/>
      <c r="G3082" s="201"/>
      <c r="H3082" s="203"/>
      <c r="I3082" s="201"/>
      <c r="J3082" s="204"/>
      <c r="K3082" s="201"/>
      <c r="L3082" s="201"/>
    </row>
    <row r="3083">
      <c r="A3083" s="200"/>
      <c r="B3083" s="201"/>
      <c r="C3083" s="201"/>
      <c r="D3083" s="201"/>
      <c r="E3083" s="201"/>
      <c r="F3083" s="201"/>
      <c r="G3083" s="201"/>
      <c r="H3083" s="203"/>
      <c r="I3083" s="201"/>
      <c r="J3083" s="204"/>
      <c r="K3083" s="201"/>
      <c r="L3083" s="201"/>
    </row>
    <row r="3084">
      <c r="A3084" s="200"/>
      <c r="B3084" s="201"/>
      <c r="C3084" s="201"/>
      <c r="D3084" s="201"/>
      <c r="E3084" s="201"/>
      <c r="F3084" s="201"/>
      <c r="G3084" s="201"/>
      <c r="H3084" s="203"/>
      <c r="I3084" s="201"/>
      <c r="J3084" s="204"/>
      <c r="K3084" s="201"/>
      <c r="L3084" s="201"/>
    </row>
    <row r="3085">
      <c r="A3085" s="200"/>
      <c r="B3085" s="201"/>
      <c r="C3085" s="201"/>
      <c r="D3085" s="201"/>
      <c r="E3085" s="201"/>
      <c r="F3085" s="201"/>
      <c r="G3085" s="201"/>
      <c r="H3085" s="203"/>
      <c r="I3085" s="201"/>
      <c r="J3085" s="204"/>
      <c r="K3085" s="201"/>
      <c r="L3085" s="201"/>
    </row>
  </sheetData>
  <hyperlinks>
    <hyperlink r:id="rId1" ref="C1662"/>
  </hyperlinks>
  <drawing r:id="rId2"/>
  <tableParts count="2">
    <tablePart r:id="rId5"/>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t="s">
        <v>1</v>
      </c>
      <c r="C1" s="2" t="s">
        <v>2</v>
      </c>
      <c r="D1" s="2" t="s">
        <v>3</v>
      </c>
      <c r="E1" s="2" t="s">
        <v>4</v>
      </c>
      <c r="F1" s="3" t="s">
        <v>5</v>
      </c>
      <c r="G1" s="2" t="s">
        <v>6</v>
      </c>
      <c r="H1" s="2" t="s">
        <v>7</v>
      </c>
      <c r="I1" s="2" t="s">
        <v>8</v>
      </c>
      <c r="J1" s="3" t="s">
        <v>9</v>
      </c>
      <c r="K1" s="2" t="s">
        <v>10</v>
      </c>
      <c r="L1" s="3" t="s">
        <v>11</v>
      </c>
      <c r="M1" s="2" t="s">
        <v>12</v>
      </c>
      <c r="N1" s="3" t="s">
        <v>13</v>
      </c>
      <c r="O1" s="2" t="s">
        <v>14</v>
      </c>
      <c r="P1" s="3" t="s">
        <v>15</v>
      </c>
      <c r="Q1" s="2" t="s">
        <v>16</v>
      </c>
      <c r="R1" s="3" t="s">
        <v>17</v>
      </c>
      <c r="S1" s="2" t="s">
        <v>18</v>
      </c>
      <c r="T1" s="3" t="s">
        <v>19</v>
      </c>
      <c r="U1" s="2" t="s">
        <v>20</v>
      </c>
      <c r="V1" s="2" t="s">
        <v>21</v>
      </c>
      <c r="W1" s="2" t="s">
        <v>22</v>
      </c>
      <c r="X1" s="3" t="s">
        <v>23</v>
      </c>
      <c r="Y1" s="5" t="s">
        <v>24</v>
      </c>
      <c r="Z1" s="2"/>
      <c r="AA1" s="2"/>
    </row>
    <row r="2">
      <c r="A2" s="205" t="s">
        <v>44</v>
      </c>
      <c r="B2" s="17" t="s">
        <v>3757</v>
      </c>
      <c r="C2" s="16">
        <v>663.0</v>
      </c>
      <c r="D2" s="16">
        <v>625.0</v>
      </c>
      <c r="E2" s="16">
        <v>402.0</v>
      </c>
      <c r="F2" s="206">
        <v>0.6063348416289592</v>
      </c>
      <c r="G2" s="16">
        <v>287.0</v>
      </c>
      <c r="H2" s="16">
        <v>336.0</v>
      </c>
      <c r="I2" s="16">
        <v>2.0</v>
      </c>
      <c r="J2" s="24">
        <v>0.5067873303167421</v>
      </c>
      <c r="K2" s="16">
        <v>77.0</v>
      </c>
      <c r="L2" s="206">
        <v>0.11613876319758673</v>
      </c>
      <c r="M2" s="16">
        <v>20.0</v>
      </c>
      <c r="N2" s="206">
        <v>0.11123313902734364</v>
      </c>
      <c r="O2" s="16">
        <v>71.0</v>
      </c>
      <c r="P2" s="206">
        <v>0.10708898944193061</v>
      </c>
    </row>
    <row r="3">
      <c r="A3" s="207"/>
      <c r="B3" s="17" t="s">
        <v>46</v>
      </c>
    </row>
    <row r="4">
      <c r="A4" s="208">
        <v>45047.0</v>
      </c>
      <c r="B4" s="136" t="s">
        <v>47</v>
      </c>
      <c r="C4" s="136">
        <v>205.0</v>
      </c>
      <c r="D4" s="136">
        <v>205.0</v>
      </c>
      <c r="E4" s="136">
        <v>134.0</v>
      </c>
      <c r="F4" s="206">
        <v>0.6536585365853659</v>
      </c>
      <c r="G4" s="136">
        <v>128.0</v>
      </c>
      <c r="H4" s="136">
        <v>70.0</v>
      </c>
      <c r="I4" s="136">
        <v>7.0</v>
      </c>
      <c r="J4" s="206">
        <v>0.34146341463414637</v>
      </c>
      <c r="K4" s="136">
        <v>84.0</v>
      </c>
      <c r="L4" s="206">
        <v>0.4097560975609756</v>
      </c>
      <c r="M4" s="136">
        <v>15.0</v>
      </c>
      <c r="N4" s="206">
        <v>0.07317073170731707</v>
      </c>
      <c r="O4" s="136">
        <v>186.0</v>
      </c>
      <c r="P4" s="206">
        <v>0.9073170731707317</v>
      </c>
      <c r="Q4" s="136"/>
      <c r="R4" s="206"/>
      <c r="S4" s="136">
        <v>10.0</v>
      </c>
      <c r="T4" s="206">
        <v>0.04878048780487805</v>
      </c>
      <c r="U4" s="136">
        <v>4.0</v>
      </c>
      <c r="V4" s="136">
        <v>33.0</v>
      </c>
      <c r="W4" s="136">
        <v>113.0</v>
      </c>
      <c r="X4" s="206">
        <v>0.551219512195122</v>
      </c>
      <c r="Y4" s="136">
        <v>90.0</v>
      </c>
      <c r="Z4" s="136"/>
      <c r="AA4" s="136"/>
    </row>
    <row r="5">
      <c r="A5" s="208">
        <v>45231.0</v>
      </c>
      <c r="B5" s="136" t="s">
        <v>48</v>
      </c>
      <c r="C5" s="136">
        <v>234.0</v>
      </c>
      <c r="D5" s="136">
        <v>234.0</v>
      </c>
      <c r="E5" s="136">
        <v>144.0</v>
      </c>
      <c r="F5" s="206">
        <v>0.6153846153846154</v>
      </c>
      <c r="G5" s="136">
        <v>145.0</v>
      </c>
      <c r="H5" s="136">
        <v>89.0</v>
      </c>
      <c r="I5" s="136">
        <v>0.0</v>
      </c>
      <c r="J5" s="206">
        <v>0.3803418803418803</v>
      </c>
      <c r="K5" s="136">
        <v>171.0</v>
      </c>
      <c r="L5" s="206">
        <v>0.7307692307692307</v>
      </c>
      <c r="M5" s="136">
        <v>67.0</v>
      </c>
      <c r="N5" s="206">
        <v>0.2863247863247863</v>
      </c>
      <c r="O5" s="136">
        <v>3.0</v>
      </c>
      <c r="P5" s="206">
        <v>0.01282051282051282</v>
      </c>
      <c r="Q5" s="136">
        <v>28.0</v>
      </c>
      <c r="R5" s="206">
        <v>0.19444444444444445</v>
      </c>
      <c r="S5" s="136">
        <v>20.0</v>
      </c>
      <c r="T5" s="206">
        <v>0.08547008547008547</v>
      </c>
      <c r="U5" s="136">
        <v>27.0</v>
      </c>
      <c r="V5" s="136">
        <v>46.0</v>
      </c>
      <c r="W5" s="136">
        <v>109.0</v>
      </c>
      <c r="X5" s="206">
        <v>0.4658119658119658</v>
      </c>
      <c r="Y5" s="136"/>
      <c r="Z5" s="136"/>
      <c r="AA5" s="136"/>
    </row>
    <row r="6">
      <c r="A6" s="208">
        <v>45383.0</v>
      </c>
      <c r="B6" s="17" t="s">
        <v>49</v>
      </c>
      <c r="C6" s="136">
        <v>66.0</v>
      </c>
      <c r="D6" s="136">
        <v>66.0</v>
      </c>
      <c r="E6" s="136">
        <v>57.0</v>
      </c>
      <c r="F6" s="206">
        <v>0.8636363636363636</v>
      </c>
      <c r="G6" s="136">
        <v>37.0</v>
      </c>
      <c r="H6" s="136">
        <v>27.0</v>
      </c>
      <c r="I6" s="136">
        <v>2.0</v>
      </c>
      <c r="J6" s="206">
        <v>0.4090909090909091</v>
      </c>
      <c r="K6" s="136">
        <v>46.0</v>
      </c>
      <c r="L6" s="206">
        <v>0.696969696969697</v>
      </c>
      <c r="M6" s="136">
        <v>7.0</v>
      </c>
      <c r="N6" s="206">
        <v>0.10606060606060606</v>
      </c>
      <c r="O6" s="136">
        <v>16.0</v>
      </c>
      <c r="P6" s="206">
        <v>0.24242424242424243</v>
      </c>
      <c r="Q6" s="136">
        <v>20.0</v>
      </c>
      <c r="R6" s="206">
        <v>0.30303030303030304</v>
      </c>
      <c r="S6" s="136">
        <v>3.0</v>
      </c>
      <c r="T6" s="206">
        <v>0.045454545454545456</v>
      </c>
      <c r="U6" s="136">
        <v>15.0</v>
      </c>
      <c r="V6" s="136">
        <v>19.0</v>
      </c>
      <c r="W6" s="136">
        <v>31.0</v>
      </c>
      <c r="X6" s="206">
        <v>0.4696969696969697</v>
      </c>
      <c r="Y6" s="136"/>
      <c r="Z6" s="136"/>
      <c r="AA6" s="136"/>
    </row>
    <row r="7">
      <c r="A7" s="209">
        <v>45754.0</v>
      </c>
      <c r="B7" s="17" t="s">
        <v>50</v>
      </c>
      <c r="C7" s="136">
        <v>105.0</v>
      </c>
      <c r="D7" s="136">
        <v>105.0</v>
      </c>
      <c r="E7" s="17">
        <v>79.0</v>
      </c>
      <c r="F7" s="206">
        <v>0.7523809523809524</v>
      </c>
      <c r="G7" s="136">
        <v>64.0</v>
      </c>
      <c r="H7" s="136">
        <v>40.0</v>
      </c>
      <c r="I7" s="136">
        <v>1.0</v>
      </c>
      <c r="J7" s="206">
        <v>0.38095238095238093</v>
      </c>
      <c r="K7" s="136">
        <v>74.0</v>
      </c>
      <c r="L7" s="206">
        <v>0.7047619047619048</v>
      </c>
      <c r="M7" s="136">
        <v>14.0</v>
      </c>
      <c r="N7" s="206">
        <v>0.13333333333333333</v>
      </c>
      <c r="O7" s="136"/>
      <c r="P7" s="206">
        <v>0.0</v>
      </c>
      <c r="Q7" s="136"/>
      <c r="R7" s="206">
        <v>0.0</v>
      </c>
      <c r="S7" s="17">
        <v>21.0</v>
      </c>
      <c r="T7" s="206">
        <v>0.2</v>
      </c>
      <c r="U7" s="17">
        <v>12.0</v>
      </c>
      <c r="V7" s="17">
        <v>28.0</v>
      </c>
      <c r="W7" s="17">
        <v>48.0</v>
      </c>
      <c r="X7" s="206">
        <v>0.45714285714285713</v>
      </c>
      <c r="Y7" s="136"/>
      <c r="Z7" s="136"/>
      <c r="AA7" s="136"/>
    </row>
    <row r="8">
      <c r="A8" s="208">
        <v>45536.0</v>
      </c>
      <c r="B8" s="136" t="s">
        <v>51</v>
      </c>
      <c r="C8" s="136">
        <v>18.0</v>
      </c>
      <c r="D8" s="136">
        <v>18.0</v>
      </c>
      <c r="E8" s="136">
        <v>18.0</v>
      </c>
      <c r="F8" s="206">
        <v>1.0</v>
      </c>
      <c r="G8" s="136">
        <v>13.0</v>
      </c>
      <c r="H8" s="136">
        <v>5.0</v>
      </c>
      <c r="I8" s="136">
        <v>0.0</v>
      </c>
      <c r="J8" s="206">
        <v>0.2777777777777778</v>
      </c>
      <c r="K8" s="136">
        <v>13.0</v>
      </c>
      <c r="L8" s="206">
        <v>0.7222222222222222</v>
      </c>
      <c r="M8" s="136">
        <v>1.0</v>
      </c>
      <c r="N8" s="206">
        <v>0.05555555555555555</v>
      </c>
      <c r="O8" s="136">
        <v>2.0</v>
      </c>
      <c r="P8" s="206">
        <v>0.1111111111111111</v>
      </c>
      <c r="Q8" s="136">
        <v>5.0</v>
      </c>
      <c r="R8" s="206">
        <v>0.2777777777777778</v>
      </c>
      <c r="S8" s="136">
        <v>2.0</v>
      </c>
      <c r="T8" s="206">
        <v>0.1111111111111111</v>
      </c>
      <c r="U8" s="136">
        <v>8.0</v>
      </c>
      <c r="V8" s="136">
        <v>11.0</v>
      </c>
      <c r="W8" s="136">
        <v>11.0</v>
      </c>
      <c r="X8" s="206">
        <v>0.6111111111111112</v>
      </c>
      <c r="Y8" s="136"/>
      <c r="Z8" s="136" t="s">
        <v>52</v>
      </c>
      <c r="AA8" s="136"/>
    </row>
    <row r="9">
      <c r="A9" s="208">
        <v>45536.0</v>
      </c>
      <c r="B9" s="136" t="s">
        <v>53</v>
      </c>
      <c r="C9" s="136">
        <v>130.0</v>
      </c>
      <c r="D9" s="136">
        <v>126.0</v>
      </c>
      <c r="E9" s="136">
        <v>126.0</v>
      </c>
      <c r="F9" s="206">
        <v>0.9692307692307692</v>
      </c>
      <c r="G9" s="136">
        <v>73.0</v>
      </c>
      <c r="H9" s="136">
        <v>53.0</v>
      </c>
      <c r="I9" s="136">
        <v>0.0</v>
      </c>
      <c r="J9" s="206">
        <v>0.4076923076923077</v>
      </c>
      <c r="K9" s="136">
        <v>61.0</v>
      </c>
      <c r="L9" s="206">
        <v>0.46923076923076923</v>
      </c>
      <c r="M9" s="136">
        <v>8.0</v>
      </c>
      <c r="N9" s="206">
        <v>0.06153846153846154</v>
      </c>
      <c r="O9" s="136">
        <v>23.0</v>
      </c>
      <c r="P9" s="206">
        <v>0.17692307692307693</v>
      </c>
      <c r="Q9" s="136">
        <v>21.0</v>
      </c>
      <c r="R9" s="206">
        <v>0.16666666666666666</v>
      </c>
      <c r="S9" s="136">
        <v>4.0</v>
      </c>
      <c r="T9" s="206">
        <v>0.03076923076923077</v>
      </c>
      <c r="U9" s="136">
        <v>12.0</v>
      </c>
      <c r="V9" s="136">
        <v>26.0</v>
      </c>
      <c r="W9" s="136">
        <v>42.0</v>
      </c>
      <c r="X9" s="206">
        <v>0.3230769230769231</v>
      </c>
      <c r="Y9" s="136"/>
      <c r="Z9" s="136" t="s">
        <v>52</v>
      </c>
      <c r="AA9" s="136"/>
    </row>
    <row r="10">
      <c r="A10" s="209" t="s">
        <v>3758</v>
      </c>
      <c r="B10" s="17" t="s">
        <v>54</v>
      </c>
      <c r="C10" s="136">
        <v>149.0</v>
      </c>
      <c r="D10" s="136">
        <v>148.0</v>
      </c>
      <c r="E10" s="17">
        <v>81.0</v>
      </c>
      <c r="F10" s="206">
        <v>0.5436241610738255</v>
      </c>
      <c r="G10" s="136">
        <v>101.0</v>
      </c>
      <c r="H10" s="136">
        <v>44.0</v>
      </c>
      <c r="I10" s="136">
        <v>3.0</v>
      </c>
      <c r="J10" s="206">
        <v>0.2953020134228188</v>
      </c>
      <c r="K10" s="136">
        <v>0.0</v>
      </c>
      <c r="L10" s="206">
        <v>0.0</v>
      </c>
      <c r="M10" s="136">
        <v>1.0</v>
      </c>
      <c r="N10" s="206">
        <v>0.006711409395973154</v>
      </c>
      <c r="O10" s="136">
        <v>14.0</v>
      </c>
      <c r="P10" s="206">
        <v>0.09395973154362416</v>
      </c>
      <c r="Q10" s="136"/>
      <c r="R10" s="206">
        <v>0.0</v>
      </c>
      <c r="S10" s="17"/>
      <c r="T10" s="206">
        <v>0.0</v>
      </c>
      <c r="U10" s="17"/>
      <c r="V10" s="17"/>
      <c r="W10" s="17"/>
      <c r="X10" s="206">
        <v>0.0</v>
      </c>
      <c r="Y10" s="136"/>
      <c r="Z10" s="136"/>
      <c r="AA10" s="136"/>
    </row>
    <row r="11">
      <c r="A11" s="205" t="s">
        <v>44</v>
      </c>
      <c r="B11" s="17" t="s">
        <v>3759</v>
      </c>
      <c r="C11" s="16">
        <v>907.0</v>
      </c>
      <c r="D11" s="16">
        <v>902.0</v>
      </c>
      <c r="E11" s="16">
        <v>639.0</v>
      </c>
      <c r="F11" s="206">
        <v>0.7045203969128997</v>
      </c>
      <c r="G11" s="16">
        <v>561.0</v>
      </c>
      <c r="H11" s="16">
        <v>328.0</v>
      </c>
      <c r="I11" s="16">
        <v>13.0</v>
      </c>
      <c r="J11" s="206">
        <v>0.36163175303197354</v>
      </c>
      <c r="K11" s="16">
        <v>449.0</v>
      </c>
      <c r="L11" s="206">
        <v>0.49503858875413453</v>
      </c>
      <c r="M11" s="16">
        <v>113.0</v>
      </c>
      <c r="N11" s="206">
        <v>0.12458654906284454</v>
      </c>
      <c r="P11" s="206"/>
    </row>
    <row r="12">
      <c r="A12" s="208"/>
      <c r="B12" s="17" t="s">
        <v>46</v>
      </c>
      <c r="C12" s="136"/>
      <c r="F12" s="206"/>
      <c r="G12" s="136"/>
      <c r="H12" s="136"/>
      <c r="I12" s="136"/>
      <c r="J12" s="206"/>
      <c r="L12" s="206"/>
      <c r="N12" s="206"/>
      <c r="P12" s="206"/>
      <c r="R12" s="206"/>
      <c r="S12" s="136"/>
      <c r="T12" s="206"/>
      <c r="X12" s="206"/>
      <c r="Y12" s="136"/>
      <c r="Z12" s="136"/>
      <c r="AA12" s="136"/>
    </row>
    <row r="13">
      <c r="A13" s="205" t="s">
        <v>67</v>
      </c>
      <c r="B13" s="17" t="s">
        <v>68</v>
      </c>
      <c r="C13" s="136">
        <v>379.0</v>
      </c>
      <c r="D13" s="136">
        <v>379.0</v>
      </c>
      <c r="E13" s="136">
        <v>271.0</v>
      </c>
      <c r="F13" s="206">
        <v>0.7150395778364116</v>
      </c>
      <c r="G13" s="136">
        <v>162.0</v>
      </c>
      <c r="H13" s="136">
        <v>214.0</v>
      </c>
      <c r="I13" s="136">
        <v>3.0</v>
      </c>
      <c r="J13" s="206">
        <v>0.5646437994722955</v>
      </c>
      <c r="K13" s="136">
        <v>142.0</v>
      </c>
      <c r="L13" s="206">
        <v>0.37467018469656993</v>
      </c>
      <c r="M13" s="136">
        <v>27.0</v>
      </c>
      <c r="N13" s="206">
        <v>0.0712401055408971</v>
      </c>
      <c r="O13" s="136">
        <v>274.0</v>
      </c>
      <c r="P13" s="206">
        <v>0.7229551451187335</v>
      </c>
      <c r="Q13" s="136"/>
      <c r="R13" s="206"/>
      <c r="T13" s="206"/>
      <c r="U13" s="136"/>
      <c r="W13" s="136"/>
      <c r="X13" s="206"/>
      <c r="Y13" s="136"/>
      <c r="Z13" s="136"/>
      <c r="AA13" s="136"/>
    </row>
    <row r="14">
      <c r="A14" s="207"/>
      <c r="B14" s="17" t="s">
        <v>46</v>
      </c>
    </row>
    <row r="15">
      <c r="A15" s="14" t="s">
        <v>67</v>
      </c>
      <c r="B15" s="66" t="s">
        <v>3760</v>
      </c>
      <c r="C15" s="16">
        <v>274.0</v>
      </c>
      <c r="D15" s="16">
        <v>274.0</v>
      </c>
      <c r="E15" s="16">
        <v>187.0</v>
      </c>
      <c r="F15" s="8">
        <v>0.6824817518248175</v>
      </c>
      <c r="G15" s="16">
        <v>174.0</v>
      </c>
      <c r="H15" s="16">
        <v>98.0</v>
      </c>
      <c r="I15" s="16">
        <v>2.0</v>
      </c>
      <c r="J15" s="8">
        <v>0.35766423357664234</v>
      </c>
      <c r="K15" s="16">
        <v>152.0</v>
      </c>
      <c r="L15" s="8">
        <v>0.5547445255474452</v>
      </c>
      <c r="M15" s="16">
        <v>53.0</v>
      </c>
      <c r="N15" s="8">
        <v>0.19343065693430658</v>
      </c>
      <c r="O15" s="16">
        <v>135.0</v>
      </c>
      <c r="P15" s="8">
        <v>0.4927007299270073</v>
      </c>
    </row>
    <row r="16">
      <c r="A16" s="207"/>
      <c r="B16" s="17" t="s">
        <v>46</v>
      </c>
    </row>
    <row r="17">
      <c r="A17" s="205" t="s">
        <v>67</v>
      </c>
      <c r="B17" s="17" t="s">
        <v>3761</v>
      </c>
      <c r="C17" s="136">
        <v>114.0</v>
      </c>
      <c r="D17" s="136">
        <v>112.0</v>
      </c>
      <c r="E17" s="136">
        <v>108.0</v>
      </c>
      <c r="F17" s="206">
        <v>0.9473684210526315</v>
      </c>
      <c r="G17" s="136">
        <v>59.0</v>
      </c>
      <c r="H17" s="136">
        <v>53.0</v>
      </c>
      <c r="I17" s="136">
        <v>0.0</v>
      </c>
      <c r="J17" s="206">
        <v>0.4649122807017544</v>
      </c>
      <c r="K17" s="136">
        <v>15.0</v>
      </c>
      <c r="L17" s="206">
        <v>0.20270270270270271</v>
      </c>
      <c r="M17" s="136">
        <v>2.0</v>
      </c>
      <c r="N17" s="206">
        <v>0.017543859649122806</v>
      </c>
      <c r="O17" s="136">
        <v>0.0</v>
      </c>
      <c r="P17" s="206">
        <v>0.0</v>
      </c>
      <c r="Q17" s="136"/>
      <c r="R17" s="206"/>
      <c r="T17" s="206"/>
      <c r="U17" s="136"/>
      <c r="W17" s="136"/>
      <c r="X17" s="206"/>
      <c r="Y17" s="136"/>
      <c r="Z17" s="136"/>
      <c r="AA17" s="136"/>
    </row>
    <row r="18">
      <c r="A18" s="207"/>
      <c r="B18" s="17" t="s">
        <v>46</v>
      </c>
    </row>
    <row r="19">
      <c r="A19" s="205" t="s">
        <v>67</v>
      </c>
      <c r="B19" s="17" t="s">
        <v>3762</v>
      </c>
      <c r="C19" s="136">
        <v>585.0</v>
      </c>
      <c r="D19" s="136">
        <v>585.0</v>
      </c>
      <c r="E19" s="136">
        <v>431.0</v>
      </c>
      <c r="F19" s="206">
        <v>0.7367521367521368</v>
      </c>
      <c r="G19" s="136">
        <v>312.0</v>
      </c>
      <c r="H19" s="136">
        <v>256.0</v>
      </c>
      <c r="I19" s="136">
        <v>17.0</v>
      </c>
      <c r="J19" s="206">
        <v>0.4376068376068376</v>
      </c>
      <c r="K19" s="136">
        <v>198.0</v>
      </c>
      <c r="L19" s="206">
        <v>2.6631312008897887</v>
      </c>
      <c r="M19" s="136">
        <v>32.0</v>
      </c>
      <c r="N19" s="206">
        <v>0.0547008547008547</v>
      </c>
      <c r="O19" s="136">
        <v>373.0</v>
      </c>
      <c r="P19" s="206">
        <v>0.6376068376068376</v>
      </c>
      <c r="Q19" s="136"/>
      <c r="R19" s="206"/>
      <c r="T19" s="206"/>
      <c r="U19" s="136"/>
      <c r="W19" s="136"/>
      <c r="X19" s="206"/>
      <c r="Y19" s="136"/>
      <c r="Z19" s="136"/>
      <c r="AA19" s="136"/>
    </row>
    <row r="20">
      <c r="A20" s="207"/>
      <c r="B20" s="17" t="s">
        <v>46</v>
      </c>
    </row>
    <row r="21">
      <c r="A21" s="205" t="s">
        <v>67</v>
      </c>
      <c r="B21" s="17" t="s">
        <v>3763</v>
      </c>
      <c r="C21" s="16">
        <v>171.0</v>
      </c>
      <c r="D21" s="16">
        <v>170.0</v>
      </c>
      <c r="E21" s="16">
        <v>170.0</v>
      </c>
      <c r="F21" s="206">
        <v>1.0</v>
      </c>
      <c r="G21" s="16">
        <v>121.0</v>
      </c>
      <c r="H21" s="16">
        <v>47.0</v>
      </c>
      <c r="I21" s="16">
        <v>2.0</v>
      </c>
      <c r="J21" s="206">
        <v>0.3728899735611145</v>
      </c>
      <c r="K21" s="16">
        <v>98.0</v>
      </c>
      <c r="L21" s="206">
        <v>0.5730994152046783</v>
      </c>
      <c r="M21" s="16">
        <v>6.0</v>
      </c>
      <c r="N21" s="206">
        <v>0.2727272727272727</v>
      </c>
      <c r="R21" s="206"/>
      <c r="T21" s="206"/>
      <c r="X21" s="206"/>
    </row>
    <row r="22">
      <c r="A22" s="207"/>
    </row>
    <row r="23">
      <c r="A23" s="210"/>
      <c r="B23" s="211" t="s">
        <v>115</v>
      </c>
      <c r="C23" s="212">
        <f t="shared" ref="C23:E23" si="1">SUM(C2:C21)-C11</f>
        <v>3093</v>
      </c>
      <c r="D23" s="212">
        <f t="shared" si="1"/>
        <v>3047</v>
      </c>
      <c r="E23" s="212">
        <f t="shared" si="1"/>
        <v>2208</v>
      </c>
      <c r="F23" s="213">
        <f>E23/C23</f>
        <v>0.7138700291</v>
      </c>
      <c r="G23" s="212">
        <f t="shared" ref="G23:I23" si="2">SUM(G2:G21)-G11</f>
        <v>1676</v>
      </c>
      <c r="H23" s="212">
        <f t="shared" si="2"/>
        <v>1332</v>
      </c>
      <c r="I23" s="212">
        <f t="shared" si="2"/>
        <v>39</v>
      </c>
      <c r="J23" s="213">
        <f>H23/C23</f>
        <v>0.4306498545</v>
      </c>
      <c r="K23" s="212">
        <f>SUM(K2:K21)-K11</f>
        <v>1131</v>
      </c>
      <c r="L23" s="213">
        <f>K23/C23</f>
        <v>0.3656644035</v>
      </c>
      <c r="M23" s="212">
        <f>SUM(M2:M21)-M11</f>
        <v>253</v>
      </c>
      <c r="N23" s="213">
        <f>M23/C23</f>
        <v>0.0817976075</v>
      </c>
      <c r="O23" s="212">
        <f>SUM(O2:O21)-O11</f>
        <v>1097</v>
      </c>
      <c r="P23" s="213">
        <f>O23/C23</f>
        <v>0.3546718396</v>
      </c>
      <c r="Q23" s="212"/>
      <c r="R23" s="212"/>
      <c r="S23" s="212"/>
      <c r="T23" s="212"/>
      <c r="U23" s="212"/>
      <c r="V23" s="212"/>
      <c r="W23" s="212"/>
      <c r="X23" s="212"/>
      <c r="Y23" s="212"/>
      <c r="Z23" s="212"/>
      <c r="AA23" s="212"/>
      <c r="AB23" s="212"/>
      <c r="AC23" s="212"/>
    </row>
    <row r="24">
      <c r="A24" s="122"/>
      <c r="B24" s="131" t="s">
        <v>3764</v>
      </c>
      <c r="C24" s="123">
        <v>2524.5</v>
      </c>
      <c r="D24" s="123">
        <v>2480.0</v>
      </c>
      <c r="E24" s="123">
        <v>1759.0</v>
      </c>
      <c r="F24" s="124">
        <v>0.6967716379481086</v>
      </c>
      <c r="G24" s="123">
        <v>1335.5</v>
      </c>
      <c r="H24" s="123">
        <v>1123.5</v>
      </c>
      <c r="I24" s="123">
        <v>21.0</v>
      </c>
      <c r="J24" s="124">
        <v>0.44503862150920975</v>
      </c>
      <c r="K24" s="123">
        <v>954.0</v>
      </c>
      <c r="L24" s="124">
        <v>0.3778966131907308</v>
      </c>
      <c r="M24" s="123">
        <v>228.0</v>
      </c>
      <c r="N24" s="124">
        <v>0.0903149138443256</v>
      </c>
      <c r="O24" s="123">
        <v>951.0</v>
      </c>
      <c r="P24" s="124">
        <v>0.37670825906120026</v>
      </c>
      <c r="Q24" s="123">
        <v>471.0</v>
      </c>
      <c r="R24" s="124">
        <v>0.26776577600909607</v>
      </c>
      <c r="S24" s="123">
        <v>515.0</v>
      </c>
      <c r="T24" s="124">
        <v>0.20400079223608636</v>
      </c>
      <c r="U24" s="123"/>
      <c r="V24" s="123"/>
      <c r="W24" s="123">
        <v>519.0</v>
      </c>
      <c r="X24" s="124">
        <v>0.20558526440879382</v>
      </c>
      <c r="Y24" s="2"/>
      <c r="Z24" s="2"/>
      <c r="AA24" s="2"/>
    </row>
    <row r="25">
      <c r="A25" s="207"/>
    </row>
    <row r="26">
      <c r="A26" s="207"/>
    </row>
    <row r="27">
      <c r="A27" s="207"/>
    </row>
    <row r="28">
      <c r="A28" s="207"/>
    </row>
    <row r="29">
      <c r="A29" s="207"/>
    </row>
    <row r="30">
      <c r="A30" s="207"/>
    </row>
    <row r="31">
      <c r="A31" s="207"/>
    </row>
    <row r="32">
      <c r="A32" s="207"/>
    </row>
    <row r="33">
      <c r="A33" s="207"/>
    </row>
    <row r="34">
      <c r="A34" s="207"/>
    </row>
    <row r="35">
      <c r="A35" s="207"/>
    </row>
    <row r="36">
      <c r="A36" s="207"/>
    </row>
    <row r="37">
      <c r="A37" s="207"/>
    </row>
    <row r="38">
      <c r="A38" s="207"/>
    </row>
    <row r="39">
      <c r="A39" s="207"/>
    </row>
    <row r="40">
      <c r="A40" s="207"/>
    </row>
    <row r="41">
      <c r="A41" s="207"/>
    </row>
    <row r="42">
      <c r="A42" s="207"/>
    </row>
    <row r="43">
      <c r="A43" s="207"/>
    </row>
    <row r="44">
      <c r="A44" s="207"/>
    </row>
    <row r="45">
      <c r="A45" s="207"/>
    </row>
    <row r="46">
      <c r="A46" s="207"/>
    </row>
    <row r="47">
      <c r="A47" s="207"/>
    </row>
    <row r="48">
      <c r="A48" s="207"/>
    </row>
    <row r="49">
      <c r="A49" s="207"/>
    </row>
    <row r="50">
      <c r="A50" s="207"/>
    </row>
    <row r="51">
      <c r="A51" s="207"/>
    </row>
    <row r="52">
      <c r="A52" s="207"/>
    </row>
    <row r="53">
      <c r="A53" s="207"/>
    </row>
    <row r="54">
      <c r="A54" s="207"/>
    </row>
    <row r="55">
      <c r="A55" s="207"/>
    </row>
    <row r="56">
      <c r="A56" s="207"/>
    </row>
    <row r="57">
      <c r="A57" s="207"/>
    </row>
    <row r="58">
      <c r="A58" s="207"/>
    </row>
    <row r="59">
      <c r="A59" s="207"/>
    </row>
    <row r="60">
      <c r="A60" s="207"/>
    </row>
    <row r="61">
      <c r="A61" s="207"/>
    </row>
    <row r="62">
      <c r="A62" s="207"/>
    </row>
    <row r="63">
      <c r="A63" s="207"/>
    </row>
    <row r="64">
      <c r="A64" s="207"/>
    </row>
    <row r="65">
      <c r="A65" s="207"/>
    </row>
    <row r="66">
      <c r="A66" s="207"/>
    </row>
    <row r="67">
      <c r="A67" s="207"/>
    </row>
    <row r="68">
      <c r="A68" s="207"/>
    </row>
    <row r="69">
      <c r="A69" s="207"/>
    </row>
    <row r="70">
      <c r="A70" s="207"/>
    </row>
    <row r="71">
      <c r="A71" s="207"/>
    </row>
    <row r="72">
      <c r="A72" s="207"/>
    </row>
    <row r="73">
      <c r="A73" s="207"/>
    </row>
    <row r="74">
      <c r="A74" s="207"/>
    </row>
    <row r="75">
      <c r="A75" s="207"/>
    </row>
    <row r="76">
      <c r="A76" s="207"/>
    </row>
    <row r="77">
      <c r="A77" s="207"/>
    </row>
    <row r="78">
      <c r="A78" s="207"/>
    </row>
    <row r="79">
      <c r="A79" s="207"/>
    </row>
    <row r="80">
      <c r="A80" s="207"/>
    </row>
    <row r="81">
      <c r="A81" s="207"/>
    </row>
    <row r="82">
      <c r="A82" s="207"/>
    </row>
    <row r="83">
      <c r="A83" s="207"/>
    </row>
    <row r="84">
      <c r="A84" s="207"/>
    </row>
    <row r="85">
      <c r="A85" s="207"/>
    </row>
    <row r="86">
      <c r="A86" s="207"/>
    </row>
    <row r="87">
      <c r="A87" s="207"/>
    </row>
    <row r="88">
      <c r="A88" s="207"/>
    </row>
    <row r="89">
      <c r="A89" s="207"/>
    </row>
    <row r="90">
      <c r="A90" s="207"/>
    </row>
    <row r="91">
      <c r="A91" s="207"/>
    </row>
    <row r="92">
      <c r="A92" s="207"/>
    </row>
    <row r="93">
      <c r="A93" s="207"/>
    </row>
    <row r="94">
      <c r="A94" s="207"/>
    </row>
    <row r="95">
      <c r="A95" s="207"/>
    </row>
    <row r="96">
      <c r="A96" s="207"/>
    </row>
    <row r="97">
      <c r="A97" s="207"/>
    </row>
    <row r="98">
      <c r="A98" s="207"/>
    </row>
    <row r="99">
      <c r="A99" s="207"/>
    </row>
    <row r="100">
      <c r="A100" s="207"/>
    </row>
    <row r="101">
      <c r="A101" s="207"/>
    </row>
    <row r="102">
      <c r="A102" s="207"/>
    </row>
    <row r="103">
      <c r="A103" s="207"/>
    </row>
    <row r="104">
      <c r="A104" s="207"/>
    </row>
    <row r="105">
      <c r="A105" s="207"/>
    </row>
    <row r="106">
      <c r="A106" s="207"/>
    </row>
    <row r="107">
      <c r="A107" s="207"/>
    </row>
    <row r="108">
      <c r="A108" s="207"/>
    </row>
    <row r="109">
      <c r="A109" s="207"/>
    </row>
    <row r="110">
      <c r="A110" s="207"/>
    </row>
    <row r="111">
      <c r="A111" s="207"/>
    </row>
    <row r="112">
      <c r="A112" s="207"/>
    </row>
    <row r="113">
      <c r="A113" s="207"/>
    </row>
    <row r="114">
      <c r="A114" s="207"/>
    </row>
    <row r="115">
      <c r="A115" s="207"/>
    </row>
    <row r="116">
      <c r="A116" s="207"/>
    </row>
    <row r="117">
      <c r="A117" s="207"/>
    </row>
    <row r="118">
      <c r="A118" s="207"/>
    </row>
    <row r="119">
      <c r="A119" s="207"/>
    </row>
    <row r="120">
      <c r="A120" s="207"/>
    </row>
    <row r="121">
      <c r="A121" s="207"/>
    </row>
    <row r="122">
      <c r="A122" s="207"/>
    </row>
    <row r="123">
      <c r="A123" s="207"/>
    </row>
    <row r="124">
      <c r="A124" s="207"/>
    </row>
    <row r="125">
      <c r="A125" s="207"/>
    </row>
    <row r="126">
      <c r="A126" s="207"/>
    </row>
    <row r="127">
      <c r="A127" s="207"/>
    </row>
    <row r="128">
      <c r="A128" s="207"/>
    </row>
    <row r="129">
      <c r="A129" s="207"/>
    </row>
    <row r="130">
      <c r="A130" s="207"/>
    </row>
    <row r="131">
      <c r="A131" s="207"/>
    </row>
    <row r="132">
      <c r="A132" s="207"/>
    </row>
    <row r="133">
      <c r="A133" s="207"/>
    </row>
    <row r="134">
      <c r="A134" s="207"/>
    </row>
    <row r="135">
      <c r="A135" s="207"/>
    </row>
    <row r="136">
      <c r="A136" s="207"/>
    </row>
    <row r="137">
      <c r="A137" s="207"/>
    </row>
    <row r="138">
      <c r="A138" s="207"/>
    </row>
    <row r="139">
      <c r="A139" s="207"/>
    </row>
    <row r="140">
      <c r="A140" s="207"/>
    </row>
    <row r="141">
      <c r="A141" s="207"/>
    </row>
    <row r="142">
      <c r="A142" s="207"/>
    </row>
    <row r="143">
      <c r="A143" s="207"/>
    </row>
    <row r="144">
      <c r="A144" s="207"/>
    </row>
    <row r="145">
      <c r="A145" s="207"/>
    </row>
    <row r="146">
      <c r="A146" s="207"/>
    </row>
    <row r="147">
      <c r="A147" s="207"/>
    </row>
    <row r="148">
      <c r="A148" s="207"/>
    </row>
    <row r="149">
      <c r="A149" s="207"/>
    </row>
    <row r="150">
      <c r="A150" s="207"/>
    </row>
    <row r="151">
      <c r="A151" s="207"/>
    </row>
    <row r="152">
      <c r="A152" s="207"/>
    </row>
    <row r="153">
      <c r="A153" s="207"/>
    </row>
    <row r="154">
      <c r="A154" s="207"/>
    </row>
    <row r="155">
      <c r="A155" s="207"/>
    </row>
    <row r="156">
      <c r="A156" s="207"/>
    </row>
    <row r="157">
      <c r="A157" s="207"/>
    </row>
    <row r="158">
      <c r="A158" s="207"/>
    </row>
    <row r="159">
      <c r="A159" s="207"/>
    </row>
    <row r="160">
      <c r="A160" s="207"/>
    </row>
    <row r="161">
      <c r="A161" s="207"/>
    </row>
    <row r="162">
      <c r="A162" s="207"/>
    </row>
    <row r="163">
      <c r="A163" s="207"/>
    </row>
    <row r="164">
      <c r="A164" s="207"/>
    </row>
    <row r="165">
      <c r="A165" s="207"/>
    </row>
    <row r="166">
      <c r="A166" s="207"/>
    </row>
    <row r="167">
      <c r="A167" s="207"/>
    </row>
    <row r="168">
      <c r="A168" s="207"/>
    </row>
    <row r="169">
      <c r="A169" s="207"/>
    </row>
    <row r="170">
      <c r="A170" s="207"/>
    </row>
    <row r="171">
      <c r="A171" s="207"/>
    </row>
    <row r="172">
      <c r="A172" s="207"/>
    </row>
    <row r="173">
      <c r="A173" s="207"/>
    </row>
    <row r="174">
      <c r="A174" s="207"/>
    </row>
    <row r="175">
      <c r="A175" s="207"/>
    </row>
    <row r="176">
      <c r="A176" s="207"/>
    </row>
    <row r="177">
      <c r="A177" s="207"/>
    </row>
    <row r="178">
      <c r="A178" s="207"/>
    </row>
    <row r="179">
      <c r="A179" s="207"/>
    </row>
    <row r="180">
      <c r="A180" s="207"/>
    </row>
    <row r="181">
      <c r="A181" s="207"/>
    </row>
    <row r="182">
      <c r="A182" s="207"/>
    </row>
    <row r="183">
      <c r="A183" s="207"/>
    </row>
    <row r="184">
      <c r="A184" s="207"/>
    </row>
    <row r="185">
      <c r="A185" s="207"/>
    </row>
    <row r="186">
      <c r="A186" s="207"/>
    </row>
    <row r="187">
      <c r="A187" s="207"/>
    </row>
    <row r="188">
      <c r="A188" s="207"/>
    </row>
    <row r="189">
      <c r="A189" s="207"/>
    </row>
    <row r="190">
      <c r="A190" s="207"/>
    </row>
    <row r="191">
      <c r="A191" s="207"/>
    </row>
    <row r="192">
      <c r="A192" s="207"/>
    </row>
    <row r="193">
      <c r="A193" s="207"/>
    </row>
    <row r="194">
      <c r="A194" s="207"/>
    </row>
    <row r="195">
      <c r="A195" s="207"/>
    </row>
    <row r="196">
      <c r="A196" s="207"/>
    </row>
    <row r="197">
      <c r="A197" s="207"/>
    </row>
    <row r="198">
      <c r="A198" s="207"/>
    </row>
    <row r="199">
      <c r="A199" s="207"/>
    </row>
    <row r="200">
      <c r="A200" s="207"/>
    </row>
    <row r="201">
      <c r="A201" s="207"/>
    </row>
    <row r="202">
      <c r="A202" s="207"/>
    </row>
    <row r="203">
      <c r="A203" s="207"/>
    </row>
    <row r="204">
      <c r="A204" s="207"/>
    </row>
    <row r="205">
      <c r="A205" s="207"/>
    </row>
    <row r="206">
      <c r="A206" s="207"/>
    </row>
    <row r="207">
      <c r="A207" s="207"/>
    </row>
    <row r="208">
      <c r="A208" s="207"/>
    </row>
    <row r="209">
      <c r="A209" s="207"/>
    </row>
    <row r="210">
      <c r="A210" s="207"/>
    </row>
    <row r="211">
      <c r="A211" s="207"/>
    </row>
    <row r="212">
      <c r="A212" s="207"/>
    </row>
    <row r="213">
      <c r="A213" s="207"/>
    </row>
    <row r="214">
      <c r="A214" s="207"/>
    </row>
    <row r="215">
      <c r="A215" s="207"/>
    </row>
    <row r="216">
      <c r="A216" s="207"/>
    </row>
    <row r="217">
      <c r="A217" s="207"/>
    </row>
    <row r="218">
      <c r="A218" s="207"/>
    </row>
    <row r="219">
      <c r="A219" s="207"/>
    </row>
    <row r="220">
      <c r="A220" s="207"/>
    </row>
    <row r="221">
      <c r="A221" s="207"/>
    </row>
    <row r="222">
      <c r="A222" s="207"/>
    </row>
    <row r="223">
      <c r="A223" s="207"/>
    </row>
    <row r="224">
      <c r="A224" s="207"/>
    </row>
    <row r="225">
      <c r="A225" s="207"/>
    </row>
    <row r="226">
      <c r="A226" s="207"/>
    </row>
    <row r="227">
      <c r="A227" s="207"/>
    </row>
    <row r="228">
      <c r="A228" s="207"/>
    </row>
    <row r="229">
      <c r="A229" s="207"/>
    </row>
    <row r="230">
      <c r="A230" s="207"/>
    </row>
    <row r="231">
      <c r="A231" s="207"/>
    </row>
    <row r="232">
      <c r="A232" s="207"/>
    </row>
    <row r="233">
      <c r="A233" s="207"/>
    </row>
    <row r="234">
      <c r="A234" s="207"/>
    </row>
    <row r="235">
      <c r="A235" s="207"/>
    </row>
    <row r="236">
      <c r="A236" s="207"/>
    </row>
    <row r="237">
      <c r="A237" s="207"/>
    </row>
    <row r="238">
      <c r="A238" s="207"/>
    </row>
    <row r="239">
      <c r="A239" s="207"/>
    </row>
    <row r="240">
      <c r="A240" s="207"/>
    </row>
    <row r="241">
      <c r="A241" s="207"/>
    </row>
    <row r="242">
      <c r="A242" s="207"/>
    </row>
    <row r="243">
      <c r="A243" s="207"/>
    </row>
    <row r="244">
      <c r="A244" s="207"/>
    </row>
    <row r="245">
      <c r="A245" s="207"/>
    </row>
    <row r="246">
      <c r="A246" s="207"/>
    </row>
    <row r="247">
      <c r="A247" s="207"/>
    </row>
    <row r="248">
      <c r="A248" s="207"/>
    </row>
    <row r="249">
      <c r="A249" s="207"/>
    </row>
    <row r="250">
      <c r="A250" s="207"/>
    </row>
    <row r="251">
      <c r="A251" s="207"/>
    </row>
    <row r="252">
      <c r="A252" s="207"/>
    </row>
    <row r="253">
      <c r="A253" s="207"/>
    </row>
    <row r="254">
      <c r="A254" s="207"/>
    </row>
    <row r="255">
      <c r="A255" s="207"/>
    </row>
    <row r="256">
      <c r="A256" s="207"/>
    </row>
    <row r="257">
      <c r="A257" s="207"/>
    </row>
    <row r="258">
      <c r="A258" s="207"/>
    </row>
    <row r="259">
      <c r="A259" s="207"/>
    </row>
    <row r="260">
      <c r="A260" s="207"/>
    </row>
    <row r="261">
      <c r="A261" s="207"/>
    </row>
    <row r="262">
      <c r="A262" s="207"/>
    </row>
    <row r="263">
      <c r="A263" s="207"/>
    </row>
    <row r="264">
      <c r="A264" s="207"/>
    </row>
    <row r="265">
      <c r="A265" s="207"/>
    </row>
    <row r="266">
      <c r="A266" s="207"/>
    </row>
    <row r="267">
      <c r="A267" s="207"/>
    </row>
    <row r="268">
      <c r="A268" s="207"/>
    </row>
    <row r="269">
      <c r="A269" s="207"/>
    </row>
    <row r="270">
      <c r="A270" s="207"/>
    </row>
    <row r="271">
      <c r="A271" s="207"/>
    </row>
    <row r="272">
      <c r="A272" s="207"/>
    </row>
    <row r="273">
      <c r="A273" s="207"/>
    </row>
    <row r="274">
      <c r="A274" s="207"/>
    </row>
    <row r="275">
      <c r="A275" s="207"/>
    </row>
    <row r="276">
      <c r="A276" s="207"/>
    </row>
    <row r="277">
      <c r="A277" s="207"/>
    </row>
    <row r="278">
      <c r="A278" s="207"/>
    </row>
    <row r="279">
      <c r="A279" s="207"/>
    </row>
    <row r="280">
      <c r="A280" s="207"/>
    </row>
    <row r="281">
      <c r="A281" s="207"/>
    </row>
    <row r="282">
      <c r="A282" s="207"/>
    </row>
    <row r="283">
      <c r="A283" s="207"/>
    </row>
    <row r="284">
      <c r="A284" s="207"/>
    </row>
    <row r="285">
      <c r="A285" s="207"/>
    </row>
    <row r="286">
      <c r="A286" s="207"/>
    </row>
    <row r="287">
      <c r="A287" s="207"/>
    </row>
    <row r="288">
      <c r="A288" s="207"/>
    </row>
    <row r="289">
      <c r="A289" s="207"/>
    </row>
    <row r="290">
      <c r="A290" s="207"/>
    </row>
    <row r="291">
      <c r="A291" s="207"/>
    </row>
    <row r="292">
      <c r="A292" s="207"/>
    </row>
    <row r="293">
      <c r="A293" s="207"/>
    </row>
    <row r="294">
      <c r="A294" s="207"/>
    </row>
    <row r="295">
      <c r="A295" s="207"/>
    </row>
    <row r="296">
      <c r="A296" s="207"/>
    </row>
    <row r="297">
      <c r="A297" s="207"/>
    </row>
    <row r="298">
      <c r="A298" s="207"/>
    </row>
    <row r="299">
      <c r="A299" s="207"/>
    </row>
    <row r="300">
      <c r="A300" s="207"/>
    </row>
    <row r="301">
      <c r="A301" s="207"/>
    </row>
    <row r="302">
      <c r="A302" s="207"/>
    </row>
    <row r="303">
      <c r="A303" s="207"/>
    </row>
    <row r="304">
      <c r="A304" s="207"/>
    </row>
    <row r="305">
      <c r="A305" s="207"/>
    </row>
    <row r="306">
      <c r="A306" s="207"/>
    </row>
    <row r="307">
      <c r="A307" s="207"/>
    </row>
    <row r="308">
      <c r="A308" s="207"/>
    </row>
    <row r="309">
      <c r="A309" s="207"/>
    </row>
    <row r="310">
      <c r="A310" s="207"/>
    </row>
    <row r="311">
      <c r="A311" s="207"/>
    </row>
    <row r="312">
      <c r="A312" s="207"/>
    </row>
    <row r="313">
      <c r="A313" s="207"/>
    </row>
    <row r="314">
      <c r="A314" s="207"/>
    </row>
    <row r="315">
      <c r="A315" s="207"/>
    </row>
    <row r="316">
      <c r="A316" s="207"/>
    </row>
    <row r="317">
      <c r="A317" s="207"/>
    </row>
    <row r="318">
      <c r="A318" s="207"/>
    </row>
    <row r="319">
      <c r="A319" s="207"/>
    </row>
    <row r="320">
      <c r="A320" s="207"/>
    </row>
    <row r="321">
      <c r="A321" s="207"/>
    </row>
    <row r="322">
      <c r="A322" s="207"/>
    </row>
    <row r="323">
      <c r="A323" s="207"/>
    </row>
    <row r="324">
      <c r="A324" s="207"/>
    </row>
    <row r="325">
      <c r="A325" s="207"/>
    </row>
    <row r="326">
      <c r="A326" s="207"/>
    </row>
    <row r="327">
      <c r="A327" s="207"/>
    </row>
    <row r="328">
      <c r="A328" s="207"/>
    </row>
    <row r="329">
      <c r="A329" s="207"/>
    </row>
    <row r="330">
      <c r="A330" s="207"/>
    </row>
    <row r="331">
      <c r="A331" s="207"/>
    </row>
    <row r="332">
      <c r="A332" s="207"/>
    </row>
    <row r="333">
      <c r="A333" s="207"/>
    </row>
    <row r="334">
      <c r="A334" s="207"/>
    </row>
    <row r="335">
      <c r="A335" s="207"/>
    </row>
    <row r="336">
      <c r="A336" s="207"/>
    </row>
    <row r="337">
      <c r="A337" s="207"/>
    </row>
    <row r="338">
      <c r="A338" s="207"/>
    </row>
    <row r="339">
      <c r="A339" s="207"/>
    </row>
    <row r="340">
      <c r="A340" s="207"/>
    </row>
    <row r="341">
      <c r="A341" s="207"/>
    </row>
    <row r="342">
      <c r="A342" s="207"/>
    </row>
    <row r="343">
      <c r="A343" s="207"/>
    </row>
    <row r="344">
      <c r="A344" s="207"/>
    </row>
    <row r="345">
      <c r="A345" s="207"/>
    </row>
    <row r="346">
      <c r="A346" s="207"/>
    </row>
    <row r="347">
      <c r="A347" s="207"/>
    </row>
    <row r="348">
      <c r="A348" s="207"/>
    </row>
    <row r="349">
      <c r="A349" s="207"/>
    </row>
    <row r="350">
      <c r="A350" s="207"/>
    </row>
    <row r="351">
      <c r="A351" s="207"/>
    </row>
    <row r="352">
      <c r="A352" s="207"/>
    </row>
    <row r="353">
      <c r="A353" s="207"/>
    </row>
    <row r="354">
      <c r="A354" s="207"/>
    </row>
    <row r="355">
      <c r="A355" s="207"/>
    </row>
    <row r="356">
      <c r="A356" s="207"/>
    </row>
    <row r="357">
      <c r="A357" s="207"/>
    </row>
    <row r="358">
      <c r="A358" s="207"/>
    </row>
    <row r="359">
      <c r="A359" s="207"/>
    </row>
    <row r="360">
      <c r="A360" s="207"/>
    </row>
    <row r="361">
      <c r="A361" s="207"/>
    </row>
    <row r="362">
      <c r="A362" s="207"/>
    </row>
    <row r="363">
      <c r="A363" s="207"/>
    </row>
    <row r="364">
      <c r="A364" s="207"/>
    </row>
    <row r="365">
      <c r="A365" s="207"/>
    </row>
    <row r="366">
      <c r="A366" s="207"/>
    </row>
    <row r="367">
      <c r="A367" s="207"/>
    </row>
    <row r="368">
      <c r="A368" s="207"/>
    </row>
    <row r="369">
      <c r="A369" s="207"/>
    </row>
    <row r="370">
      <c r="A370" s="207"/>
    </row>
    <row r="371">
      <c r="A371" s="207"/>
    </row>
    <row r="372">
      <c r="A372" s="207"/>
    </row>
    <row r="373">
      <c r="A373" s="207"/>
    </row>
    <row r="374">
      <c r="A374" s="207"/>
    </row>
    <row r="375">
      <c r="A375" s="207"/>
    </row>
    <row r="376">
      <c r="A376" s="207"/>
    </row>
    <row r="377">
      <c r="A377" s="207"/>
    </row>
    <row r="378">
      <c r="A378" s="207"/>
    </row>
    <row r="379">
      <c r="A379" s="207"/>
    </row>
    <row r="380">
      <c r="A380" s="207"/>
    </row>
    <row r="381">
      <c r="A381" s="207"/>
    </row>
    <row r="382">
      <c r="A382" s="207"/>
    </row>
    <row r="383">
      <c r="A383" s="207"/>
    </row>
    <row r="384">
      <c r="A384" s="207"/>
    </row>
    <row r="385">
      <c r="A385" s="207"/>
    </row>
    <row r="386">
      <c r="A386" s="207"/>
    </row>
    <row r="387">
      <c r="A387" s="207"/>
    </row>
    <row r="388">
      <c r="A388" s="207"/>
    </row>
    <row r="389">
      <c r="A389" s="207"/>
    </row>
    <row r="390">
      <c r="A390" s="207"/>
    </row>
    <row r="391">
      <c r="A391" s="207"/>
    </row>
    <row r="392">
      <c r="A392" s="207"/>
    </row>
    <row r="393">
      <c r="A393" s="207"/>
    </row>
    <row r="394">
      <c r="A394" s="207"/>
    </row>
    <row r="395">
      <c r="A395" s="207"/>
    </row>
    <row r="396">
      <c r="A396" s="207"/>
    </row>
    <row r="397">
      <c r="A397" s="207"/>
    </row>
    <row r="398">
      <c r="A398" s="207"/>
    </row>
    <row r="399">
      <c r="A399" s="207"/>
    </row>
    <row r="400">
      <c r="A400" s="207"/>
    </row>
    <row r="401">
      <c r="A401" s="207"/>
    </row>
    <row r="402">
      <c r="A402" s="207"/>
    </row>
    <row r="403">
      <c r="A403" s="207"/>
    </row>
    <row r="404">
      <c r="A404" s="207"/>
    </row>
    <row r="405">
      <c r="A405" s="207"/>
    </row>
    <row r="406">
      <c r="A406" s="207"/>
    </row>
    <row r="407">
      <c r="A407" s="207"/>
    </row>
    <row r="408">
      <c r="A408" s="207"/>
    </row>
    <row r="409">
      <c r="A409" s="207"/>
    </row>
    <row r="410">
      <c r="A410" s="207"/>
    </row>
    <row r="411">
      <c r="A411" s="207"/>
    </row>
    <row r="412">
      <c r="A412" s="207"/>
    </row>
    <row r="413">
      <c r="A413" s="207"/>
    </row>
    <row r="414">
      <c r="A414" s="207"/>
    </row>
    <row r="415">
      <c r="A415" s="207"/>
    </row>
    <row r="416">
      <c r="A416" s="207"/>
    </row>
    <row r="417">
      <c r="A417" s="207"/>
    </row>
    <row r="418">
      <c r="A418" s="207"/>
    </row>
    <row r="419">
      <c r="A419" s="207"/>
    </row>
    <row r="420">
      <c r="A420" s="207"/>
    </row>
    <row r="421">
      <c r="A421" s="207"/>
    </row>
    <row r="422">
      <c r="A422" s="207"/>
    </row>
    <row r="423">
      <c r="A423" s="207"/>
    </row>
    <row r="424">
      <c r="A424" s="207"/>
    </row>
    <row r="425">
      <c r="A425" s="207"/>
    </row>
    <row r="426">
      <c r="A426" s="207"/>
    </row>
    <row r="427">
      <c r="A427" s="207"/>
    </row>
    <row r="428">
      <c r="A428" s="207"/>
    </row>
    <row r="429">
      <c r="A429" s="207"/>
    </row>
    <row r="430">
      <c r="A430" s="207"/>
    </row>
    <row r="431">
      <c r="A431" s="207"/>
    </row>
    <row r="432">
      <c r="A432" s="207"/>
    </row>
    <row r="433">
      <c r="A433" s="207"/>
    </row>
    <row r="434">
      <c r="A434" s="207"/>
    </row>
    <row r="435">
      <c r="A435" s="207"/>
    </row>
    <row r="436">
      <c r="A436" s="207"/>
    </row>
    <row r="437">
      <c r="A437" s="207"/>
    </row>
    <row r="438">
      <c r="A438" s="207"/>
    </row>
    <row r="439">
      <c r="A439" s="207"/>
    </row>
    <row r="440">
      <c r="A440" s="207"/>
    </row>
    <row r="441">
      <c r="A441" s="207"/>
    </row>
    <row r="442">
      <c r="A442" s="207"/>
    </row>
    <row r="443">
      <c r="A443" s="207"/>
    </row>
    <row r="444">
      <c r="A444" s="207"/>
    </row>
    <row r="445">
      <c r="A445" s="207"/>
    </row>
    <row r="446">
      <c r="A446" s="207"/>
    </row>
    <row r="447">
      <c r="A447" s="207"/>
    </row>
    <row r="448">
      <c r="A448" s="207"/>
    </row>
    <row r="449">
      <c r="A449" s="207"/>
    </row>
    <row r="450">
      <c r="A450" s="207"/>
    </row>
    <row r="451">
      <c r="A451" s="207"/>
    </row>
    <row r="452">
      <c r="A452" s="207"/>
    </row>
    <row r="453">
      <c r="A453" s="207"/>
    </row>
    <row r="454">
      <c r="A454" s="207"/>
    </row>
    <row r="455">
      <c r="A455" s="207"/>
    </row>
    <row r="456">
      <c r="A456" s="207"/>
    </row>
    <row r="457">
      <c r="A457" s="207"/>
    </row>
    <row r="458">
      <c r="A458" s="207"/>
    </row>
    <row r="459">
      <c r="A459" s="207"/>
    </row>
    <row r="460">
      <c r="A460" s="207"/>
    </row>
    <row r="461">
      <c r="A461" s="207"/>
    </row>
    <row r="462">
      <c r="A462" s="207"/>
    </row>
    <row r="463">
      <c r="A463" s="207"/>
    </row>
    <row r="464">
      <c r="A464" s="207"/>
    </row>
    <row r="465">
      <c r="A465" s="207"/>
    </row>
    <row r="466">
      <c r="A466" s="207"/>
    </row>
    <row r="467">
      <c r="A467" s="207"/>
    </row>
    <row r="468">
      <c r="A468" s="207"/>
    </row>
    <row r="469">
      <c r="A469" s="207"/>
    </row>
    <row r="470">
      <c r="A470" s="207"/>
    </row>
    <row r="471">
      <c r="A471" s="207"/>
    </row>
    <row r="472">
      <c r="A472" s="207"/>
    </row>
    <row r="473">
      <c r="A473" s="207"/>
    </row>
    <row r="474">
      <c r="A474" s="207"/>
    </row>
    <row r="475">
      <c r="A475" s="207"/>
    </row>
    <row r="476">
      <c r="A476" s="207"/>
    </row>
    <row r="477">
      <c r="A477" s="207"/>
    </row>
    <row r="478">
      <c r="A478" s="207"/>
    </row>
    <row r="479">
      <c r="A479" s="207"/>
    </row>
    <row r="480">
      <c r="A480" s="207"/>
    </row>
    <row r="481">
      <c r="A481" s="207"/>
    </row>
    <row r="482">
      <c r="A482" s="207"/>
    </row>
    <row r="483">
      <c r="A483" s="207"/>
    </row>
    <row r="484">
      <c r="A484" s="207"/>
    </row>
    <row r="485">
      <c r="A485" s="207"/>
    </row>
    <row r="486">
      <c r="A486" s="207"/>
    </row>
    <row r="487">
      <c r="A487" s="207"/>
    </row>
    <row r="488">
      <c r="A488" s="207"/>
    </row>
    <row r="489">
      <c r="A489" s="207"/>
    </row>
    <row r="490">
      <c r="A490" s="207"/>
    </row>
    <row r="491">
      <c r="A491" s="207"/>
    </row>
    <row r="492">
      <c r="A492" s="207"/>
    </row>
    <row r="493">
      <c r="A493" s="207"/>
    </row>
    <row r="494">
      <c r="A494" s="207"/>
    </row>
    <row r="495">
      <c r="A495" s="207"/>
    </row>
    <row r="496">
      <c r="A496" s="207"/>
    </row>
    <row r="497">
      <c r="A497" s="207"/>
    </row>
    <row r="498">
      <c r="A498" s="207"/>
    </row>
    <row r="499">
      <c r="A499" s="207"/>
    </row>
    <row r="500">
      <c r="A500" s="207"/>
    </row>
    <row r="501">
      <c r="A501" s="207"/>
    </row>
    <row r="502">
      <c r="A502" s="207"/>
    </row>
    <row r="503">
      <c r="A503" s="207"/>
    </row>
    <row r="504">
      <c r="A504" s="207"/>
    </row>
    <row r="505">
      <c r="A505" s="207"/>
    </row>
    <row r="506">
      <c r="A506" s="207"/>
    </row>
    <row r="507">
      <c r="A507" s="207"/>
    </row>
    <row r="508">
      <c r="A508" s="207"/>
    </row>
    <row r="509">
      <c r="A509" s="207"/>
    </row>
    <row r="510">
      <c r="A510" s="207"/>
    </row>
    <row r="511">
      <c r="A511" s="207"/>
    </row>
    <row r="512">
      <c r="A512" s="207"/>
    </row>
    <row r="513">
      <c r="A513" s="207"/>
    </row>
    <row r="514">
      <c r="A514" s="207"/>
    </row>
    <row r="515">
      <c r="A515" s="207"/>
    </row>
    <row r="516">
      <c r="A516" s="207"/>
    </row>
    <row r="517">
      <c r="A517" s="207"/>
    </row>
    <row r="518">
      <c r="A518" s="207"/>
    </row>
    <row r="519">
      <c r="A519" s="207"/>
    </row>
    <row r="520">
      <c r="A520" s="207"/>
    </row>
    <row r="521">
      <c r="A521" s="207"/>
    </row>
    <row r="522">
      <c r="A522" s="207"/>
    </row>
    <row r="523">
      <c r="A523" s="207"/>
    </row>
    <row r="524">
      <c r="A524" s="207"/>
    </row>
    <row r="525">
      <c r="A525" s="207"/>
    </row>
    <row r="526">
      <c r="A526" s="207"/>
    </row>
    <row r="527">
      <c r="A527" s="207"/>
    </row>
    <row r="528">
      <c r="A528" s="207"/>
    </row>
    <row r="529">
      <c r="A529" s="207"/>
    </row>
    <row r="530">
      <c r="A530" s="207"/>
    </row>
    <row r="531">
      <c r="A531" s="207"/>
    </row>
    <row r="532">
      <c r="A532" s="207"/>
    </row>
    <row r="533">
      <c r="A533" s="207"/>
    </row>
    <row r="534">
      <c r="A534" s="207"/>
    </row>
    <row r="535">
      <c r="A535" s="207"/>
    </row>
    <row r="536">
      <c r="A536" s="207"/>
    </row>
    <row r="537">
      <c r="A537" s="207"/>
    </row>
    <row r="538">
      <c r="A538" s="207"/>
    </row>
    <row r="539">
      <c r="A539" s="207"/>
    </row>
    <row r="540">
      <c r="A540" s="207"/>
    </row>
    <row r="541">
      <c r="A541" s="207"/>
    </row>
    <row r="542">
      <c r="A542" s="207"/>
    </row>
    <row r="543">
      <c r="A543" s="207"/>
    </row>
    <row r="544">
      <c r="A544" s="207"/>
    </row>
    <row r="545">
      <c r="A545" s="207"/>
    </row>
    <row r="546">
      <c r="A546" s="207"/>
    </row>
    <row r="547">
      <c r="A547" s="207"/>
    </row>
    <row r="548">
      <c r="A548" s="207"/>
    </row>
    <row r="549">
      <c r="A549" s="207"/>
    </row>
    <row r="550">
      <c r="A550" s="207"/>
    </row>
    <row r="551">
      <c r="A551" s="207"/>
    </row>
    <row r="552">
      <c r="A552" s="207"/>
    </row>
    <row r="553">
      <c r="A553" s="207"/>
    </row>
    <row r="554">
      <c r="A554" s="207"/>
    </row>
    <row r="555">
      <c r="A555" s="207"/>
    </row>
    <row r="556">
      <c r="A556" s="207"/>
    </row>
    <row r="557">
      <c r="A557" s="207"/>
    </row>
    <row r="558">
      <c r="A558" s="207"/>
    </row>
    <row r="559">
      <c r="A559" s="207"/>
    </row>
    <row r="560">
      <c r="A560" s="207"/>
    </row>
    <row r="561">
      <c r="A561" s="207"/>
    </row>
    <row r="562">
      <c r="A562" s="207"/>
    </row>
    <row r="563">
      <c r="A563" s="207"/>
    </row>
    <row r="564">
      <c r="A564" s="207"/>
    </row>
    <row r="565">
      <c r="A565" s="207"/>
    </row>
    <row r="566">
      <c r="A566" s="207"/>
    </row>
    <row r="567">
      <c r="A567" s="207"/>
    </row>
    <row r="568">
      <c r="A568" s="207"/>
    </row>
    <row r="569">
      <c r="A569" s="207"/>
    </row>
    <row r="570">
      <c r="A570" s="207"/>
    </row>
    <row r="571">
      <c r="A571" s="207"/>
    </row>
    <row r="572">
      <c r="A572" s="207"/>
    </row>
    <row r="573">
      <c r="A573" s="207"/>
    </row>
    <row r="574">
      <c r="A574" s="207"/>
    </row>
    <row r="575">
      <c r="A575" s="207"/>
    </row>
    <row r="576">
      <c r="A576" s="207"/>
    </row>
    <row r="577">
      <c r="A577" s="207"/>
    </row>
    <row r="578">
      <c r="A578" s="207"/>
    </row>
    <row r="579">
      <c r="A579" s="207"/>
    </row>
    <row r="580">
      <c r="A580" s="207"/>
    </row>
    <row r="581">
      <c r="A581" s="207"/>
    </row>
    <row r="582">
      <c r="A582" s="207"/>
    </row>
    <row r="583">
      <c r="A583" s="207"/>
    </row>
    <row r="584">
      <c r="A584" s="207"/>
    </row>
    <row r="585">
      <c r="A585" s="207"/>
    </row>
    <row r="586">
      <c r="A586" s="207"/>
    </row>
    <row r="587">
      <c r="A587" s="207"/>
    </row>
    <row r="588">
      <c r="A588" s="207"/>
    </row>
    <row r="589">
      <c r="A589" s="207"/>
    </row>
    <row r="590">
      <c r="A590" s="207"/>
    </row>
    <row r="591">
      <c r="A591" s="207"/>
    </row>
    <row r="592">
      <c r="A592" s="207"/>
    </row>
    <row r="593">
      <c r="A593" s="207"/>
    </row>
    <row r="594">
      <c r="A594" s="207"/>
    </row>
    <row r="595">
      <c r="A595" s="207"/>
    </row>
    <row r="596">
      <c r="A596" s="207"/>
    </row>
    <row r="597">
      <c r="A597" s="207"/>
    </row>
    <row r="598">
      <c r="A598" s="207"/>
    </row>
    <row r="599">
      <c r="A599" s="207"/>
    </row>
    <row r="600">
      <c r="A600" s="207"/>
    </row>
    <row r="601">
      <c r="A601" s="207"/>
    </row>
    <row r="602">
      <c r="A602" s="207"/>
    </row>
    <row r="603">
      <c r="A603" s="207"/>
    </row>
    <row r="604">
      <c r="A604" s="207"/>
    </row>
    <row r="605">
      <c r="A605" s="207"/>
    </row>
    <row r="606">
      <c r="A606" s="207"/>
    </row>
    <row r="607">
      <c r="A607" s="207"/>
    </row>
    <row r="608">
      <c r="A608" s="207"/>
    </row>
    <row r="609">
      <c r="A609" s="207"/>
    </row>
    <row r="610">
      <c r="A610" s="207"/>
    </row>
    <row r="611">
      <c r="A611" s="207"/>
    </row>
    <row r="612">
      <c r="A612" s="207"/>
    </row>
    <row r="613">
      <c r="A613" s="207"/>
    </row>
    <row r="614">
      <c r="A614" s="207"/>
    </row>
    <row r="615">
      <c r="A615" s="207"/>
    </row>
    <row r="616">
      <c r="A616" s="207"/>
    </row>
    <row r="617">
      <c r="A617" s="207"/>
    </row>
    <row r="618">
      <c r="A618" s="207"/>
    </row>
    <row r="619">
      <c r="A619" s="207"/>
    </row>
    <row r="620">
      <c r="A620" s="207"/>
    </row>
    <row r="621">
      <c r="A621" s="207"/>
    </row>
    <row r="622">
      <c r="A622" s="207"/>
    </row>
    <row r="623">
      <c r="A623" s="207"/>
    </row>
    <row r="624">
      <c r="A624" s="207"/>
    </row>
    <row r="625">
      <c r="A625" s="207"/>
    </row>
    <row r="626">
      <c r="A626" s="207"/>
    </row>
    <row r="627">
      <c r="A627" s="207"/>
    </row>
    <row r="628">
      <c r="A628" s="207"/>
    </row>
    <row r="629">
      <c r="A629" s="207"/>
    </row>
    <row r="630">
      <c r="A630" s="207"/>
    </row>
    <row r="631">
      <c r="A631" s="207"/>
    </row>
    <row r="632">
      <c r="A632" s="207"/>
    </row>
    <row r="633">
      <c r="A633" s="207"/>
    </row>
    <row r="634">
      <c r="A634" s="207"/>
    </row>
    <row r="635">
      <c r="A635" s="207"/>
    </row>
    <row r="636">
      <c r="A636" s="207"/>
    </row>
    <row r="637">
      <c r="A637" s="207"/>
    </row>
    <row r="638">
      <c r="A638" s="207"/>
    </row>
    <row r="639">
      <c r="A639" s="207"/>
    </row>
    <row r="640">
      <c r="A640" s="207"/>
    </row>
    <row r="641">
      <c r="A641" s="207"/>
    </row>
    <row r="642">
      <c r="A642" s="207"/>
    </row>
    <row r="643">
      <c r="A643" s="207"/>
    </row>
    <row r="644">
      <c r="A644" s="207"/>
    </row>
    <row r="645">
      <c r="A645" s="207"/>
    </row>
    <row r="646">
      <c r="A646" s="207"/>
    </row>
    <row r="647">
      <c r="A647" s="207"/>
    </row>
    <row r="648">
      <c r="A648" s="207"/>
    </row>
    <row r="649">
      <c r="A649" s="207"/>
    </row>
    <row r="650">
      <c r="A650" s="207"/>
    </row>
    <row r="651">
      <c r="A651" s="207"/>
    </row>
    <row r="652">
      <c r="A652" s="207"/>
    </row>
    <row r="653">
      <c r="A653" s="207"/>
    </row>
    <row r="654">
      <c r="A654" s="207"/>
    </row>
    <row r="655">
      <c r="A655" s="207"/>
    </row>
    <row r="656">
      <c r="A656" s="207"/>
    </row>
    <row r="657">
      <c r="A657" s="207"/>
    </row>
    <row r="658">
      <c r="A658" s="207"/>
    </row>
    <row r="659">
      <c r="A659" s="207"/>
    </row>
    <row r="660">
      <c r="A660" s="207"/>
    </row>
    <row r="661">
      <c r="A661" s="207"/>
    </row>
    <row r="662">
      <c r="A662" s="207"/>
    </row>
    <row r="663">
      <c r="A663" s="207"/>
    </row>
    <row r="664">
      <c r="A664" s="207"/>
    </row>
    <row r="665">
      <c r="A665" s="207"/>
    </row>
    <row r="666">
      <c r="A666" s="207"/>
    </row>
    <row r="667">
      <c r="A667" s="207"/>
    </row>
    <row r="668">
      <c r="A668" s="207"/>
    </row>
    <row r="669">
      <c r="A669" s="207"/>
    </row>
    <row r="670">
      <c r="A670" s="207"/>
    </row>
    <row r="671">
      <c r="A671" s="207"/>
    </row>
    <row r="672">
      <c r="A672" s="207"/>
    </row>
    <row r="673">
      <c r="A673" s="207"/>
    </row>
    <row r="674">
      <c r="A674" s="207"/>
    </row>
    <row r="675">
      <c r="A675" s="207"/>
    </row>
    <row r="676">
      <c r="A676" s="207"/>
    </row>
    <row r="677">
      <c r="A677" s="207"/>
    </row>
    <row r="678">
      <c r="A678" s="207"/>
    </row>
    <row r="679">
      <c r="A679" s="207"/>
    </row>
    <row r="680">
      <c r="A680" s="207"/>
    </row>
    <row r="681">
      <c r="A681" s="207"/>
    </row>
    <row r="682">
      <c r="A682" s="207"/>
    </row>
    <row r="683">
      <c r="A683" s="207"/>
    </row>
    <row r="684">
      <c r="A684" s="207"/>
    </row>
    <row r="685">
      <c r="A685" s="207"/>
    </row>
    <row r="686">
      <c r="A686" s="207"/>
    </row>
    <row r="687">
      <c r="A687" s="207"/>
    </row>
    <row r="688">
      <c r="A688" s="207"/>
    </row>
    <row r="689">
      <c r="A689" s="207"/>
    </row>
    <row r="690">
      <c r="A690" s="207"/>
    </row>
    <row r="691">
      <c r="A691" s="207"/>
    </row>
    <row r="692">
      <c r="A692" s="207"/>
    </row>
    <row r="693">
      <c r="A693" s="207"/>
    </row>
    <row r="694">
      <c r="A694" s="207"/>
    </row>
    <row r="695">
      <c r="A695" s="207"/>
    </row>
    <row r="696">
      <c r="A696" s="207"/>
    </row>
    <row r="697">
      <c r="A697" s="207"/>
    </row>
    <row r="698">
      <c r="A698" s="207"/>
    </row>
    <row r="699">
      <c r="A699" s="207"/>
    </row>
    <row r="700">
      <c r="A700" s="207"/>
    </row>
    <row r="701">
      <c r="A701" s="207"/>
    </row>
    <row r="702">
      <c r="A702" s="207"/>
    </row>
    <row r="703">
      <c r="A703" s="207"/>
    </row>
    <row r="704">
      <c r="A704" s="207"/>
    </row>
    <row r="705">
      <c r="A705" s="207"/>
    </row>
    <row r="706">
      <c r="A706" s="207"/>
    </row>
    <row r="707">
      <c r="A707" s="207"/>
    </row>
    <row r="708">
      <c r="A708" s="207"/>
    </row>
    <row r="709">
      <c r="A709" s="207"/>
    </row>
    <row r="710">
      <c r="A710" s="207"/>
    </row>
    <row r="711">
      <c r="A711" s="207"/>
    </row>
    <row r="712">
      <c r="A712" s="207"/>
    </row>
    <row r="713">
      <c r="A713" s="207"/>
    </row>
    <row r="714">
      <c r="A714" s="207"/>
    </row>
    <row r="715">
      <c r="A715" s="207"/>
    </row>
    <row r="716">
      <c r="A716" s="207"/>
    </row>
    <row r="717">
      <c r="A717" s="207"/>
    </row>
    <row r="718">
      <c r="A718" s="207"/>
    </row>
    <row r="719">
      <c r="A719" s="207"/>
    </row>
    <row r="720">
      <c r="A720" s="207"/>
    </row>
    <row r="721">
      <c r="A721" s="207"/>
    </row>
    <row r="722">
      <c r="A722" s="207"/>
    </row>
    <row r="723">
      <c r="A723" s="207"/>
    </row>
    <row r="724">
      <c r="A724" s="207"/>
    </row>
    <row r="725">
      <c r="A725" s="207"/>
    </row>
    <row r="726">
      <c r="A726" s="207"/>
    </row>
    <row r="727">
      <c r="A727" s="207"/>
    </row>
    <row r="728">
      <c r="A728" s="207"/>
    </row>
    <row r="729">
      <c r="A729" s="207"/>
    </row>
    <row r="730">
      <c r="A730" s="207"/>
    </row>
    <row r="731">
      <c r="A731" s="207"/>
    </row>
    <row r="732">
      <c r="A732" s="207"/>
    </row>
    <row r="733">
      <c r="A733" s="207"/>
    </row>
    <row r="734">
      <c r="A734" s="207"/>
    </row>
    <row r="735">
      <c r="A735" s="207"/>
    </row>
    <row r="736">
      <c r="A736" s="207"/>
    </row>
    <row r="737">
      <c r="A737" s="207"/>
    </row>
    <row r="738">
      <c r="A738" s="207"/>
    </row>
    <row r="739">
      <c r="A739" s="207"/>
    </row>
    <row r="740">
      <c r="A740" s="207"/>
    </row>
    <row r="741">
      <c r="A741" s="207"/>
    </row>
    <row r="742">
      <c r="A742" s="207"/>
    </row>
    <row r="743">
      <c r="A743" s="207"/>
    </row>
    <row r="744">
      <c r="A744" s="207"/>
    </row>
    <row r="745">
      <c r="A745" s="207"/>
    </row>
    <row r="746">
      <c r="A746" s="207"/>
    </row>
    <row r="747">
      <c r="A747" s="207"/>
    </row>
    <row r="748">
      <c r="A748" s="207"/>
    </row>
    <row r="749">
      <c r="A749" s="207"/>
    </row>
    <row r="750">
      <c r="A750" s="207"/>
    </row>
    <row r="751">
      <c r="A751" s="207"/>
    </row>
    <row r="752">
      <c r="A752" s="207"/>
    </row>
    <row r="753">
      <c r="A753" s="207"/>
    </row>
    <row r="754">
      <c r="A754" s="207"/>
    </row>
    <row r="755">
      <c r="A755" s="207"/>
    </row>
    <row r="756">
      <c r="A756" s="207"/>
    </row>
    <row r="757">
      <c r="A757" s="207"/>
    </row>
    <row r="758">
      <c r="A758" s="207"/>
    </row>
    <row r="759">
      <c r="A759" s="207"/>
    </row>
    <row r="760">
      <c r="A760" s="207"/>
    </row>
    <row r="761">
      <c r="A761" s="207"/>
    </row>
    <row r="762">
      <c r="A762" s="207"/>
    </row>
    <row r="763">
      <c r="A763" s="207"/>
    </row>
    <row r="764">
      <c r="A764" s="207"/>
    </row>
    <row r="765">
      <c r="A765" s="207"/>
    </row>
    <row r="766">
      <c r="A766" s="207"/>
    </row>
    <row r="767">
      <c r="A767" s="207"/>
    </row>
    <row r="768">
      <c r="A768" s="207"/>
    </row>
    <row r="769">
      <c r="A769" s="207"/>
    </row>
    <row r="770">
      <c r="A770" s="207"/>
    </row>
    <row r="771">
      <c r="A771" s="207"/>
    </row>
    <row r="772">
      <c r="A772" s="207"/>
    </row>
    <row r="773">
      <c r="A773" s="207"/>
    </row>
    <row r="774">
      <c r="A774" s="207"/>
    </row>
    <row r="775">
      <c r="A775" s="207"/>
    </row>
    <row r="776">
      <c r="A776" s="207"/>
    </row>
    <row r="777">
      <c r="A777" s="207"/>
    </row>
    <row r="778">
      <c r="A778" s="207"/>
    </row>
    <row r="779">
      <c r="A779" s="207"/>
    </row>
    <row r="780">
      <c r="A780" s="207"/>
    </row>
    <row r="781">
      <c r="A781" s="207"/>
    </row>
    <row r="782">
      <c r="A782" s="207"/>
    </row>
    <row r="783">
      <c r="A783" s="207"/>
    </row>
    <row r="784">
      <c r="A784" s="207"/>
    </row>
    <row r="785">
      <c r="A785" s="207"/>
    </row>
    <row r="786">
      <c r="A786" s="207"/>
    </row>
    <row r="787">
      <c r="A787" s="207"/>
    </row>
    <row r="788">
      <c r="A788" s="207"/>
    </row>
    <row r="789">
      <c r="A789" s="207"/>
    </row>
    <row r="790">
      <c r="A790" s="207"/>
    </row>
    <row r="791">
      <c r="A791" s="207"/>
    </row>
    <row r="792">
      <c r="A792" s="207"/>
    </row>
    <row r="793">
      <c r="A793" s="207"/>
    </row>
    <row r="794">
      <c r="A794" s="207"/>
    </row>
    <row r="795">
      <c r="A795" s="207"/>
    </row>
    <row r="796">
      <c r="A796" s="207"/>
    </row>
    <row r="797">
      <c r="A797" s="207"/>
    </row>
    <row r="798">
      <c r="A798" s="207"/>
    </row>
    <row r="799">
      <c r="A799" s="207"/>
    </row>
    <row r="800">
      <c r="A800" s="207"/>
    </row>
    <row r="801">
      <c r="A801" s="207"/>
    </row>
    <row r="802">
      <c r="A802" s="207"/>
    </row>
    <row r="803">
      <c r="A803" s="207"/>
    </row>
    <row r="804">
      <c r="A804" s="207"/>
    </row>
    <row r="805">
      <c r="A805" s="207"/>
    </row>
    <row r="806">
      <c r="A806" s="207"/>
    </row>
    <row r="807">
      <c r="A807" s="207"/>
    </row>
    <row r="808">
      <c r="A808" s="207"/>
    </row>
    <row r="809">
      <c r="A809" s="207"/>
    </row>
    <row r="810">
      <c r="A810" s="207"/>
    </row>
    <row r="811">
      <c r="A811" s="207"/>
    </row>
    <row r="812">
      <c r="A812" s="207"/>
    </row>
    <row r="813">
      <c r="A813" s="207"/>
    </row>
    <row r="814">
      <c r="A814" s="207"/>
    </row>
    <row r="815">
      <c r="A815" s="207"/>
    </row>
    <row r="816">
      <c r="A816" s="207"/>
    </row>
    <row r="817">
      <c r="A817" s="207"/>
    </row>
    <row r="818">
      <c r="A818" s="207"/>
    </row>
    <row r="819">
      <c r="A819" s="207"/>
    </row>
    <row r="820">
      <c r="A820" s="207"/>
    </row>
    <row r="821">
      <c r="A821" s="207"/>
    </row>
    <row r="822">
      <c r="A822" s="207"/>
    </row>
    <row r="823">
      <c r="A823" s="207"/>
    </row>
    <row r="824">
      <c r="A824" s="207"/>
    </row>
    <row r="825">
      <c r="A825" s="207"/>
    </row>
    <row r="826">
      <c r="A826" s="207"/>
    </row>
    <row r="827">
      <c r="A827" s="207"/>
    </row>
    <row r="828">
      <c r="A828" s="207"/>
    </row>
    <row r="829">
      <c r="A829" s="207"/>
    </row>
    <row r="830">
      <c r="A830" s="207"/>
    </row>
    <row r="831">
      <c r="A831" s="207"/>
    </row>
    <row r="832">
      <c r="A832" s="207"/>
    </row>
    <row r="833">
      <c r="A833" s="207"/>
    </row>
    <row r="834">
      <c r="A834" s="207"/>
    </row>
    <row r="835">
      <c r="A835" s="207"/>
    </row>
    <row r="836">
      <c r="A836" s="207"/>
    </row>
    <row r="837">
      <c r="A837" s="207"/>
    </row>
    <row r="838">
      <c r="A838" s="207"/>
    </row>
    <row r="839">
      <c r="A839" s="207"/>
    </row>
    <row r="840">
      <c r="A840" s="207"/>
    </row>
    <row r="841">
      <c r="A841" s="207"/>
    </row>
    <row r="842">
      <c r="A842" s="207"/>
    </row>
    <row r="843">
      <c r="A843" s="207"/>
    </row>
    <row r="844">
      <c r="A844" s="207"/>
    </row>
    <row r="845">
      <c r="A845" s="207"/>
    </row>
    <row r="846">
      <c r="A846" s="207"/>
    </row>
    <row r="847">
      <c r="A847" s="207"/>
    </row>
    <row r="848">
      <c r="A848" s="207"/>
    </row>
    <row r="849">
      <c r="A849" s="207"/>
    </row>
    <row r="850">
      <c r="A850" s="207"/>
    </row>
    <row r="851">
      <c r="A851" s="207"/>
    </row>
    <row r="852">
      <c r="A852" s="207"/>
    </row>
    <row r="853">
      <c r="A853" s="207"/>
    </row>
    <row r="854">
      <c r="A854" s="207"/>
    </row>
    <row r="855">
      <c r="A855" s="207"/>
    </row>
    <row r="856">
      <c r="A856" s="207"/>
    </row>
    <row r="857">
      <c r="A857" s="207"/>
    </row>
    <row r="858">
      <c r="A858" s="207"/>
    </row>
    <row r="859">
      <c r="A859" s="207"/>
    </row>
    <row r="860">
      <c r="A860" s="207"/>
    </row>
    <row r="861">
      <c r="A861" s="207"/>
    </row>
    <row r="862">
      <c r="A862" s="207"/>
    </row>
    <row r="863">
      <c r="A863" s="207"/>
    </row>
    <row r="864">
      <c r="A864" s="207"/>
    </row>
    <row r="865">
      <c r="A865" s="207"/>
    </row>
    <row r="866">
      <c r="A866" s="207"/>
    </row>
    <row r="867">
      <c r="A867" s="207"/>
    </row>
    <row r="868">
      <c r="A868" s="207"/>
    </row>
    <row r="869">
      <c r="A869" s="207"/>
    </row>
    <row r="870">
      <c r="A870" s="207"/>
    </row>
    <row r="871">
      <c r="A871" s="207"/>
    </row>
    <row r="872">
      <c r="A872" s="207"/>
    </row>
    <row r="873">
      <c r="A873" s="207"/>
    </row>
    <row r="874">
      <c r="A874" s="207"/>
    </row>
    <row r="875">
      <c r="A875" s="207"/>
    </row>
    <row r="876">
      <c r="A876" s="207"/>
    </row>
    <row r="877">
      <c r="A877" s="207"/>
    </row>
    <row r="878">
      <c r="A878" s="207"/>
    </row>
    <row r="879">
      <c r="A879" s="207"/>
    </row>
    <row r="880">
      <c r="A880" s="207"/>
    </row>
    <row r="881">
      <c r="A881" s="207"/>
    </row>
    <row r="882">
      <c r="A882" s="207"/>
    </row>
    <row r="883">
      <c r="A883" s="207"/>
    </row>
    <row r="884">
      <c r="A884" s="207"/>
    </row>
    <row r="885">
      <c r="A885" s="207"/>
    </row>
    <row r="886">
      <c r="A886" s="207"/>
    </row>
    <row r="887">
      <c r="A887" s="207"/>
    </row>
    <row r="888">
      <c r="A888" s="207"/>
    </row>
    <row r="889">
      <c r="A889" s="207"/>
    </row>
    <row r="890">
      <c r="A890" s="207"/>
    </row>
    <row r="891">
      <c r="A891" s="207"/>
    </row>
    <row r="892">
      <c r="A892" s="207"/>
    </row>
    <row r="893">
      <c r="A893" s="207"/>
    </row>
    <row r="894">
      <c r="A894" s="207"/>
    </row>
    <row r="895">
      <c r="A895" s="207"/>
    </row>
    <row r="896">
      <c r="A896" s="207"/>
    </row>
    <row r="897">
      <c r="A897" s="207"/>
    </row>
    <row r="898">
      <c r="A898" s="207"/>
    </row>
    <row r="899">
      <c r="A899" s="207"/>
    </row>
    <row r="900">
      <c r="A900" s="207"/>
    </row>
    <row r="901">
      <c r="A901" s="207"/>
    </row>
    <row r="902">
      <c r="A902" s="207"/>
    </row>
    <row r="903">
      <c r="A903" s="207"/>
    </row>
    <row r="904">
      <c r="A904" s="207"/>
    </row>
    <row r="905">
      <c r="A905" s="207"/>
    </row>
    <row r="906">
      <c r="A906" s="207"/>
    </row>
    <row r="907">
      <c r="A907" s="207"/>
    </row>
    <row r="908">
      <c r="A908" s="207"/>
    </row>
    <row r="909">
      <c r="A909" s="207"/>
    </row>
    <row r="910">
      <c r="A910" s="207"/>
    </row>
    <row r="911">
      <c r="A911" s="207"/>
    </row>
    <row r="912">
      <c r="A912" s="207"/>
    </row>
    <row r="913">
      <c r="A913" s="207"/>
    </row>
    <row r="914">
      <c r="A914" s="207"/>
    </row>
    <row r="915">
      <c r="A915" s="207"/>
    </row>
    <row r="916">
      <c r="A916" s="207"/>
    </row>
    <row r="917">
      <c r="A917" s="207"/>
    </row>
    <row r="918">
      <c r="A918" s="207"/>
    </row>
    <row r="919">
      <c r="A919" s="207"/>
    </row>
    <row r="920">
      <c r="A920" s="207"/>
    </row>
    <row r="921">
      <c r="A921" s="207"/>
    </row>
    <row r="922">
      <c r="A922" s="207"/>
    </row>
    <row r="923">
      <c r="A923" s="207"/>
    </row>
    <row r="924">
      <c r="A924" s="207"/>
    </row>
    <row r="925">
      <c r="A925" s="207"/>
    </row>
    <row r="926">
      <c r="A926" s="207"/>
    </row>
    <row r="927">
      <c r="A927" s="207"/>
    </row>
    <row r="928">
      <c r="A928" s="207"/>
    </row>
    <row r="929">
      <c r="A929" s="207"/>
    </row>
    <row r="930">
      <c r="A930" s="207"/>
    </row>
    <row r="931">
      <c r="A931" s="207"/>
    </row>
    <row r="932">
      <c r="A932" s="207"/>
    </row>
    <row r="933">
      <c r="A933" s="207"/>
    </row>
    <row r="934">
      <c r="A934" s="207"/>
    </row>
    <row r="935">
      <c r="A935" s="207"/>
    </row>
    <row r="936">
      <c r="A936" s="207"/>
    </row>
    <row r="937">
      <c r="A937" s="207"/>
    </row>
    <row r="938">
      <c r="A938" s="207"/>
    </row>
    <row r="939">
      <c r="A939" s="207"/>
    </row>
    <row r="940">
      <c r="A940" s="207"/>
    </row>
    <row r="941">
      <c r="A941" s="207"/>
    </row>
    <row r="942">
      <c r="A942" s="207"/>
    </row>
    <row r="943">
      <c r="A943" s="207"/>
    </row>
    <row r="944">
      <c r="A944" s="207"/>
    </row>
    <row r="945">
      <c r="A945" s="207"/>
    </row>
    <row r="946">
      <c r="A946" s="207"/>
    </row>
    <row r="947">
      <c r="A947" s="207"/>
    </row>
    <row r="948">
      <c r="A948" s="207"/>
    </row>
    <row r="949">
      <c r="A949" s="207"/>
    </row>
    <row r="950">
      <c r="A950" s="207"/>
    </row>
    <row r="951">
      <c r="A951" s="207"/>
    </row>
    <row r="952">
      <c r="A952" s="207"/>
    </row>
    <row r="953">
      <c r="A953" s="207"/>
    </row>
    <row r="954">
      <c r="A954" s="207"/>
    </row>
    <row r="955">
      <c r="A955" s="207"/>
    </row>
    <row r="956">
      <c r="A956" s="207"/>
    </row>
    <row r="957">
      <c r="A957" s="207"/>
    </row>
    <row r="958">
      <c r="A958" s="207"/>
    </row>
    <row r="959">
      <c r="A959" s="207"/>
    </row>
    <row r="960">
      <c r="A960" s="207"/>
    </row>
    <row r="961">
      <c r="A961" s="207"/>
    </row>
    <row r="962">
      <c r="A962" s="207"/>
    </row>
    <row r="963">
      <c r="A963" s="207"/>
    </row>
    <row r="964">
      <c r="A964" s="207"/>
    </row>
    <row r="965">
      <c r="A965" s="207"/>
    </row>
    <row r="966">
      <c r="A966" s="207"/>
    </row>
    <row r="967">
      <c r="A967" s="207"/>
    </row>
    <row r="968">
      <c r="A968" s="207"/>
    </row>
    <row r="969">
      <c r="A969" s="207"/>
    </row>
    <row r="970">
      <c r="A970" s="207"/>
    </row>
    <row r="971">
      <c r="A971" s="207"/>
    </row>
    <row r="972">
      <c r="A972" s="207"/>
    </row>
    <row r="973">
      <c r="A973" s="207"/>
    </row>
    <row r="974">
      <c r="A974" s="207"/>
    </row>
    <row r="975">
      <c r="A975" s="207"/>
    </row>
    <row r="976">
      <c r="A976" s="207"/>
    </row>
    <row r="977">
      <c r="A977" s="207"/>
    </row>
    <row r="978">
      <c r="A978" s="207"/>
    </row>
    <row r="979">
      <c r="A979" s="207"/>
    </row>
    <row r="980">
      <c r="A980" s="207"/>
    </row>
    <row r="981">
      <c r="A981" s="207"/>
    </row>
    <row r="982">
      <c r="A982" s="207"/>
    </row>
    <row r="983">
      <c r="A983" s="207"/>
    </row>
    <row r="984">
      <c r="A984" s="207"/>
    </row>
    <row r="985">
      <c r="A985" s="207"/>
    </row>
    <row r="986">
      <c r="A986" s="207"/>
    </row>
    <row r="987">
      <c r="A987" s="207"/>
    </row>
    <row r="988">
      <c r="A988" s="207"/>
    </row>
    <row r="989">
      <c r="A989" s="207"/>
    </row>
    <row r="990">
      <c r="A990" s="207"/>
    </row>
    <row r="991">
      <c r="A991" s="207"/>
    </row>
    <row r="992">
      <c r="A992" s="207"/>
    </row>
    <row r="993">
      <c r="A993" s="207"/>
    </row>
    <row r="994">
      <c r="A994" s="207"/>
    </row>
    <row r="995">
      <c r="A995" s="207"/>
    </row>
    <row r="996">
      <c r="A996" s="207"/>
    </row>
    <row r="997">
      <c r="A997" s="207"/>
    </row>
    <row r="998">
      <c r="A998" s="207"/>
    </row>
    <row r="999">
      <c r="A999" s="207"/>
    </row>
    <row r="1000">
      <c r="A1000" s="20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4" t="s">
        <v>3765</v>
      </c>
      <c r="B1" s="214" t="s">
        <v>117</v>
      </c>
      <c r="C1" s="214" t="s">
        <v>118</v>
      </c>
      <c r="D1" s="214" t="s">
        <v>119</v>
      </c>
      <c r="E1" s="214" t="s">
        <v>10</v>
      </c>
      <c r="F1" s="214" t="s">
        <v>3766</v>
      </c>
      <c r="G1" s="214" t="s">
        <v>3767</v>
      </c>
      <c r="H1" s="214" t="s">
        <v>3768</v>
      </c>
      <c r="I1" s="165" t="s">
        <v>3769</v>
      </c>
      <c r="J1" s="165" t="s">
        <v>125</v>
      </c>
      <c r="K1" s="165" t="s">
        <v>3770</v>
      </c>
      <c r="L1" s="165" t="s">
        <v>3771</v>
      </c>
    </row>
    <row r="2">
      <c r="A2" s="175">
        <v>236.0</v>
      </c>
      <c r="B2" s="176" t="s">
        <v>6</v>
      </c>
      <c r="C2" s="176" t="s">
        <v>564</v>
      </c>
      <c r="D2" s="176" t="s">
        <v>268</v>
      </c>
      <c r="E2" s="176" t="s">
        <v>135</v>
      </c>
      <c r="F2" s="176" t="s">
        <v>136</v>
      </c>
      <c r="G2" s="176" t="s">
        <v>137</v>
      </c>
      <c r="H2" s="176" t="s">
        <v>3020</v>
      </c>
      <c r="L2" s="17" t="s">
        <v>254</v>
      </c>
    </row>
    <row r="3">
      <c r="A3" s="175">
        <v>45.0</v>
      </c>
      <c r="B3" s="176" t="s">
        <v>7</v>
      </c>
      <c r="C3" s="176" t="s">
        <v>564</v>
      </c>
      <c r="D3" s="176" t="s">
        <v>268</v>
      </c>
      <c r="E3" s="176" t="s">
        <v>135</v>
      </c>
      <c r="F3" s="176" t="s">
        <v>136</v>
      </c>
      <c r="G3" s="176" t="s">
        <v>3021</v>
      </c>
      <c r="H3" s="176" t="s">
        <v>3022</v>
      </c>
      <c r="L3" s="17" t="s">
        <v>254</v>
      </c>
    </row>
    <row r="4">
      <c r="A4" s="175">
        <v>76.0</v>
      </c>
      <c r="B4" s="176" t="s">
        <v>7</v>
      </c>
      <c r="C4" s="176" t="s">
        <v>3023</v>
      </c>
      <c r="D4" s="176" t="s">
        <v>268</v>
      </c>
      <c r="E4" s="176" t="s">
        <v>136</v>
      </c>
      <c r="F4" s="176" t="s">
        <v>136</v>
      </c>
      <c r="G4" s="176" t="s">
        <v>137</v>
      </c>
      <c r="H4" s="176" t="s">
        <v>3024</v>
      </c>
      <c r="L4" s="17" t="s">
        <v>254</v>
      </c>
    </row>
    <row r="5">
      <c r="A5" s="175">
        <v>103.0</v>
      </c>
      <c r="B5" s="177" t="s">
        <v>6</v>
      </c>
      <c r="C5" s="177" t="s">
        <v>1819</v>
      </c>
      <c r="D5" s="177" t="s">
        <v>268</v>
      </c>
      <c r="E5" s="177" t="s">
        <v>135</v>
      </c>
      <c r="F5" s="177" t="s">
        <v>136</v>
      </c>
      <c r="G5" s="177" t="s">
        <v>3025</v>
      </c>
      <c r="H5" s="177" t="s">
        <v>3026</v>
      </c>
      <c r="L5" s="17" t="s">
        <v>254</v>
      </c>
    </row>
    <row r="6">
      <c r="A6" s="175">
        <v>148.0</v>
      </c>
      <c r="B6" s="177" t="s">
        <v>6</v>
      </c>
      <c r="C6" s="177" t="s">
        <v>564</v>
      </c>
      <c r="D6" s="177" t="s">
        <v>268</v>
      </c>
      <c r="E6" s="177" t="s">
        <v>135</v>
      </c>
      <c r="F6" s="177" t="s">
        <v>136</v>
      </c>
      <c r="G6" s="177" t="s">
        <v>137</v>
      </c>
      <c r="H6" s="177" t="s">
        <v>3024</v>
      </c>
      <c r="L6" s="17" t="s">
        <v>254</v>
      </c>
    </row>
    <row r="7">
      <c r="A7" s="175">
        <v>232.0</v>
      </c>
      <c r="B7" s="177" t="s">
        <v>6</v>
      </c>
      <c r="C7" s="177" t="s">
        <v>2986</v>
      </c>
      <c r="D7" s="177" t="s">
        <v>268</v>
      </c>
      <c r="E7" s="177" t="s">
        <v>135</v>
      </c>
      <c r="F7" s="177" t="s">
        <v>136</v>
      </c>
      <c r="G7" s="177" t="s">
        <v>3027</v>
      </c>
      <c r="H7" s="177" t="s">
        <v>3024</v>
      </c>
      <c r="L7" s="17" t="s">
        <v>254</v>
      </c>
    </row>
    <row r="8">
      <c r="A8" s="175">
        <v>275.0</v>
      </c>
      <c r="B8" s="176" t="s">
        <v>7</v>
      </c>
      <c r="C8" s="176" t="s">
        <v>564</v>
      </c>
      <c r="D8" s="176" t="s">
        <v>268</v>
      </c>
      <c r="E8" s="176" t="s">
        <v>136</v>
      </c>
      <c r="F8" s="176" t="s">
        <v>136</v>
      </c>
      <c r="G8" s="176" t="s">
        <v>3028</v>
      </c>
      <c r="H8" s="176" t="s">
        <v>3020</v>
      </c>
      <c r="L8" s="17" t="s">
        <v>254</v>
      </c>
    </row>
    <row r="9">
      <c r="A9" s="175">
        <v>114.0</v>
      </c>
      <c r="B9" s="176" t="s">
        <v>6</v>
      </c>
      <c r="C9" s="176" t="s">
        <v>1057</v>
      </c>
      <c r="D9" s="176" t="s">
        <v>331</v>
      </c>
      <c r="E9" s="176" t="s">
        <v>136</v>
      </c>
      <c r="F9" s="176" t="s">
        <v>136</v>
      </c>
      <c r="G9" s="176" t="s">
        <v>137</v>
      </c>
      <c r="H9" s="176" t="s">
        <v>3026</v>
      </c>
      <c r="L9" s="17" t="s">
        <v>254</v>
      </c>
    </row>
    <row r="10">
      <c r="A10" s="175">
        <v>209.0</v>
      </c>
      <c r="B10" s="176" t="s">
        <v>7</v>
      </c>
      <c r="C10" s="176" t="s">
        <v>1057</v>
      </c>
      <c r="D10" s="176" t="s">
        <v>331</v>
      </c>
      <c r="E10" s="176" t="s">
        <v>135</v>
      </c>
      <c r="F10" s="176" t="s">
        <v>136</v>
      </c>
      <c r="G10" s="176" t="s">
        <v>3029</v>
      </c>
      <c r="H10" s="176" t="s">
        <v>3024</v>
      </c>
      <c r="L10" s="17" t="s">
        <v>254</v>
      </c>
    </row>
    <row r="11">
      <c r="A11" s="175">
        <v>267.0</v>
      </c>
      <c r="B11" s="176" t="s">
        <v>7</v>
      </c>
      <c r="C11" s="176" t="s">
        <v>1057</v>
      </c>
      <c r="D11" s="176" t="s">
        <v>331</v>
      </c>
      <c r="E11" s="176" t="s">
        <v>135</v>
      </c>
      <c r="F11" s="176" t="s">
        <v>135</v>
      </c>
      <c r="G11" s="176" t="s">
        <v>137</v>
      </c>
      <c r="H11" s="176" t="s">
        <v>185</v>
      </c>
      <c r="L11" s="17" t="s">
        <v>254</v>
      </c>
    </row>
    <row r="12">
      <c r="A12" s="175">
        <v>82.0</v>
      </c>
      <c r="B12" s="176" t="s">
        <v>6</v>
      </c>
      <c r="C12" s="176" t="s">
        <v>240</v>
      </c>
      <c r="D12" s="176" t="s">
        <v>197</v>
      </c>
      <c r="E12" s="176" t="s">
        <v>136</v>
      </c>
      <c r="F12" s="176" t="s">
        <v>136</v>
      </c>
      <c r="G12" s="176" t="s">
        <v>3030</v>
      </c>
      <c r="H12" s="176" t="s">
        <v>3020</v>
      </c>
      <c r="L12" s="17" t="s">
        <v>254</v>
      </c>
    </row>
    <row r="13">
      <c r="A13" s="175">
        <v>101.0</v>
      </c>
      <c r="B13" s="176" t="s">
        <v>6</v>
      </c>
      <c r="C13" s="176" t="s">
        <v>1116</v>
      </c>
      <c r="D13" s="176" t="s">
        <v>197</v>
      </c>
      <c r="E13" s="176" t="s">
        <v>136</v>
      </c>
      <c r="F13" s="176" t="s">
        <v>136</v>
      </c>
      <c r="G13" s="176" t="s">
        <v>3021</v>
      </c>
      <c r="H13" s="176" t="s">
        <v>3026</v>
      </c>
      <c r="L13" s="17" t="s">
        <v>254</v>
      </c>
    </row>
    <row r="14">
      <c r="A14" s="175">
        <v>285.0</v>
      </c>
      <c r="B14" s="176" t="s">
        <v>6</v>
      </c>
      <c r="C14" s="176" t="s">
        <v>1116</v>
      </c>
      <c r="D14" s="176" t="s">
        <v>197</v>
      </c>
      <c r="E14" s="176" t="s">
        <v>136</v>
      </c>
      <c r="F14" s="176" t="s">
        <v>136</v>
      </c>
      <c r="G14" s="176" t="s">
        <v>3031</v>
      </c>
      <c r="H14" s="176" t="s">
        <v>3022</v>
      </c>
      <c r="L14" s="17" t="s">
        <v>254</v>
      </c>
    </row>
    <row r="15">
      <c r="A15" s="175">
        <v>100.0</v>
      </c>
      <c r="B15" s="176" t="s">
        <v>7</v>
      </c>
      <c r="C15" s="176" t="s">
        <v>3032</v>
      </c>
      <c r="D15" s="140" t="s">
        <v>3772</v>
      </c>
      <c r="E15" s="176" t="s">
        <v>135</v>
      </c>
      <c r="F15" s="176" t="s">
        <v>136</v>
      </c>
      <c r="G15" s="176" t="s">
        <v>137</v>
      </c>
      <c r="H15" s="176" t="s">
        <v>185</v>
      </c>
      <c r="L15" s="17" t="s">
        <v>254</v>
      </c>
    </row>
    <row r="16">
      <c r="A16" s="175">
        <v>118.0</v>
      </c>
      <c r="B16" s="177" t="s">
        <v>7</v>
      </c>
      <c r="C16" s="177" t="s">
        <v>3033</v>
      </c>
      <c r="D16" s="140" t="s">
        <v>3772</v>
      </c>
      <c r="E16" s="177" t="s">
        <v>135</v>
      </c>
      <c r="F16" s="177" t="s">
        <v>136</v>
      </c>
      <c r="G16" s="177" t="s">
        <v>137</v>
      </c>
      <c r="H16" s="177" t="s">
        <v>185</v>
      </c>
      <c r="L16" s="17" t="s">
        <v>254</v>
      </c>
    </row>
    <row r="17">
      <c r="A17" s="175">
        <v>151.0</v>
      </c>
      <c r="B17" s="177" t="s">
        <v>7</v>
      </c>
      <c r="C17" s="177" t="s">
        <v>3034</v>
      </c>
      <c r="D17" s="140" t="s">
        <v>3772</v>
      </c>
      <c r="E17" s="177" t="s">
        <v>136</v>
      </c>
      <c r="F17" s="177" t="s">
        <v>136</v>
      </c>
      <c r="G17" s="177" t="s">
        <v>137</v>
      </c>
      <c r="H17" s="177" t="s">
        <v>185</v>
      </c>
      <c r="L17" s="17" t="s">
        <v>254</v>
      </c>
    </row>
    <row r="18">
      <c r="A18" s="175">
        <v>72.0</v>
      </c>
      <c r="B18" s="177" t="s">
        <v>7</v>
      </c>
      <c r="C18" s="177" t="s">
        <v>409</v>
      </c>
      <c r="D18" s="177" t="s">
        <v>238</v>
      </c>
      <c r="E18" s="177" t="s">
        <v>136</v>
      </c>
      <c r="F18" s="177" t="s">
        <v>136</v>
      </c>
      <c r="G18" s="177" t="s">
        <v>137</v>
      </c>
      <c r="H18" s="177" t="s">
        <v>3020</v>
      </c>
      <c r="L18" s="17" t="s">
        <v>254</v>
      </c>
    </row>
    <row r="19">
      <c r="A19" s="175">
        <v>211.0</v>
      </c>
      <c r="B19" s="176" t="s">
        <v>7</v>
      </c>
      <c r="C19" s="176" t="s">
        <v>2704</v>
      </c>
      <c r="D19" s="176" t="s">
        <v>238</v>
      </c>
      <c r="E19" s="176" t="s">
        <v>136</v>
      </c>
      <c r="F19" s="176" t="s">
        <v>136</v>
      </c>
      <c r="G19" s="176" t="s">
        <v>3035</v>
      </c>
      <c r="H19" s="176" t="s">
        <v>3022</v>
      </c>
      <c r="L19" s="17" t="s">
        <v>254</v>
      </c>
    </row>
    <row r="20">
      <c r="A20" s="175">
        <v>197.0</v>
      </c>
      <c r="B20" s="176" t="s">
        <v>6</v>
      </c>
      <c r="C20" s="176" t="s">
        <v>3036</v>
      </c>
      <c r="D20" s="176" t="s">
        <v>147</v>
      </c>
      <c r="E20" s="176" t="s">
        <v>135</v>
      </c>
      <c r="F20" s="176" t="s">
        <v>136</v>
      </c>
      <c r="G20" s="176" t="s">
        <v>3037</v>
      </c>
      <c r="H20" s="176" t="s">
        <v>3024</v>
      </c>
      <c r="L20" s="17" t="s">
        <v>254</v>
      </c>
    </row>
    <row r="21">
      <c r="A21" s="175">
        <v>31.0</v>
      </c>
      <c r="B21" s="177" t="s">
        <v>6</v>
      </c>
      <c r="C21" s="177" t="s">
        <v>3038</v>
      </c>
      <c r="D21" s="177" t="s">
        <v>223</v>
      </c>
      <c r="E21" s="177" t="s">
        <v>135</v>
      </c>
      <c r="F21" s="177" t="s">
        <v>135</v>
      </c>
      <c r="G21" s="177" t="s">
        <v>3039</v>
      </c>
      <c r="H21" s="177" t="s">
        <v>185</v>
      </c>
      <c r="L21" s="17" t="s">
        <v>254</v>
      </c>
    </row>
    <row r="22">
      <c r="A22" s="175">
        <v>26.0</v>
      </c>
      <c r="B22" s="177" t="s">
        <v>7</v>
      </c>
      <c r="C22" s="177" t="s">
        <v>3040</v>
      </c>
      <c r="D22" s="177" t="s">
        <v>223</v>
      </c>
      <c r="E22" s="177" t="s">
        <v>135</v>
      </c>
      <c r="F22" s="177" t="s">
        <v>136</v>
      </c>
      <c r="G22" s="177" t="s">
        <v>137</v>
      </c>
      <c r="H22" s="177" t="s">
        <v>185</v>
      </c>
      <c r="L22" s="17" t="s">
        <v>254</v>
      </c>
    </row>
    <row r="23">
      <c r="A23" s="175">
        <v>56.0</v>
      </c>
      <c r="B23" s="177" t="s">
        <v>6</v>
      </c>
      <c r="C23" s="177" t="s">
        <v>3041</v>
      </c>
      <c r="D23" s="177" t="s">
        <v>223</v>
      </c>
      <c r="E23" s="177" t="s">
        <v>136</v>
      </c>
      <c r="F23" s="177" t="s">
        <v>136</v>
      </c>
      <c r="G23" s="177" t="s">
        <v>3042</v>
      </c>
      <c r="H23" s="177" t="s">
        <v>185</v>
      </c>
      <c r="L23" s="17" t="s">
        <v>254</v>
      </c>
    </row>
    <row r="24">
      <c r="A24" s="175">
        <v>87.0</v>
      </c>
      <c r="B24" s="177" t="s">
        <v>6</v>
      </c>
      <c r="C24" s="177" t="s">
        <v>1709</v>
      </c>
      <c r="D24" s="177" t="s">
        <v>223</v>
      </c>
      <c r="E24" s="177" t="s">
        <v>136</v>
      </c>
      <c r="F24" s="177" t="s">
        <v>136</v>
      </c>
      <c r="G24" s="177" t="s">
        <v>137</v>
      </c>
      <c r="H24" s="177" t="s">
        <v>3043</v>
      </c>
      <c r="L24" s="17" t="s">
        <v>254</v>
      </c>
    </row>
    <row r="25">
      <c r="A25" s="175">
        <v>120.0</v>
      </c>
      <c r="B25" s="177" t="s">
        <v>7</v>
      </c>
      <c r="C25" s="177" t="s">
        <v>3044</v>
      </c>
      <c r="D25" s="177" t="s">
        <v>223</v>
      </c>
      <c r="E25" s="177" t="s">
        <v>136</v>
      </c>
      <c r="F25" s="177" t="s">
        <v>136</v>
      </c>
      <c r="G25" s="177" t="s">
        <v>137</v>
      </c>
      <c r="H25" s="177" t="s">
        <v>3022</v>
      </c>
      <c r="L25" s="17" t="s">
        <v>254</v>
      </c>
    </row>
    <row r="26">
      <c r="A26" s="175">
        <v>147.0</v>
      </c>
      <c r="B26" s="177" t="s">
        <v>7</v>
      </c>
      <c r="C26" s="177" t="s">
        <v>3038</v>
      </c>
      <c r="D26" s="177" t="s">
        <v>223</v>
      </c>
      <c r="E26" s="177" t="s">
        <v>135</v>
      </c>
      <c r="F26" s="177" t="s">
        <v>136</v>
      </c>
      <c r="G26" s="177" t="s">
        <v>3045</v>
      </c>
      <c r="H26" s="177" t="s">
        <v>185</v>
      </c>
      <c r="L26" s="17" t="s">
        <v>254</v>
      </c>
    </row>
    <row r="27">
      <c r="A27" s="175">
        <v>154.0</v>
      </c>
      <c r="B27" s="177" t="s">
        <v>6</v>
      </c>
      <c r="C27" s="177" t="s">
        <v>1709</v>
      </c>
      <c r="D27" s="177" t="s">
        <v>223</v>
      </c>
      <c r="E27" s="177" t="s">
        <v>136</v>
      </c>
      <c r="F27" s="177" t="s">
        <v>136</v>
      </c>
      <c r="G27" s="177" t="s">
        <v>137</v>
      </c>
      <c r="H27" s="177" t="s">
        <v>3020</v>
      </c>
      <c r="L27" s="17" t="s">
        <v>254</v>
      </c>
    </row>
    <row r="28">
      <c r="A28" s="175">
        <v>313.0</v>
      </c>
      <c r="B28" s="177" t="s">
        <v>7</v>
      </c>
      <c r="C28" s="177" t="s">
        <v>2923</v>
      </c>
      <c r="D28" s="177" t="s">
        <v>223</v>
      </c>
      <c r="E28" s="177" t="s">
        <v>135</v>
      </c>
      <c r="F28" s="177" t="s">
        <v>136</v>
      </c>
      <c r="G28" s="177" t="s">
        <v>137</v>
      </c>
      <c r="H28" s="177" t="s">
        <v>3024</v>
      </c>
      <c r="L28" s="17" t="s">
        <v>254</v>
      </c>
    </row>
    <row r="29">
      <c r="A29" s="175">
        <v>314.0</v>
      </c>
      <c r="B29" s="177" t="s">
        <v>7</v>
      </c>
      <c r="C29" s="177" t="s">
        <v>3046</v>
      </c>
      <c r="D29" s="177" t="s">
        <v>223</v>
      </c>
      <c r="E29" s="177" t="s">
        <v>135</v>
      </c>
      <c r="F29" s="177" t="s">
        <v>136</v>
      </c>
      <c r="G29" s="177" t="s">
        <v>137</v>
      </c>
      <c r="H29" s="177" t="s">
        <v>3024</v>
      </c>
      <c r="L29" s="17" t="s">
        <v>254</v>
      </c>
    </row>
    <row r="30">
      <c r="A30" s="175">
        <v>116.0</v>
      </c>
      <c r="B30" s="177" t="s">
        <v>7</v>
      </c>
      <c r="C30" s="177" t="s">
        <v>3047</v>
      </c>
      <c r="D30" s="177" t="s">
        <v>3773</v>
      </c>
      <c r="E30" s="177" t="s">
        <v>136</v>
      </c>
      <c r="F30" s="177" t="s">
        <v>136</v>
      </c>
      <c r="G30" s="177" t="s">
        <v>137</v>
      </c>
      <c r="H30" s="177" t="s">
        <v>3022</v>
      </c>
      <c r="L30" s="17" t="s">
        <v>254</v>
      </c>
    </row>
    <row r="31">
      <c r="A31" s="175">
        <v>132.0</v>
      </c>
      <c r="B31" s="177" t="s">
        <v>7</v>
      </c>
      <c r="C31" s="177" t="s">
        <v>3048</v>
      </c>
      <c r="D31" s="177" t="s">
        <v>3773</v>
      </c>
      <c r="E31" s="177" t="s">
        <v>136</v>
      </c>
      <c r="F31" s="177" t="s">
        <v>136</v>
      </c>
      <c r="G31" s="177" t="s">
        <v>137</v>
      </c>
      <c r="H31" s="177" t="s">
        <v>3020</v>
      </c>
      <c r="L31" s="17" t="s">
        <v>254</v>
      </c>
    </row>
    <row r="32">
      <c r="A32" s="175">
        <v>142.0</v>
      </c>
      <c r="B32" s="177" t="s">
        <v>6</v>
      </c>
      <c r="C32" s="177" t="s">
        <v>3049</v>
      </c>
      <c r="D32" s="177" t="s">
        <v>3773</v>
      </c>
      <c r="E32" s="177" t="s">
        <v>136</v>
      </c>
      <c r="F32" s="177" t="s">
        <v>136</v>
      </c>
      <c r="G32" s="177" t="s">
        <v>137</v>
      </c>
      <c r="H32" s="177" t="s">
        <v>3022</v>
      </c>
      <c r="L32" s="17" t="s">
        <v>254</v>
      </c>
    </row>
    <row r="33">
      <c r="A33" s="175">
        <v>155.0</v>
      </c>
      <c r="B33" s="177" t="s">
        <v>6</v>
      </c>
      <c r="C33" s="178" t="s">
        <v>3774</v>
      </c>
      <c r="D33" s="177" t="s">
        <v>3773</v>
      </c>
      <c r="E33" s="177" t="s">
        <v>136</v>
      </c>
      <c r="F33" s="177" t="s">
        <v>136</v>
      </c>
      <c r="G33" s="177" t="s">
        <v>137</v>
      </c>
      <c r="H33" s="177" t="s">
        <v>3020</v>
      </c>
      <c r="L33" s="17" t="s">
        <v>254</v>
      </c>
    </row>
    <row r="34">
      <c r="A34" s="175">
        <v>165.0</v>
      </c>
      <c r="B34" s="176" t="s">
        <v>7</v>
      </c>
      <c r="C34" s="176" t="s">
        <v>3051</v>
      </c>
      <c r="D34" s="176" t="s">
        <v>3773</v>
      </c>
      <c r="E34" s="176" t="s">
        <v>136</v>
      </c>
      <c r="F34" s="176" t="s">
        <v>136</v>
      </c>
      <c r="G34" s="176" t="s">
        <v>137</v>
      </c>
      <c r="H34" s="176" t="s">
        <v>3020</v>
      </c>
      <c r="L34" s="17" t="s">
        <v>254</v>
      </c>
    </row>
    <row r="35">
      <c r="A35" s="175">
        <v>152.0</v>
      </c>
      <c r="B35" s="176" t="s">
        <v>7</v>
      </c>
      <c r="C35" s="176" t="s">
        <v>3052</v>
      </c>
      <c r="D35" s="176" t="s">
        <v>3773</v>
      </c>
      <c r="E35" s="176" t="s">
        <v>135</v>
      </c>
      <c r="F35" s="176" t="s">
        <v>136</v>
      </c>
      <c r="G35" s="176" t="s">
        <v>137</v>
      </c>
      <c r="H35" s="176" t="s">
        <v>3020</v>
      </c>
      <c r="L35" s="17" t="s">
        <v>254</v>
      </c>
    </row>
    <row r="36">
      <c r="A36" s="175">
        <v>297.0</v>
      </c>
      <c r="B36" s="176" t="s">
        <v>6</v>
      </c>
      <c r="C36" s="176" t="s">
        <v>3053</v>
      </c>
      <c r="D36" s="176" t="s">
        <v>3773</v>
      </c>
      <c r="E36" s="176" t="s">
        <v>136</v>
      </c>
      <c r="F36" s="176" t="s">
        <v>136</v>
      </c>
      <c r="G36" s="176" t="s">
        <v>137</v>
      </c>
      <c r="H36" s="176" t="s">
        <v>3020</v>
      </c>
      <c r="L36" s="17" t="s">
        <v>254</v>
      </c>
    </row>
    <row r="37">
      <c r="A37" s="175">
        <v>192.0</v>
      </c>
      <c r="B37" s="176" t="s">
        <v>6</v>
      </c>
      <c r="C37" s="176" t="s">
        <v>3054</v>
      </c>
      <c r="D37" s="176" t="s">
        <v>337</v>
      </c>
      <c r="E37" s="176" t="s">
        <v>136</v>
      </c>
      <c r="F37" s="176" t="s">
        <v>136</v>
      </c>
      <c r="G37" s="176" t="s">
        <v>137</v>
      </c>
      <c r="H37" s="176" t="s">
        <v>3055</v>
      </c>
      <c r="L37" s="17" t="s">
        <v>254</v>
      </c>
    </row>
    <row r="38">
      <c r="A38" s="175">
        <v>302.0</v>
      </c>
      <c r="B38" s="176" t="s">
        <v>6</v>
      </c>
      <c r="C38" s="176" t="s">
        <v>3054</v>
      </c>
      <c r="D38" s="176" t="s">
        <v>337</v>
      </c>
      <c r="E38" s="176" t="s">
        <v>136</v>
      </c>
      <c r="F38" s="176" t="s">
        <v>136</v>
      </c>
      <c r="G38" s="176" t="s">
        <v>137</v>
      </c>
      <c r="H38" s="176" t="s">
        <v>3022</v>
      </c>
      <c r="L38" s="17" t="s">
        <v>254</v>
      </c>
    </row>
    <row r="39">
      <c r="A39" s="175">
        <v>8.0</v>
      </c>
      <c r="B39" s="177" t="s">
        <v>6</v>
      </c>
      <c r="C39" s="177" t="s">
        <v>3056</v>
      </c>
      <c r="D39" s="177" t="s">
        <v>296</v>
      </c>
      <c r="E39" s="177" t="s">
        <v>136</v>
      </c>
      <c r="F39" s="177" t="s">
        <v>136</v>
      </c>
      <c r="G39" s="177" t="s">
        <v>3057</v>
      </c>
      <c r="H39" s="177" t="s">
        <v>3055</v>
      </c>
      <c r="L39" s="17" t="s">
        <v>254</v>
      </c>
    </row>
    <row r="40">
      <c r="A40" s="175">
        <v>80.0</v>
      </c>
      <c r="B40" s="177" t="s">
        <v>6</v>
      </c>
      <c r="C40" s="177" t="s">
        <v>1834</v>
      </c>
      <c r="D40" s="177" t="s">
        <v>296</v>
      </c>
      <c r="E40" s="177" t="s">
        <v>135</v>
      </c>
      <c r="F40" s="177" t="s">
        <v>136</v>
      </c>
      <c r="G40" s="177" t="s">
        <v>3058</v>
      </c>
      <c r="H40" s="177" t="s">
        <v>3020</v>
      </c>
      <c r="L40" s="17" t="s">
        <v>254</v>
      </c>
    </row>
    <row r="41">
      <c r="A41" s="175">
        <v>186.0</v>
      </c>
      <c r="B41" s="177" t="s">
        <v>6</v>
      </c>
      <c r="C41" s="177" t="s">
        <v>1565</v>
      </c>
      <c r="D41" s="177" t="s">
        <v>296</v>
      </c>
      <c r="E41" s="177" t="s">
        <v>136</v>
      </c>
      <c r="F41" s="177" t="s">
        <v>136</v>
      </c>
      <c r="G41" s="177" t="s">
        <v>3057</v>
      </c>
      <c r="H41" s="177" t="s">
        <v>3055</v>
      </c>
      <c r="L41" s="17" t="s">
        <v>254</v>
      </c>
    </row>
    <row r="42">
      <c r="A42" s="175">
        <v>248.0</v>
      </c>
      <c r="B42" s="176" t="s">
        <v>6</v>
      </c>
      <c r="C42" s="176" t="s">
        <v>3059</v>
      </c>
      <c r="D42" s="176" t="s">
        <v>170</v>
      </c>
      <c r="E42" s="176" t="s">
        <v>135</v>
      </c>
      <c r="F42" s="176" t="s">
        <v>136</v>
      </c>
      <c r="G42" s="176" t="s">
        <v>3057</v>
      </c>
      <c r="H42" s="176" t="s">
        <v>3020</v>
      </c>
      <c r="L42" s="17" t="s">
        <v>254</v>
      </c>
    </row>
    <row r="43">
      <c r="A43" s="175">
        <v>21.0</v>
      </c>
      <c r="B43" s="176" t="s">
        <v>6</v>
      </c>
      <c r="C43" s="176" t="s">
        <v>204</v>
      </c>
      <c r="D43" s="176" t="s">
        <v>170</v>
      </c>
      <c r="E43" s="176" t="s">
        <v>135</v>
      </c>
      <c r="F43" s="176" t="s">
        <v>136</v>
      </c>
      <c r="G43" s="176" t="s">
        <v>3060</v>
      </c>
      <c r="H43" s="176" t="s">
        <v>3024</v>
      </c>
      <c r="L43" s="17" t="s">
        <v>254</v>
      </c>
    </row>
    <row r="44">
      <c r="A44" s="175">
        <v>58.0</v>
      </c>
      <c r="B44" s="176" t="s">
        <v>6</v>
      </c>
      <c r="C44" s="176" t="s">
        <v>3061</v>
      </c>
      <c r="D44" s="176" t="s">
        <v>170</v>
      </c>
      <c r="E44" s="176" t="s">
        <v>136</v>
      </c>
      <c r="F44" s="176" t="s">
        <v>136</v>
      </c>
      <c r="G44" s="176" t="s">
        <v>3062</v>
      </c>
      <c r="H44" s="176" t="s">
        <v>3020</v>
      </c>
      <c r="L44" s="17" t="s">
        <v>254</v>
      </c>
    </row>
    <row r="45">
      <c r="A45" s="175">
        <v>73.0</v>
      </c>
      <c r="B45" s="176" t="s">
        <v>6</v>
      </c>
      <c r="C45" s="176" t="s">
        <v>204</v>
      </c>
      <c r="D45" s="176" t="s">
        <v>170</v>
      </c>
      <c r="E45" s="176" t="s">
        <v>135</v>
      </c>
      <c r="F45" s="176" t="s">
        <v>136</v>
      </c>
      <c r="G45" s="176" t="s">
        <v>3063</v>
      </c>
      <c r="H45" s="176" t="s">
        <v>3020</v>
      </c>
      <c r="L45" s="17" t="s">
        <v>254</v>
      </c>
    </row>
    <row r="46">
      <c r="A46" s="175">
        <v>98.0</v>
      </c>
      <c r="B46" s="176" t="s">
        <v>6</v>
      </c>
      <c r="C46" s="176" t="s">
        <v>204</v>
      </c>
      <c r="D46" s="176" t="s">
        <v>170</v>
      </c>
      <c r="E46" s="176" t="s">
        <v>136</v>
      </c>
      <c r="F46" s="176" t="s">
        <v>136</v>
      </c>
      <c r="G46" s="176" t="s">
        <v>137</v>
      </c>
      <c r="H46" s="176" t="s">
        <v>3020</v>
      </c>
      <c r="L46" s="17" t="s">
        <v>254</v>
      </c>
    </row>
    <row r="47">
      <c r="A47" s="175">
        <v>109.0</v>
      </c>
      <c r="B47" s="176" t="s">
        <v>7</v>
      </c>
      <c r="C47" s="176" t="s">
        <v>3059</v>
      </c>
      <c r="D47" s="176" t="s">
        <v>170</v>
      </c>
      <c r="E47" s="176" t="s">
        <v>136</v>
      </c>
      <c r="F47" s="176" t="s">
        <v>136</v>
      </c>
      <c r="G47" s="176" t="s">
        <v>3064</v>
      </c>
      <c r="H47" s="176" t="s">
        <v>3065</v>
      </c>
      <c r="L47" s="17" t="s">
        <v>254</v>
      </c>
    </row>
    <row r="48">
      <c r="A48" s="175">
        <v>110.0</v>
      </c>
      <c r="B48" s="176" t="s">
        <v>6</v>
      </c>
      <c r="C48" s="176" t="s">
        <v>3059</v>
      </c>
      <c r="D48" s="176" t="s">
        <v>170</v>
      </c>
      <c r="E48" s="176" t="s">
        <v>136</v>
      </c>
      <c r="F48" s="176" t="s">
        <v>136</v>
      </c>
      <c r="G48" s="176" t="s">
        <v>137</v>
      </c>
      <c r="H48" s="176" t="s">
        <v>3055</v>
      </c>
      <c r="L48" s="17" t="s">
        <v>254</v>
      </c>
    </row>
    <row r="49">
      <c r="A49" s="175">
        <v>121.0</v>
      </c>
      <c r="B49" s="176" t="s">
        <v>7</v>
      </c>
      <c r="C49" s="176" t="s">
        <v>3066</v>
      </c>
      <c r="D49" s="176" t="s">
        <v>170</v>
      </c>
      <c r="E49" s="176" t="s">
        <v>135</v>
      </c>
      <c r="F49" s="176" t="s">
        <v>136</v>
      </c>
      <c r="G49" s="176" t="s">
        <v>3031</v>
      </c>
      <c r="H49" s="176" t="s">
        <v>3067</v>
      </c>
      <c r="L49" s="17" t="s">
        <v>254</v>
      </c>
    </row>
    <row r="50">
      <c r="A50" s="175">
        <v>128.0</v>
      </c>
      <c r="B50" s="176" t="s">
        <v>7</v>
      </c>
      <c r="C50" s="176" t="s">
        <v>3059</v>
      </c>
      <c r="D50" s="176" t="s">
        <v>170</v>
      </c>
      <c r="E50" s="176" t="s">
        <v>135</v>
      </c>
      <c r="F50" s="176" t="s">
        <v>136</v>
      </c>
      <c r="G50" s="176" t="s">
        <v>137</v>
      </c>
      <c r="H50" s="176" t="s">
        <v>3020</v>
      </c>
      <c r="L50" s="17" t="s">
        <v>254</v>
      </c>
    </row>
    <row r="51">
      <c r="A51" s="175">
        <v>143.0</v>
      </c>
      <c r="B51" s="176" t="s">
        <v>6</v>
      </c>
      <c r="C51" s="176" t="s">
        <v>3068</v>
      </c>
      <c r="D51" s="176" t="s">
        <v>170</v>
      </c>
      <c r="E51" s="176" t="s">
        <v>136</v>
      </c>
      <c r="F51" s="176" t="s">
        <v>136</v>
      </c>
      <c r="G51" s="176" t="s">
        <v>137</v>
      </c>
      <c r="H51" s="176" t="s">
        <v>3022</v>
      </c>
      <c r="L51" s="17" t="s">
        <v>254</v>
      </c>
    </row>
    <row r="52">
      <c r="A52" s="175">
        <v>145.0</v>
      </c>
      <c r="B52" s="176" t="s">
        <v>7</v>
      </c>
      <c r="C52" s="176" t="s">
        <v>204</v>
      </c>
      <c r="D52" s="176" t="s">
        <v>170</v>
      </c>
      <c r="E52" s="176" t="s">
        <v>136</v>
      </c>
      <c r="F52" s="176" t="s">
        <v>136</v>
      </c>
      <c r="G52" s="176" t="s">
        <v>3069</v>
      </c>
      <c r="H52" s="176" t="s">
        <v>3055</v>
      </c>
      <c r="L52" s="17" t="s">
        <v>254</v>
      </c>
    </row>
    <row r="53">
      <c r="A53" s="175">
        <v>146.0</v>
      </c>
      <c r="B53" s="176" t="s">
        <v>6</v>
      </c>
      <c r="C53" s="176" t="s">
        <v>3059</v>
      </c>
      <c r="D53" s="176" t="s">
        <v>170</v>
      </c>
      <c r="E53" s="176" t="s">
        <v>136</v>
      </c>
      <c r="F53" s="176" t="s">
        <v>136</v>
      </c>
      <c r="G53" s="176" t="s">
        <v>137</v>
      </c>
      <c r="H53" s="176" t="s">
        <v>185</v>
      </c>
      <c r="L53" s="17" t="s">
        <v>254</v>
      </c>
    </row>
    <row r="54">
      <c r="A54" s="175">
        <v>150.0</v>
      </c>
      <c r="B54" s="176" t="s">
        <v>7</v>
      </c>
      <c r="C54" s="176" t="s">
        <v>3070</v>
      </c>
      <c r="D54" s="176" t="s">
        <v>170</v>
      </c>
      <c r="E54" s="176" t="s">
        <v>136</v>
      </c>
      <c r="F54" s="176" t="s">
        <v>136</v>
      </c>
      <c r="G54" s="176" t="s">
        <v>3071</v>
      </c>
      <c r="H54" s="176" t="s">
        <v>3055</v>
      </c>
      <c r="L54" s="17" t="s">
        <v>254</v>
      </c>
    </row>
    <row r="55">
      <c r="A55" s="175">
        <v>164.0</v>
      </c>
      <c r="B55" s="176" t="s">
        <v>7</v>
      </c>
      <c r="C55" s="176" t="s">
        <v>3072</v>
      </c>
      <c r="D55" s="176" t="s">
        <v>170</v>
      </c>
      <c r="E55" s="176" t="s">
        <v>135</v>
      </c>
      <c r="F55" s="176" t="s">
        <v>136</v>
      </c>
      <c r="G55" s="176" t="s">
        <v>137</v>
      </c>
      <c r="H55" s="176" t="s">
        <v>3065</v>
      </c>
      <c r="L55" s="17" t="s">
        <v>254</v>
      </c>
    </row>
    <row r="56">
      <c r="A56" s="175">
        <v>169.0</v>
      </c>
      <c r="B56" s="176" t="s">
        <v>6</v>
      </c>
      <c r="C56" s="176" t="s">
        <v>3073</v>
      </c>
      <c r="D56" s="176" t="s">
        <v>170</v>
      </c>
      <c r="E56" s="176" t="s">
        <v>136</v>
      </c>
      <c r="F56" s="176" t="s">
        <v>136</v>
      </c>
      <c r="G56" s="176" t="s">
        <v>3063</v>
      </c>
      <c r="H56" s="176" t="s">
        <v>3022</v>
      </c>
      <c r="L56" s="17" t="s">
        <v>254</v>
      </c>
    </row>
    <row r="57">
      <c r="A57" s="175">
        <v>203.0</v>
      </c>
      <c r="B57" s="176" t="s">
        <v>7</v>
      </c>
      <c r="C57" s="176" t="s">
        <v>3059</v>
      </c>
      <c r="D57" s="176" t="s">
        <v>170</v>
      </c>
      <c r="E57" s="176" t="s">
        <v>136</v>
      </c>
      <c r="F57" s="176" t="s">
        <v>136</v>
      </c>
      <c r="G57" s="176" t="s">
        <v>137</v>
      </c>
      <c r="H57" s="176" t="s">
        <v>3026</v>
      </c>
      <c r="L57" s="17" t="s">
        <v>254</v>
      </c>
    </row>
    <row r="58">
      <c r="A58" s="175">
        <v>240.0</v>
      </c>
      <c r="B58" s="176" t="s">
        <v>7</v>
      </c>
      <c r="C58" s="176" t="s">
        <v>204</v>
      </c>
      <c r="D58" s="176" t="s">
        <v>170</v>
      </c>
      <c r="E58" s="176" t="s">
        <v>135</v>
      </c>
      <c r="F58" s="176" t="s">
        <v>136</v>
      </c>
      <c r="G58" s="176" t="s">
        <v>137</v>
      </c>
      <c r="H58" s="176" t="s">
        <v>3024</v>
      </c>
      <c r="L58" s="17" t="s">
        <v>254</v>
      </c>
    </row>
    <row r="59">
      <c r="A59" s="175">
        <v>241.0</v>
      </c>
      <c r="B59" s="177" t="s">
        <v>7</v>
      </c>
      <c r="C59" s="177" t="s">
        <v>204</v>
      </c>
      <c r="D59" s="177" t="s">
        <v>170</v>
      </c>
      <c r="E59" s="177" t="s">
        <v>135</v>
      </c>
      <c r="F59" s="177" t="s">
        <v>136</v>
      </c>
      <c r="G59" s="177" t="s">
        <v>137</v>
      </c>
      <c r="H59" s="177" t="s">
        <v>3024</v>
      </c>
      <c r="L59" s="17" t="s">
        <v>254</v>
      </c>
    </row>
    <row r="60">
      <c r="A60" s="175">
        <v>264.0</v>
      </c>
      <c r="B60" s="176" t="s">
        <v>7</v>
      </c>
      <c r="C60" s="176" t="s">
        <v>3074</v>
      </c>
      <c r="D60" s="176" t="s">
        <v>170</v>
      </c>
      <c r="E60" s="176" t="s">
        <v>136</v>
      </c>
      <c r="F60" s="176" t="s">
        <v>136</v>
      </c>
      <c r="G60" s="176" t="s">
        <v>137</v>
      </c>
      <c r="H60" s="176" t="s">
        <v>3022</v>
      </c>
      <c r="L60" s="17" t="s">
        <v>254</v>
      </c>
    </row>
    <row r="61">
      <c r="A61" s="175">
        <v>287.0</v>
      </c>
      <c r="B61" s="176" t="s">
        <v>6</v>
      </c>
      <c r="C61" s="176" t="s">
        <v>3075</v>
      </c>
      <c r="D61" s="176" t="s">
        <v>170</v>
      </c>
      <c r="E61" s="176" t="s">
        <v>135</v>
      </c>
      <c r="F61" s="176" t="s">
        <v>136</v>
      </c>
      <c r="G61" s="176" t="s">
        <v>137</v>
      </c>
      <c r="H61" s="176" t="s">
        <v>3065</v>
      </c>
      <c r="L61" s="17" t="s">
        <v>254</v>
      </c>
    </row>
    <row r="62">
      <c r="A62" s="175">
        <v>288.0</v>
      </c>
      <c r="B62" s="176" t="s">
        <v>7</v>
      </c>
      <c r="C62" s="176" t="s">
        <v>3059</v>
      </c>
      <c r="D62" s="176" t="s">
        <v>170</v>
      </c>
      <c r="E62" s="176" t="s">
        <v>135</v>
      </c>
      <c r="F62" s="176" t="s">
        <v>136</v>
      </c>
      <c r="G62" s="176" t="s">
        <v>137</v>
      </c>
      <c r="H62" s="176" t="s">
        <v>3024</v>
      </c>
      <c r="L62" s="17" t="s">
        <v>254</v>
      </c>
    </row>
    <row r="63">
      <c r="A63" s="175">
        <v>298.0</v>
      </c>
      <c r="B63" s="176" t="s">
        <v>6</v>
      </c>
      <c r="C63" s="176" t="s">
        <v>3059</v>
      </c>
      <c r="D63" s="176" t="s">
        <v>170</v>
      </c>
      <c r="E63" s="176" t="s">
        <v>136</v>
      </c>
      <c r="F63" s="176" t="s">
        <v>136</v>
      </c>
      <c r="G63" s="176" t="s">
        <v>137</v>
      </c>
      <c r="H63" s="176" t="s">
        <v>3020</v>
      </c>
      <c r="L63" s="17" t="s">
        <v>254</v>
      </c>
    </row>
    <row r="64">
      <c r="A64" s="175">
        <v>306.0</v>
      </c>
      <c r="B64" s="176" t="s">
        <v>6</v>
      </c>
      <c r="C64" s="176" t="s">
        <v>204</v>
      </c>
      <c r="D64" s="176" t="s">
        <v>170</v>
      </c>
      <c r="E64" s="176" t="s">
        <v>136</v>
      </c>
      <c r="F64" s="176" t="s">
        <v>136</v>
      </c>
      <c r="G64" s="176" t="s">
        <v>3076</v>
      </c>
      <c r="H64" s="176" t="s">
        <v>3055</v>
      </c>
      <c r="L64" s="17" t="s">
        <v>254</v>
      </c>
    </row>
    <row r="65">
      <c r="A65" s="175">
        <v>17.0</v>
      </c>
      <c r="B65" s="177" t="s">
        <v>6</v>
      </c>
      <c r="C65" s="177" t="s">
        <v>3077</v>
      </c>
      <c r="D65" s="177" t="s">
        <v>134</v>
      </c>
      <c r="E65" s="177" t="s">
        <v>136</v>
      </c>
      <c r="F65" s="177" t="s">
        <v>136</v>
      </c>
      <c r="G65" s="177" t="s">
        <v>3078</v>
      </c>
      <c r="H65" s="177" t="s">
        <v>3022</v>
      </c>
      <c r="L65" s="17" t="s">
        <v>254</v>
      </c>
    </row>
    <row r="66">
      <c r="A66" s="175">
        <v>18.0</v>
      </c>
      <c r="B66" s="177" t="s">
        <v>7</v>
      </c>
      <c r="C66" s="177" t="s">
        <v>133</v>
      </c>
      <c r="D66" s="177" t="s">
        <v>134</v>
      </c>
      <c r="E66" s="177" t="s">
        <v>135</v>
      </c>
      <c r="F66" s="177" t="s">
        <v>136</v>
      </c>
      <c r="G66" s="177" t="s">
        <v>3079</v>
      </c>
      <c r="H66" s="177" t="s">
        <v>3067</v>
      </c>
      <c r="L66" s="17" t="s">
        <v>254</v>
      </c>
    </row>
    <row r="67">
      <c r="A67" s="175">
        <v>22.0</v>
      </c>
      <c r="B67" s="177" t="s">
        <v>7</v>
      </c>
      <c r="C67" s="177" t="s">
        <v>3080</v>
      </c>
      <c r="D67" s="177" t="s">
        <v>134</v>
      </c>
      <c r="E67" s="177" t="s">
        <v>136</v>
      </c>
      <c r="F67" s="177" t="s">
        <v>136</v>
      </c>
      <c r="G67" s="177" t="s">
        <v>3081</v>
      </c>
      <c r="H67" s="177" t="s">
        <v>3020</v>
      </c>
      <c r="L67" s="17" t="s">
        <v>254</v>
      </c>
    </row>
    <row r="68">
      <c r="A68" s="175">
        <v>24.0</v>
      </c>
      <c r="B68" s="176" t="s">
        <v>6</v>
      </c>
      <c r="C68" s="176" t="s">
        <v>3082</v>
      </c>
      <c r="D68" s="176" t="s">
        <v>134</v>
      </c>
      <c r="E68" s="176" t="s">
        <v>136</v>
      </c>
      <c r="F68" s="176" t="s">
        <v>136</v>
      </c>
      <c r="G68" s="176" t="s">
        <v>3083</v>
      </c>
      <c r="H68" s="176" t="s">
        <v>3022</v>
      </c>
      <c r="L68" s="17" t="s">
        <v>254</v>
      </c>
    </row>
    <row r="69">
      <c r="A69" s="175">
        <v>61.0</v>
      </c>
      <c r="B69" s="176" t="s">
        <v>6</v>
      </c>
      <c r="C69" s="176" t="s">
        <v>3084</v>
      </c>
      <c r="D69" s="176" t="s">
        <v>134</v>
      </c>
      <c r="E69" s="176" t="s">
        <v>136</v>
      </c>
      <c r="F69" s="176" t="s">
        <v>136</v>
      </c>
      <c r="G69" s="176" t="s">
        <v>3085</v>
      </c>
      <c r="H69" s="176" t="s">
        <v>3022</v>
      </c>
      <c r="L69" s="17" t="s">
        <v>254</v>
      </c>
    </row>
    <row r="70">
      <c r="A70" s="175">
        <v>67.0</v>
      </c>
      <c r="B70" s="176" t="s">
        <v>6</v>
      </c>
      <c r="C70" s="176" t="s">
        <v>3086</v>
      </c>
      <c r="D70" s="176" t="s">
        <v>134</v>
      </c>
      <c r="E70" s="176" t="s">
        <v>136</v>
      </c>
      <c r="F70" s="176" t="s">
        <v>136</v>
      </c>
      <c r="G70" s="176" t="s">
        <v>3021</v>
      </c>
      <c r="H70" s="176" t="s">
        <v>185</v>
      </c>
      <c r="L70" s="17" t="s">
        <v>254</v>
      </c>
    </row>
    <row r="71">
      <c r="A71" s="175">
        <v>113.0</v>
      </c>
      <c r="B71" s="176" t="s">
        <v>6</v>
      </c>
      <c r="C71" s="176" t="s">
        <v>3087</v>
      </c>
      <c r="D71" s="176" t="s">
        <v>134</v>
      </c>
      <c r="E71" s="176" t="s">
        <v>136</v>
      </c>
      <c r="F71" s="176" t="s">
        <v>136</v>
      </c>
      <c r="G71" s="176" t="s">
        <v>3057</v>
      </c>
      <c r="H71" s="176" t="s">
        <v>3022</v>
      </c>
      <c r="L71" s="17" t="s">
        <v>254</v>
      </c>
    </row>
    <row r="72">
      <c r="A72" s="175">
        <v>124.0</v>
      </c>
      <c r="B72" s="176" t="s">
        <v>6</v>
      </c>
      <c r="C72" s="176" t="s">
        <v>3088</v>
      </c>
      <c r="D72" s="176" t="s">
        <v>134</v>
      </c>
      <c r="E72" s="176" t="s">
        <v>136</v>
      </c>
      <c r="F72" s="176" t="s">
        <v>136</v>
      </c>
      <c r="G72" s="176" t="s">
        <v>137</v>
      </c>
      <c r="H72" s="176" t="s">
        <v>3055</v>
      </c>
      <c r="L72" s="17" t="s">
        <v>254</v>
      </c>
    </row>
    <row r="73">
      <c r="A73" s="175">
        <v>126.0</v>
      </c>
      <c r="B73" s="176" t="s">
        <v>6</v>
      </c>
      <c r="C73" s="176" t="s">
        <v>149</v>
      </c>
      <c r="D73" s="176" t="s">
        <v>134</v>
      </c>
      <c r="E73" s="176" t="s">
        <v>136</v>
      </c>
      <c r="F73" s="176" t="s">
        <v>136</v>
      </c>
      <c r="G73" s="176" t="s">
        <v>3021</v>
      </c>
      <c r="H73" s="176" t="s">
        <v>3026</v>
      </c>
      <c r="L73" s="17" t="s">
        <v>254</v>
      </c>
    </row>
    <row r="74">
      <c r="A74" s="175">
        <v>141.0</v>
      </c>
      <c r="B74" s="177" t="s">
        <v>7</v>
      </c>
      <c r="C74" s="177" t="s">
        <v>1174</v>
      </c>
      <c r="D74" s="177" t="s">
        <v>134</v>
      </c>
      <c r="E74" s="177" t="s">
        <v>135</v>
      </c>
      <c r="F74" s="177" t="s">
        <v>136</v>
      </c>
      <c r="G74" s="177" t="s">
        <v>3089</v>
      </c>
      <c r="H74" s="177" t="s">
        <v>3024</v>
      </c>
      <c r="L74" s="17" t="s">
        <v>254</v>
      </c>
    </row>
    <row r="75">
      <c r="A75" s="175">
        <v>178.0</v>
      </c>
      <c r="B75" s="177" t="s">
        <v>6</v>
      </c>
      <c r="C75" s="177" t="s">
        <v>3090</v>
      </c>
      <c r="D75" s="177" t="s">
        <v>134</v>
      </c>
      <c r="E75" s="177" t="s">
        <v>135</v>
      </c>
      <c r="F75" s="177" t="s">
        <v>136</v>
      </c>
      <c r="G75" s="177" t="s">
        <v>137</v>
      </c>
      <c r="H75" s="177" t="s">
        <v>3024</v>
      </c>
      <c r="L75" s="17" t="s">
        <v>254</v>
      </c>
    </row>
    <row r="76">
      <c r="A76" s="175">
        <v>187.0</v>
      </c>
      <c r="B76" s="177" t="s">
        <v>7</v>
      </c>
      <c r="C76" s="177" t="s">
        <v>3091</v>
      </c>
      <c r="D76" s="177" t="s">
        <v>134</v>
      </c>
      <c r="E76" s="177" t="s">
        <v>135</v>
      </c>
      <c r="F76" s="177" t="s">
        <v>136</v>
      </c>
      <c r="G76" s="177" t="s">
        <v>137</v>
      </c>
      <c r="H76" s="177" t="s">
        <v>3020</v>
      </c>
      <c r="L76" s="17" t="s">
        <v>254</v>
      </c>
    </row>
    <row r="77">
      <c r="A77" s="175">
        <v>193.0</v>
      </c>
      <c r="B77" s="177" t="s">
        <v>6</v>
      </c>
      <c r="C77" s="177" t="s">
        <v>3092</v>
      </c>
      <c r="D77" s="177" t="s">
        <v>134</v>
      </c>
      <c r="E77" s="177" t="s">
        <v>135</v>
      </c>
      <c r="F77" s="177" t="s">
        <v>136</v>
      </c>
      <c r="G77" s="177" t="s">
        <v>3027</v>
      </c>
      <c r="H77" s="177" t="s">
        <v>3020</v>
      </c>
      <c r="L77" s="17" t="s">
        <v>254</v>
      </c>
    </row>
    <row r="78">
      <c r="A78" s="175">
        <v>213.0</v>
      </c>
      <c r="B78" s="176" t="s">
        <v>7</v>
      </c>
      <c r="C78" s="176" t="s">
        <v>149</v>
      </c>
      <c r="D78" s="176" t="s">
        <v>134</v>
      </c>
      <c r="E78" s="176" t="s">
        <v>136</v>
      </c>
      <c r="F78" s="176" t="s">
        <v>136</v>
      </c>
      <c r="G78" s="176" t="s">
        <v>137</v>
      </c>
      <c r="H78" s="176" t="s">
        <v>3026</v>
      </c>
      <c r="L78" s="17" t="s">
        <v>254</v>
      </c>
    </row>
    <row r="79">
      <c r="A79" s="175">
        <v>214.0</v>
      </c>
      <c r="B79" s="177" t="s">
        <v>7</v>
      </c>
      <c r="C79" s="177" t="s">
        <v>3093</v>
      </c>
      <c r="D79" s="177" t="s">
        <v>134</v>
      </c>
      <c r="E79" s="177" t="s">
        <v>136</v>
      </c>
      <c r="F79" s="177" t="s">
        <v>136</v>
      </c>
      <c r="G79" s="177" t="s">
        <v>137</v>
      </c>
      <c r="H79" s="177" t="s">
        <v>3022</v>
      </c>
      <c r="L79" s="17" t="s">
        <v>254</v>
      </c>
    </row>
    <row r="80">
      <c r="A80" s="175">
        <v>215.0</v>
      </c>
      <c r="B80" s="176" t="s">
        <v>7</v>
      </c>
      <c r="C80" s="176" t="s">
        <v>3094</v>
      </c>
      <c r="D80" s="176" t="s">
        <v>134</v>
      </c>
      <c r="E80" s="176" t="s">
        <v>136</v>
      </c>
      <c r="F80" s="176" t="s">
        <v>136</v>
      </c>
      <c r="G80" s="176" t="s">
        <v>137</v>
      </c>
      <c r="H80" s="176" t="s">
        <v>3055</v>
      </c>
      <c r="L80" s="17" t="s">
        <v>254</v>
      </c>
    </row>
    <row r="81">
      <c r="A81" s="175">
        <v>219.0</v>
      </c>
      <c r="B81" s="176" t="s">
        <v>7</v>
      </c>
      <c r="C81" s="176" t="s">
        <v>3095</v>
      </c>
      <c r="D81" s="176" t="s">
        <v>134</v>
      </c>
      <c r="E81" s="176" t="s">
        <v>136</v>
      </c>
      <c r="F81" s="176" t="s">
        <v>136</v>
      </c>
      <c r="G81" s="176" t="s">
        <v>3081</v>
      </c>
      <c r="H81" s="176" t="s">
        <v>3055</v>
      </c>
      <c r="L81" s="17" t="s">
        <v>254</v>
      </c>
    </row>
    <row r="82">
      <c r="A82" s="175">
        <v>223.0</v>
      </c>
      <c r="B82" s="177" t="s">
        <v>6</v>
      </c>
      <c r="C82" s="177" t="s">
        <v>3096</v>
      </c>
      <c r="D82" s="177" t="s">
        <v>134</v>
      </c>
      <c r="E82" s="177" t="s">
        <v>135</v>
      </c>
      <c r="F82" s="177" t="s">
        <v>136</v>
      </c>
      <c r="G82" s="177" t="s">
        <v>137</v>
      </c>
      <c r="H82" s="177" t="s">
        <v>3020</v>
      </c>
      <c r="L82" s="17" t="s">
        <v>254</v>
      </c>
    </row>
    <row r="83">
      <c r="A83" s="175">
        <v>231.0</v>
      </c>
      <c r="B83" s="177" t="s">
        <v>7</v>
      </c>
      <c r="C83" s="177" t="s">
        <v>3097</v>
      </c>
      <c r="D83" s="177" t="s">
        <v>134</v>
      </c>
      <c r="E83" s="177" t="s">
        <v>135</v>
      </c>
      <c r="F83" s="177" t="s">
        <v>136</v>
      </c>
      <c r="G83" s="177" t="s">
        <v>137</v>
      </c>
      <c r="H83" s="177" t="s">
        <v>3055</v>
      </c>
      <c r="L83" s="17" t="s">
        <v>254</v>
      </c>
    </row>
    <row r="84">
      <c r="A84" s="175">
        <v>261.0</v>
      </c>
      <c r="B84" s="177" t="s">
        <v>7</v>
      </c>
      <c r="C84" s="177" t="s">
        <v>149</v>
      </c>
      <c r="D84" s="177" t="s">
        <v>134</v>
      </c>
      <c r="E84" s="177" t="s">
        <v>136</v>
      </c>
      <c r="F84" s="177" t="s">
        <v>136</v>
      </c>
      <c r="G84" s="177" t="s">
        <v>137</v>
      </c>
      <c r="H84" s="177" t="s">
        <v>3055</v>
      </c>
      <c r="L84" s="17" t="s">
        <v>254</v>
      </c>
    </row>
    <row r="85">
      <c r="A85" s="175">
        <v>262.0</v>
      </c>
      <c r="B85" s="177" t="s">
        <v>7</v>
      </c>
      <c r="C85" s="177" t="s">
        <v>3098</v>
      </c>
      <c r="D85" s="177" t="s">
        <v>134</v>
      </c>
      <c r="E85" s="177" t="s">
        <v>136</v>
      </c>
      <c r="F85" s="177" t="s">
        <v>136</v>
      </c>
      <c r="G85" s="177" t="s">
        <v>137</v>
      </c>
      <c r="H85" s="177" t="s">
        <v>3055</v>
      </c>
      <c r="L85" s="17" t="s">
        <v>254</v>
      </c>
    </row>
    <row r="86">
      <c r="A86" s="175">
        <v>286.0</v>
      </c>
      <c r="B86" s="176" t="s">
        <v>6</v>
      </c>
      <c r="C86" s="176" t="s">
        <v>3099</v>
      </c>
      <c r="D86" s="176" t="s">
        <v>134</v>
      </c>
      <c r="E86" s="176" t="s">
        <v>136</v>
      </c>
      <c r="F86" s="176" t="s">
        <v>135</v>
      </c>
      <c r="G86" s="176" t="s">
        <v>3083</v>
      </c>
      <c r="H86" s="176" t="s">
        <v>3022</v>
      </c>
      <c r="L86" s="17" t="s">
        <v>254</v>
      </c>
    </row>
    <row r="87">
      <c r="A87" s="175">
        <v>291.0</v>
      </c>
      <c r="B87" s="176" t="s">
        <v>6</v>
      </c>
      <c r="C87" s="176" t="s">
        <v>1282</v>
      </c>
      <c r="D87" s="176" t="s">
        <v>134</v>
      </c>
      <c r="E87" s="176" t="s">
        <v>136</v>
      </c>
      <c r="F87" s="176" t="s">
        <v>136</v>
      </c>
      <c r="G87" s="176" t="s">
        <v>3100</v>
      </c>
      <c r="H87" s="176" t="s">
        <v>3020</v>
      </c>
      <c r="L87" s="17" t="s">
        <v>254</v>
      </c>
    </row>
    <row r="88">
      <c r="A88" s="175">
        <v>300.0</v>
      </c>
      <c r="B88" s="176" t="s">
        <v>6</v>
      </c>
      <c r="C88" s="176" t="s">
        <v>149</v>
      </c>
      <c r="D88" s="176" t="s">
        <v>134</v>
      </c>
      <c r="E88" s="176" t="s">
        <v>136</v>
      </c>
      <c r="F88" s="176" t="s">
        <v>136</v>
      </c>
      <c r="G88" s="176" t="s">
        <v>137</v>
      </c>
      <c r="H88" s="176" t="s">
        <v>3022</v>
      </c>
      <c r="L88" s="17" t="s">
        <v>254</v>
      </c>
    </row>
    <row r="89">
      <c r="A89" s="175">
        <v>301.0</v>
      </c>
      <c r="B89" s="176" t="s">
        <v>6</v>
      </c>
      <c r="C89" s="176" t="s">
        <v>149</v>
      </c>
      <c r="D89" s="176" t="s">
        <v>134</v>
      </c>
      <c r="E89" s="176" t="s">
        <v>136</v>
      </c>
      <c r="F89" s="176" t="s">
        <v>136</v>
      </c>
      <c r="G89" s="176" t="s">
        <v>137</v>
      </c>
      <c r="H89" s="176" t="s">
        <v>3022</v>
      </c>
      <c r="L89" s="17" t="s">
        <v>254</v>
      </c>
    </row>
    <row r="90">
      <c r="A90" s="175">
        <v>303.0</v>
      </c>
      <c r="B90" s="176" t="s">
        <v>6</v>
      </c>
      <c r="C90" s="176" t="s">
        <v>3101</v>
      </c>
      <c r="D90" s="176" t="s">
        <v>134</v>
      </c>
      <c r="E90" s="176" t="s">
        <v>136</v>
      </c>
      <c r="F90" s="176" t="s">
        <v>136</v>
      </c>
      <c r="G90" s="176" t="s">
        <v>3081</v>
      </c>
      <c r="H90" s="176" t="s">
        <v>3022</v>
      </c>
      <c r="L90" s="17" t="s">
        <v>254</v>
      </c>
    </row>
    <row r="91">
      <c r="A91" s="175">
        <v>3.0</v>
      </c>
      <c r="B91" s="177" t="s">
        <v>7</v>
      </c>
      <c r="C91" s="177" t="s">
        <v>973</v>
      </c>
      <c r="D91" s="177" t="s">
        <v>164</v>
      </c>
      <c r="E91" s="177" t="s">
        <v>135</v>
      </c>
      <c r="F91" s="177" t="s">
        <v>136</v>
      </c>
      <c r="G91" s="177" t="s">
        <v>137</v>
      </c>
      <c r="H91" s="177" t="s">
        <v>3020</v>
      </c>
      <c r="L91" s="17" t="s">
        <v>254</v>
      </c>
    </row>
    <row r="92">
      <c r="A92" s="175">
        <v>5.0</v>
      </c>
      <c r="B92" s="176" t="s">
        <v>6</v>
      </c>
      <c r="C92" s="176" t="s">
        <v>3102</v>
      </c>
      <c r="D92" s="176" t="s">
        <v>164</v>
      </c>
      <c r="E92" s="176" t="s">
        <v>136</v>
      </c>
      <c r="F92" s="176" t="s">
        <v>136</v>
      </c>
      <c r="G92" s="176" t="s">
        <v>137</v>
      </c>
      <c r="H92" s="176" t="s">
        <v>3020</v>
      </c>
      <c r="L92" s="17" t="s">
        <v>254</v>
      </c>
    </row>
    <row r="93">
      <c r="A93" s="175">
        <v>27.0</v>
      </c>
      <c r="B93" s="176" t="s">
        <v>6</v>
      </c>
      <c r="C93" s="176" t="s">
        <v>3103</v>
      </c>
      <c r="D93" s="176" t="s">
        <v>164</v>
      </c>
      <c r="E93" s="176" t="s">
        <v>136</v>
      </c>
      <c r="F93" s="176" t="s">
        <v>136</v>
      </c>
      <c r="G93" s="176" t="s">
        <v>137</v>
      </c>
      <c r="H93" s="176" t="s">
        <v>3022</v>
      </c>
      <c r="L93" s="17" t="s">
        <v>254</v>
      </c>
    </row>
    <row r="94">
      <c r="A94" s="175">
        <v>40.0</v>
      </c>
      <c r="B94" s="177" t="s">
        <v>7</v>
      </c>
      <c r="C94" s="177" t="s">
        <v>315</v>
      </c>
      <c r="D94" s="177" t="s">
        <v>164</v>
      </c>
      <c r="E94" s="177" t="s">
        <v>135</v>
      </c>
      <c r="F94" s="177" t="s">
        <v>135</v>
      </c>
      <c r="G94" s="177" t="s">
        <v>3104</v>
      </c>
      <c r="H94" s="177" t="s">
        <v>3024</v>
      </c>
      <c r="L94" s="17" t="s">
        <v>254</v>
      </c>
    </row>
    <row r="95">
      <c r="A95" s="175">
        <v>50.0</v>
      </c>
      <c r="B95" s="177" t="s">
        <v>7</v>
      </c>
      <c r="C95" s="177" t="s">
        <v>973</v>
      </c>
      <c r="D95" s="177" t="s">
        <v>164</v>
      </c>
      <c r="E95" s="177" t="s">
        <v>136</v>
      </c>
      <c r="F95" s="177" t="s">
        <v>136</v>
      </c>
      <c r="G95" s="177" t="s">
        <v>3021</v>
      </c>
      <c r="H95" s="177" t="s">
        <v>3026</v>
      </c>
      <c r="L95" s="17" t="s">
        <v>254</v>
      </c>
    </row>
    <row r="96">
      <c r="A96" s="175">
        <v>51.0</v>
      </c>
      <c r="B96" s="177" t="s">
        <v>7</v>
      </c>
      <c r="C96" s="177" t="s">
        <v>315</v>
      </c>
      <c r="D96" s="177" t="s">
        <v>164</v>
      </c>
      <c r="E96" s="177" t="s">
        <v>135</v>
      </c>
      <c r="F96" s="177" t="s">
        <v>135</v>
      </c>
      <c r="G96" s="177" t="s">
        <v>3105</v>
      </c>
      <c r="H96" s="177" t="s">
        <v>3024</v>
      </c>
      <c r="L96" s="17" t="s">
        <v>254</v>
      </c>
    </row>
    <row r="97">
      <c r="A97" s="175">
        <v>77.0</v>
      </c>
      <c r="B97" s="176" t="s">
        <v>6</v>
      </c>
      <c r="C97" s="176" t="s">
        <v>3106</v>
      </c>
      <c r="D97" s="176" t="s">
        <v>164</v>
      </c>
      <c r="E97" s="176" t="s">
        <v>135</v>
      </c>
      <c r="F97" s="176" t="s">
        <v>136</v>
      </c>
      <c r="G97" s="176" t="s">
        <v>137</v>
      </c>
      <c r="H97" s="176" t="s">
        <v>3024</v>
      </c>
      <c r="L97" s="17" t="s">
        <v>254</v>
      </c>
    </row>
    <row r="98">
      <c r="A98" s="175">
        <v>79.0</v>
      </c>
      <c r="B98" s="177" t="s">
        <v>6</v>
      </c>
      <c r="C98" s="177" t="s">
        <v>3107</v>
      </c>
      <c r="D98" s="177" t="s">
        <v>164</v>
      </c>
      <c r="E98" s="177" t="s">
        <v>135</v>
      </c>
      <c r="F98" s="177" t="s">
        <v>136</v>
      </c>
      <c r="G98" s="177" t="s">
        <v>137</v>
      </c>
      <c r="H98" s="177" t="s">
        <v>3020</v>
      </c>
      <c r="L98" s="17" t="s">
        <v>254</v>
      </c>
    </row>
    <row r="99">
      <c r="A99" s="175">
        <v>85.0</v>
      </c>
      <c r="B99" s="177" t="s">
        <v>7</v>
      </c>
      <c r="C99" s="177" t="s">
        <v>3108</v>
      </c>
      <c r="D99" s="177" t="s">
        <v>164</v>
      </c>
      <c r="E99" s="177" t="s">
        <v>135</v>
      </c>
      <c r="F99" s="177" t="s">
        <v>136</v>
      </c>
      <c r="G99" s="177" t="s">
        <v>3109</v>
      </c>
      <c r="H99" s="177" t="s">
        <v>3067</v>
      </c>
      <c r="L99" s="17" t="s">
        <v>254</v>
      </c>
    </row>
    <row r="100">
      <c r="A100" s="175">
        <v>89.0</v>
      </c>
      <c r="B100" s="177" t="s">
        <v>6</v>
      </c>
      <c r="C100" s="177" t="s">
        <v>3110</v>
      </c>
      <c r="D100" s="177" t="s">
        <v>164</v>
      </c>
      <c r="E100" s="177" t="s">
        <v>136</v>
      </c>
      <c r="F100" s="177" t="s">
        <v>136</v>
      </c>
      <c r="G100" s="177" t="s">
        <v>137</v>
      </c>
      <c r="H100" s="177" t="s">
        <v>3022</v>
      </c>
      <c r="L100" s="17" t="s">
        <v>254</v>
      </c>
    </row>
    <row r="101">
      <c r="A101" s="175">
        <v>99.0</v>
      </c>
      <c r="B101" s="177" t="s">
        <v>3111</v>
      </c>
      <c r="C101" s="177" t="s">
        <v>3112</v>
      </c>
      <c r="D101" s="177" t="s">
        <v>164</v>
      </c>
      <c r="E101" s="177" t="s">
        <v>136</v>
      </c>
      <c r="F101" s="177" t="s">
        <v>136</v>
      </c>
      <c r="G101" s="177" t="s">
        <v>3081</v>
      </c>
      <c r="H101" s="177" t="s">
        <v>3022</v>
      </c>
      <c r="L101" s="17" t="s">
        <v>254</v>
      </c>
    </row>
    <row r="102">
      <c r="A102" s="175">
        <v>111.0</v>
      </c>
      <c r="B102" s="177" t="s">
        <v>7</v>
      </c>
      <c r="C102" s="177" t="s">
        <v>235</v>
      </c>
      <c r="D102" s="177" t="s">
        <v>164</v>
      </c>
      <c r="E102" s="177" t="s">
        <v>135</v>
      </c>
      <c r="F102" s="177" t="s">
        <v>136</v>
      </c>
      <c r="G102" s="177" t="s">
        <v>137</v>
      </c>
      <c r="H102" s="177" t="s">
        <v>3026</v>
      </c>
      <c r="L102" s="17" t="s">
        <v>254</v>
      </c>
    </row>
    <row r="103">
      <c r="A103" s="175">
        <v>112.0</v>
      </c>
      <c r="B103" s="176" t="s">
        <v>6</v>
      </c>
      <c r="C103" s="176" t="s">
        <v>3113</v>
      </c>
      <c r="D103" s="176" t="s">
        <v>164</v>
      </c>
      <c r="E103" s="176" t="s">
        <v>136</v>
      </c>
      <c r="F103" s="176" t="s">
        <v>136</v>
      </c>
      <c r="G103" s="176" t="s">
        <v>3027</v>
      </c>
      <c r="H103" s="176" t="s">
        <v>185</v>
      </c>
      <c r="L103" s="17" t="s">
        <v>254</v>
      </c>
    </row>
    <row r="104">
      <c r="A104" s="175">
        <v>117.0</v>
      </c>
      <c r="B104" s="176" t="s">
        <v>6</v>
      </c>
      <c r="C104" s="176" t="s">
        <v>3114</v>
      </c>
      <c r="D104" s="176" t="s">
        <v>164</v>
      </c>
      <c r="E104" s="176" t="s">
        <v>135</v>
      </c>
      <c r="F104" s="176" t="s">
        <v>136</v>
      </c>
      <c r="G104" s="176" t="s">
        <v>3115</v>
      </c>
      <c r="H104" s="176" t="s">
        <v>3020</v>
      </c>
      <c r="L104" s="17" t="s">
        <v>254</v>
      </c>
    </row>
    <row r="105">
      <c r="A105" s="175">
        <v>119.0</v>
      </c>
      <c r="B105" s="176" t="s">
        <v>6</v>
      </c>
      <c r="C105" s="176" t="s">
        <v>235</v>
      </c>
      <c r="D105" s="176" t="s">
        <v>164</v>
      </c>
      <c r="E105" s="176" t="s">
        <v>135</v>
      </c>
      <c r="F105" s="176" t="s">
        <v>136</v>
      </c>
      <c r="G105" s="176" t="s">
        <v>3116</v>
      </c>
      <c r="H105" s="176" t="s">
        <v>3020</v>
      </c>
      <c r="L105" s="17" t="s">
        <v>254</v>
      </c>
    </row>
    <row r="106">
      <c r="A106" s="175">
        <v>127.0</v>
      </c>
      <c r="B106" s="176" t="s">
        <v>7</v>
      </c>
      <c r="C106" s="176" t="s">
        <v>315</v>
      </c>
      <c r="D106" s="176" t="s">
        <v>164</v>
      </c>
      <c r="E106" s="176" t="s">
        <v>136</v>
      </c>
      <c r="F106" s="176" t="s">
        <v>136</v>
      </c>
      <c r="G106" s="176" t="s">
        <v>3117</v>
      </c>
      <c r="H106" s="176" t="s">
        <v>3026</v>
      </c>
      <c r="L106" s="17" t="s">
        <v>254</v>
      </c>
    </row>
    <row r="107">
      <c r="A107" s="175">
        <v>156.0</v>
      </c>
      <c r="B107" s="176" t="s">
        <v>7</v>
      </c>
      <c r="C107" s="176" t="s">
        <v>315</v>
      </c>
      <c r="D107" s="176" t="s">
        <v>164</v>
      </c>
      <c r="E107" s="176" t="s">
        <v>135</v>
      </c>
      <c r="F107" s="176" t="s">
        <v>136</v>
      </c>
      <c r="G107" s="176" t="s">
        <v>3057</v>
      </c>
      <c r="H107" s="176" t="s">
        <v>3020</v>
      </c>
      <c r="L107" s="17" t="s">
        <v>254</v>
      </c>
    </row>
    <row r="108">
      <c r="A108" s="175">
        <v>181.0</v>
      </c>
      <c r="B108" s="177" t="s">
        <v>3111</v>
      </c>
      <c r="C108" s="177" t="s">
        <v>3118</v>
      </c>
      <c r="D108" s="177" t="s">
        <v>164</v>
      </c>
      <c r="E108" s="177" t="s">
        <v>136</v>
      </c>
      <c r="F108" s="177" t="s">
        <v>136</v>
      </c>
      <c r="G108" s="177" t="s">
        <v>3027</v>
      </c>
      <c r="H108" s="177" t="s">
        <v>3020</v>
      </c>
      <c r="L108" s="17" t="s">
        <v>254</v>
      </c>
    </row>
    <row r="109">
      <c r="A109" s="175">
        <v>229.0</v>
      </c>
      <c r="B109" s="176" t="s">
        <v>7</v>
      </c>
      <c r="C109" s="176" t="s">
        <v>3119</v>
      </c>
      <c r="D109" s="176" t="s">
        <v>164</v>
      </c>
      <c r="E109" s="176" t="s">
        <v>136</v>
      </c>
      <c r="F109" s="176" t="s">
        <v>136</v>
      </c>
      <c r="G109" s="176" t="s">
        <v>137</v>
      </c>
      <c r="H109" s="176" t="s">
        <v>3020</v>
      </c>
      <c r="L109" s="17" t="s">
        <v>254</v>
      </c>
    </row>
    <row r="110">
      <c r="A110" s="175">
        <v>233.0</v>
      </c>
      <c r="B110" s="176" t="s">
        <v>6</v>
      </c>
      <c r="C110" s="176" t="s">
        <v>315</v>
      </c>
      <c r="D110" s="176" t="s">
        <v>164</v>
      </c>
      <c r="E110" s="176" t="s">
        <v>136</v>
      </c>
      <c r="F110" s="176" t="s">
        <v>136</v>
      </c>
      <c r="G110" s="176" t="s">
        <v>3027</v>
      </c>
      <c r="H110" s="176" t="s">
        <v>3022</v>
      </c>
      <c r="L110" s="17" t="s">
        <v>254</v>
      </c>
    </row>
    <row r="111">
      <c r="A111" s="175">
        <v>246.0</v>
      </c>
      <c r="B111" s="177" t="s">
        <v>7</v>
      </c>
      <c r="C111" s="177" t="s">
        <v>315</v>
      </c>
      <c r="D111" s="177" t="s">
        <v>164</v>
      </c>
      <c r="E111" s="177" t="s">
        <v>136</v>
      </c>
      <c r="F111" s="177" t="s">
        <v>136</v>
      </c>
      <c r="G111" s="177" t="s">
        <v>137</v>
      </c>
      <c r="H111" s="177" t="s">
        <v>3020</v>
      </c>
      <c r="L111" s="17" t="s">
        <v>254</v>
      </c>
    </row>
    <row r="112">
      <c r="A112" s="175">
        <v>253.0</v>
      </c>
      <c r="B112" s="177" t="s">
        <v>3111</v>
      </c>
      <c r="C112" s="177" t="s">
        <v>3120</v>
      </c>
      <c r="D112" s="177" t="s">
        <v>164</v>
      </c>
      <c r="E112" s="177" t="s">
        <v>135</v>
      </c>
      <c r="F112" s="177" t="s">
        <v>136</v>
      </c>
      <c r="G112" s="177" t="s">
        <v>137</v>
      </c>
      <c r="H112" s="177" t="s">
        <v>3020</v>
      </c>
      <c r="L112" s="17" t="s">
        <v>254</v>
      </c>
    </row>
    <row r="113">
      <c r="A113" s="175">
        <v>255.0</v>
      </c>
      <c r="B113" s="176" t="s">
        <v>7</v>
      </c>
      <c r="C113" s="176" t="s">
        <v>3121</v>
      </c>
      <c r="D113" s="176" t="s">
        <v>164</v>
      </c>
      <c r="E113" s="176" t="s">
        <v>136</v>
      </c>
      <c r="F113" s="176" t="s">
        <v>136</v>
      </c>
      <c r="G113" s="176" t="s">
        <v>3081</v>
      </c>
      <c r="H113" s="176" t="s">
        <v>3022</v>
      </c>
      <c r="L113" s="17" t="s">
        <v>254</v>
      </c>
    </row>
    <row r="114">
      <c r="A114" s="175">
        <v>274.0</v>
      </c>
      <c r="B114" s="176" t="s">
        <v>3111</v>
      </c>
      <c r="C114" s="176" t="s">
        <v>315</v>
      </c>
      <c r="D114" s="176" t="s">
        <v>164</v>
      </c>
      <c r="E114" s="176" t="s">
        <v>136</v>
      </c>
      <c r="F114" s="176" t="s">
        <v>136</v>
      </c>
      <c r="G114" s="176" t="s">
        <v>3027</v>
      </c>
      <c r="H114" s="176" t="s">
        <v>3065</v>
      </c>
      <c r="L114" s="17" t="s">
        <v>254</v>
      </c>
    </row>
    <row r="115">
      <c r="A115" s="175">
        <v>277.0</v>
      </c>
      <c r="B115" s="176" t="s">
        <v>7</v>
      </c>
      <c r="C115" s="176" t="s">
        <v>235</v>
      </c>
      <c r="D115" s="176" t="s">
        <v>164</v>
      </c>
      <c r="E115" s="176" t="s">
        <v>136</v>
      </c>
      <c r="F115" s="176" t="s">
        <v>136</v>
      </c>
      <c r="G115" s="176" t="s">
        <v>3027</v>
      </c>
      <c r="H115" s="176" t="s">
        <v>3026</v>
      </c>
      <c r="L115" s="17" t="s">
        <v>254</v>
      </c>
    </row>
    <row r="116">
      <c r="A116" s="175">
        <v>292.0</v>
      </c>
      <c r="B116" s="177" t="s">
        <v>6</v>
      </c>
      <c r="C116" s="177" t="s">
        <v>3122</v>
      </c>
      <c r="D116" s="177" t="s">
        <v>164</v>
      </c>
      <c r="E116" s="177" t="s">
        <v>136</v>
      </c>
      <c r="F116" s="177" t="s">
        <v>136</v>
      </c>
      <c r="G116" s="177" t="s">
        <v>3076</v>
      </c>
      <c r="H116" s="177" t="s">
        <v>3055</v>
      </c>
      <c r="L116" s="17" t="s">
        <v>254</v>
      </c>
    </row>
    <row r="117">
      <c r="A117" s="175">
        <v>304.0</v>
      </c>
      <c r="B117" s="176" t="s">
        <v>6</v>
      </c>
      <c r="C117" s="176" t="s">
        <v>315</v>
      </c>
      <c r="D117" s="176" t="s">
        <v>164</v>
      </c>
      <c r="E117" s="176" t="s">
        <v>136</v>
      </c>
      <c r="F117" s="176" t="s">
        <v>136</v>
      </c>
      <c r="G117" s="176" t="s">
        <v>3057</v>
      </c>
      <c r="H117" s="176" t="s">
        <v>3022</v>
      </c>
      <c r="L117" s="17" t="s">
        <v>254</v>
      </c>
    </row>
    <row r="118">
      <c r="A118" s="175">
        <v>305.0</v>
      </c>
      <c r="B118" s="176" t="s">
        <v>6</v>
      </c>
      <c r="C118" s="176" t="s">
        <v>3123</v>
      </c>
      <c r="D118" s="176" t="s">
        <v>164</v>
      </c>
      <c r="E118" s="176" t="s">
        <v>136</v>
      </c>
      <c r="F118" s="176" t="s">
        <v>136</v>
      </c>
      <c r="G118" s="176" t="s">
        <v>137</v>
      </c>
      <c r="H118" s="176" t="s">
        <v>3022</v>
      </c>
      <c r="L118" s="17" t="s">
        <v>254</v>
      </c>
    </row>
    <row r="119">
      <c r="A119" s="175">
        <v>309.0</v>
      </c>
      <c r="B119" s="177" t="s">
        <v>6</v>
      </c>
      <c r="C119" s="177" t="s">
        <v>315</v>
      </c>
      <c r="D119" s="177" t="s">
        <v>164</v>
      </c>
      <c r="E119" s="177" t="s">
        <v>135</v>
      </c>
      <c r="F119" s="177" t="s">
        <v>136</v>
      </c>
      <c r="G119" s="177" t="s">
        <v>3105</v>
      </c>
      <c r="H119" s="177" t="s">
        <v>3024</v>
      </c>
      <c r="L119" s="17" t="s">
        <v>254</v>
      </c>
    </row>
    <row r="120">
      <c r="A120" s="175">
        <v>311.0</v>
      </c>
      <c r="B120" s="176" t="s">
        <v>6</v>
      </c>
      <c r="C120" s="176" t="s">
        <v>3124</v>
      </c>
      <c r="D120" s="176" t="s">
        <v>164</v>
      </c>
      <c r="E120" s="176" t="s">
        <v>135</v>
      </c>
      <c r="F120" s="176" t="s">
        <v>136</v>
      </c>
      <c r="G120" s="176" t="s">
        <v>137</v>
      </c>
      <c r="H120" s="176" t="s">
        <v>3020</v>
      </c>
      <c r="L120" s="17" t="s">
        <v>254</v>
      </c>
    </row>
    <row r="121">
      <c r="A121" s="175">
        <v>11.0</v>
      </c>
      <c r="B121" s="177" t="s">
        <v>7</v>
      </c>
      <c r="C121" s="177" t="s">
        <v>3125</v>
      </c>
      <c r="D121" s="176" t="s">
        <v>164</v>
      </c>
      <c r="E121" s="177" t="s">
        <v>135</v>
      </c>
      <c r="F121" s="177" t="s">
        <v>136</v>
      </c>
      <c r="G121" s="177" t="s">
        <v>137</v>
      </c>
      <c r="H121" s="177" t="s">
        <v>3020</v>
      </c>
      <c r="L121" s="17" t="s">
        <v>254</v>
      </c>
    </row>
    <row r="122">
      <c r="A122" s="175">
        <v>16.0</v>
      </c>
      <c r="B122" s="177" t="s">
        <v>6</v>
      </c>
      <c r="C122" s="177" t="s">
        <v>513</v>
      </c>
      <c r="D122" s="177" t="s">
        <v>213</v>
      </c>
      <c r="E122" s="177" t="s">
        <v>135</v>
      </c>
      <c r="F122" s="177" t="s">
        <v>136</v>
      </c>
      <c r="G122" s="177" t="s">
        <v>137</v>
      </c>
      <c r="H122" s="177" t="s">
        <v>3024</v>
      </c>
      <c r="L122" s="17" t="s">
        <v>254</v>
      </c>
    </row>
    <row r="123">
      <c r="A123" s="175">
        <v>30.0</v>
      </c>
      <c r="B123" s="177" t="s">
        <v>6</v>
      </c>
      <c r="C123" s="177" t="s">
        <v>414</v>
      </c>
      <c r="D123" s="177" t="s">
        <v>213</v>
      </c>
      <c r="E123" s="177" t="s">
        <v>135</v>
      </c>
      <c r="F123" s="177" t="s">
        <v>136</v>
      </c>
      <c r="G123" s="177" t="s">
        <v>3027</v>
      </c>
      <c r="H123" s="177" t="s">
        <v>3024</v>
      </c>
      <c r="L123" s="17" t="s">
        <v>254</v>
      </c>
    </row>
    <row r="124">
      <c r="A124" s="175">
        <v>44.0</v>
      </c>
      <c r="B124" s="176" t="s">
        <v>6</v>
      </c>
      <c r="C124" s="176" t="s">
        <v>560</v>
      </c>
      <c r="D124" s="176" t="s">
        <v>213</v>
      </c>
      <c r="E124" s="176" t="s">
        <v>135</v>
      </c>
      <c r="F124" s="176" t="s">
        <v>136</v>
      </c>
      <c r="G124" s="176" t="s">
        <v>3057</v>
      </c>
      <c r="H124" s="176" t="s">
        <v>3024</v>
      </c>
      <c r="L124" s="17" t="s">
        <v>254</v>
      </c>
    </row>
    <row r="125">
      <c r="A125" s="175">
        <v>47.0</v>
      </c>
      <c r="B125" s="176" t="s">
        <v>7</v>
      </c>
      <c r="C125" s="176" t="s">
        <v>513</v>
      </c>
      <c r="D125" s="176" t="s">
        <v>213</v>
      </c>
      <c r="E125" s="176" t="s">
        <v>135</v>
      </c>
      <c r="F125" s="176" t="s">
        <v>136</v>
      </c>
      <c r="G125" s="176" t="s">
        <v>3057</v>
      </c>
      <c r="H125" s="176" t="s">
        <v>3067</v>
      </c>
      <c r="L125" s="17" t="s">
        <v>254</v>
      </c>
    </row>
    <row r="126">
      <c r="A126" s="175">
        <v>48.0</v>
      </c>
      <c r="B126" s="176" t="s">
        <v>6</v>
      </c>
      <c r="C126" s="176" t="s">
        <v>987</v>
      </c>
      <c r="D126" s="176" t="s">
        <v>213</v>
      </c>
      <c r="E126" s="176" t="s">
        <v>135</v>
      </c>
      <c r="F126" s="176" t="s">
        <v>136</v>
      </c>
      <c r="G126" s="176" t="s">
        <v>137</v>
      </c>
      <c r="H126" s="176" t="s">
        <v>185</v>
      </c>
      <c r="L126" s="17" t="s">
        <v>254</v>
      </c>
    </row>
    <row r="127">
      <c r="A127" s="175">
        <v>81.0</v>
      </c>
      <c r="B127" s="176" t="s">
        <v>6</v>
      </c>
      <c r="C127" s="176" t="s">
        <v>3126</v>
      </c>
      <c r="D127" s="176" t="s">
        <v>213</v>
      </c>
      <c r="E127" s="176" t="s">
        <v>136</v>
      </c>
      <c r="F127" s="176" t="s">
        <v>136</v>
      </c>
      <c r="G127" s="176" t="s">
        <v>3100</v>
      </c>
      <c r="H127" s="176" t="s">
        <v>3022</v>
      </c>
      <c r="L127" s="17" t="s">
        <v>254</v>
      </c>
    </row>
    <row r="128">
      <c r="A128" s="175">
        <v>91.0</v>
      </c>
      <c r="B128" s="177" t="s">
        <v>6</v>
      </c>
      <c r="C128" s="177" t="s">
        <v>2607</v>
      </c>
      <c r="D128" s="177" t="s">
        <v>213</v>
      </c>
      <c r="E128" s="177" t="s">
        <v>135</v>
      </c>
      <c r="F128" s="177" t="s">
        <v>136</v>
      </c>
      <c r="G128" s="177" t="s">
        <v>137</v>
      </c>
      <c r="H128" s="177" t="s">
        <v>3020</v>
      </c>
      <c r="L128" s="17" t="s">
        <v>254</v>
      </c>
    </row>
    <row r="129">
      <c r="A129" s="175">
        <v>92.0</v>
      </c>
      <c r="B129" s="177" t="s">
        <v>7</v>
      </c>
      <c r="C129" s="177" t="s">
        <v>1398</v>
      </c>
      <c r="D129" s="177" t="s">
        <v>213</v>
      </c>
      <c r="E129" s="177" t="s">
        <v>135</v>
      </c>
      <c r="F129" s="177" t="s">
        <v>136</v>
      </c>
      <c r="G129" s="177" t="s">
        <v>137</v>
      </c>
      <c r="H129" s="177" t="s">
        <v>3067</v>
      </c>
      <c r="L129" s="17" t="s">
        <v>254</v>
      </c>
    </row>
    <row r="130">
      <c r="A130" s="175">
        <v>96.0</v>
      </c>
      <c r="B130" s="177" t="s">
        <v>6</v>
      </c>
      <c r="C130" s="177" t="s">
        <v>260</v>
      </c>
      <c r="D130" s="177" t="s">
        <v>213</v>
      </c>
      <c r="E130" s="177" t="s">
        <v>136</v>
      </c>
      <c r="F130" s="177" t="s">
        <v>136</v>
      </c>
      <c r="G130" s="177" t="s">
        <v>137</v>
      </c>
      <c r="H130" s="177" t="s">
        <v>3020</v>
      </c>
      <c r="L130" s="17" t="s">
        <v>254</v>
      </c>
    </row>
    <row r="131">
      <c r="A131" s="175">
        <v>97.0</v>
      </c>
      <c r="B131" s="176" t="s">
        <v>6</v>
      </c>
      <c r="C131" s="176" t="s">
        <v>1398</v>
      </c>
      <c r="D131" s="176" t="s">
        <v>213</v>
      </c>
      <c r="E131" s="176" t="s">
        <v>136</v>
      </c>
      <c r="F131" s="176" t="s">
        <v>136</v>
      </c>
      <c r="G131" s="176" t="s">
        <v>137</v>
      </c>
      <c r="H131" s="176" t="s">
        <v>3022</v>
      </c>
      <c r="L131" s="17" t="s">
        <v>254</v>
      </c>
    </row>
    <row r="132">
      <c r="A132" s="175">
        <v>133.0</v>
      </c>
      <c r="B132" s="177" t="s">
        <v>7</v>
      </c>
      <c r="C132" s="177" t="s">
        <v>3127</v>
      </c>
      <c r="D132" s="177" t="s">
        <v>213</v>
      </c>
      <c r="E132" s="177" t="s">
        <v>136</v>
      </c>
      <c r="F132" s="177" t="s">
        <v>136</v>
      </c>
      <c r="G132" s="177" t="s">
        <v>137</v>
      </c>
      <c r="H132" s="177" t="s">
        <v>3020</v>
      </c>
      <c r="L132" s="17" t="s">
        <v>254</v>
      </c>
    </row>
    <row r="133">
      <c r="A133" s="175">
        <v>134.0</v>
      </c>
      <c r="B133" s="176" t="s">
        <v>6</v>
      </c>
      <c r="C133" s="176" t="s">
        <v>2097</v>
      </c>
      <c r="D133" s="176" t="s">
        <v>213</v>
      </c>
      <c r="E133" s="176" t="s">
        <v>136</v>
      </c>
      <c r="F133" s="176" t="s">
        <v>136</v>
      </c>
      <c r="G133" s="176" t="s">
        <v>3083</v>
      </c>
      <c r="H133" s="176" t="s">
        <v>3022</v>
      </c>
      <c r="L133" s="17" t="s">
        <v>254</v>
      </c>
    </row>
    <row r="134">
      <c r="A134" s="175">
        <v>139.0</v>
      </c>
      <c r="B134" s="176" t="s">
        <v>7</v>
      </c>
      <c r="C134" s="176" t="s">
        <v>513</v>
      </c>
      <c r="D134" s="176" t="s">
        <v>213</v>
      </c>
      <c r="E134" s="176" t="s">
        <v>136</v>
      </c>
      <c r="F134" s="176" t="s">
        <v>136</v>
      </c>
      <c r="G134" s="176" t="s">
        <v>3057</v>
      </c>
      <c r="H134" s="176" t="s">
        <v>3055</v>
      </c>
      <c r="L134" s="17" t="s">
        <v>254</v>
      </c>
    </row>
    <row r="135">
      <c r="A135" s="175">
        <v>144.0</v>
      </c>
      <c r="B135" s="176" t="s">
        <v>7</v>
      </c>
      <c r="C135" s="176" t="s">
        <v>1781</v>
      </c>
      <c r="D135" s="176" t="s">
        <v>213</v>
      </c>
      <c r="E135" s="176" t="s">
        <v>136</v>
      </c>
      <c r="F135" s="176" t="s">
        <v>136</v>
      </c>
      <c r="G135" s="176" t="s">
        <v>3021</v>
      </c>
      <c r="H135" s="176" t="s">
        <v>3026</v>
      </c>
      <c r="L135" s="17" t="s">
        <v>254</v>
      </c>
    </row>
    <row r="136">
      <c r="A136" s="175">
        <v>153.0</v>
      </c>
      <c r="B136" s="176" t="s">
        <v>7</v>
      </c>
      <c r="C136" s="176" t="s">
        <v>414</v>
      </c>
      <c r="D136" s="176" t="s">
        <v>213</v>
      </c>
      <c r="E136" s="176" t="s">
        <v>136</v>
      </c>
      <c r="F136" s="176" t="s">
        <v>136</v>
      </c>
      <c r="G136" s="176" t="s">
        <v>3083</v>
      </c>
      <c r="H136" s="176" t="s">
        <v>3022</v>
      </c>
      <c r="L136" s="17" t="s">
        <v>254</v>
      </c>
    </row>
    <row r="137">
      <c r="A137" s="175">
        <v>173.0</v>
      </c>
      <c r="B137" s="176" t="s">
        <v>6</v>
      </c>
      <c r="C137" s="176" t="s">
        <v>3128</v>
      </c>
      <c r="D137" s="176" t="s">
        <v>213</v>
      </c>
      <c r="E137" s="176" t="s">
        <v>136</v>
      </c>
      <c r="F137" s="176" t="s">
        <v>136</v>
      </c>
      <c r="G137" s="176" t="s">
        <v>3057</v>
      </c>
      <c r="H137" s="176" t="s">
        <v>3022</v>
      </c>
      <c r="L137" s="17" t="s">
        <v>254</v>
      </c>
    </row>
    <row r="138">
      <c r="A138" s="175">
        <v>179.0</v>
      </c>
      <c r="B138" s="176" t="s">
        <v>6</v>
      </c>
      <c r="C138" s="176" t="s">
        <v>3129</v>
      </c>
      <c r="D138" s="176" t="s">
        <v>213</v>
      </c>
      <c r="E138" s="176" t="s">
        <v>136</v>
      </c>
      <c r="F138" s="176" t="s">
        <v>136</v>
      </c>
      <c r="G138" s="176" t="s">
        <v>3021</v>
      </c>
      <c r="H138" s="176" t="s">
        <v>3022</v>
      </c>
      <c r="L138" s="17" t="s">
        <v>254</v>
      </c>
    </row>
    <row r="139">
      <c r="A139" s="175">
        <v>207.0</v>
      </c>
      <c r="B139" s="176" t="s">
        <v>7</v>
      </c>
      <c r="C139" s="176" t="s">
        <v>3130</v>
      </c>
      <c r="D139" s="176" t="s">
        <v>213</v>
      </c>
      <c r="E139" s="176" t="s">
        <v>135</v>
      </c>
      <c r="F139" s="176" t="s">
        <v>136</v>
      </c>
      <c r="G139" s="176" t="s">
        <v>3131</v>
      </c>
      <c r="H139" s="176" t="s">
        <v>3024</v>
      </c>
      <c r="L139" s="17" t="s">
        <v>254</v>
      </c>
    </row>
    <row r="140">
      <c r="A140" s="175">
        <v>208.0</v>
      </c>
      <c r="B140" s="176" t="s">
        <v>6</v>
      </c>
      <c r="C140" s="176" t="s">
        <v>319</v>
      </c>
      <c r="D140" s="176" t="s">
        <v>213</v>
      </c>
      <c r="E140" s="176" t="s">
        <v>136</v>
      </c>
      <c r="F140" s="176" t="s">
        <v>136</v>
      </c>
      <c r="G140" s="176" t="s">
        <v>3057</v>
      </c>
      <c r="H140" s="176" t="s">
        <v>3022</v>
      </c>
      <c r="L140" s="17" t="s">
        <v>254</v>
      </c>
    </row>
    <row r="141">
      <c r="A141" s="175">
        <v>210.0</v>
      </c>
      <c r="B141" s="176" t="s">
        <v>7</v>
      </c>
      <c r="C141" s="176" t="s">
        <v>3132</v>
      </c>
      <c r="D141" s="176" t="s">
        <v>213</v>
      </c>
      <c r="E141" s="176" t="s">
        <v>136</v>
      </c>
      <c r="F141" s="176" t="s">
        <v>136</v>
      </c>
      <c r="G141" s="176" t="s">
        <v>137</v>
      </c>
      <c r="H141" s="176" t="s">
        <v>3022</v>
      </c>
      <c r="L141" s="17" t="s">
        <v>254</v>
      </c>
    </row>
    <row r="142">
      <c r="A142" s="175">
        <v>216.0</v>
      </c>
      <c r="B142" s="176" t="s">
        <v>7</v>
      </c>
      <c r="C142" s="176" t="s">
        <v>3133</v>
      </c>
      <c r="D142" s="176" t="s">
        <v>213</v>
      </c>
      <c r="E142" s="176" t="s">
        <v>135</v>
      </c>
      <c r="F142" s="176" t="s">
        <v>135</v>
      </c>
      <c r="G142" s="176" t="s">
        <v>3134</v>
      </c>
      <c r="H142" s="176" t="s">
        <v>3024</v>
      </c>
      <c r="L142" s="17" t="s">
        <v>254</v>
      </c>
    </row>
    <row r="143">
      <c r="A143" s="175">
        <v>221.0</v>
      </c>
      <c r="B143" s="176" t="s">
        <v>6</v>
      </c>
      <c r="C143" s="176" t="s">
        <v>3135</v>
      </c>
      <c r="D143" s="176" t="s">
        <v>213</v>
      </c>
      <c r="E143" s="176" t="s">
        <v>135</v>
      </c>
      <c r="F143" s="176" t="s">
        <v>136</v>
      </c>
      <c r="G143" s="176" t="s">
        <v>3021</v>
      </c>
      <c r="H143" s="176" t="s">
        <v>3020</v>
      </c>
      <c r="L143" s="17" t="s">
        <v>254</v>
      </c>
    </row>
    <row r="144">
      <c r="A144" s="175">
        <v>239.0</v>
      </c>
      <c r="B144" s="176" t="s">
        <v>7</v>
      </c>
      <c r="C144" s="176" t="s">
        <v>853</v>
      </c>
      <c r="D144" s="176" t="s">
        <v>213</v>
      </c>
      <c r="E144" s="176" t="s">
        <v>136</v>
      </c>
      <c r="F144" s="176" t="s">
        <v>136</v>
      </c>
      <c r="G144" s="176" t="s">
        <v>3083</v>
      </c>
      <c r="H144" s="176" t="s">
        <v>3020</v>
      </c>
      <c r="L144" s="17" t="s">
        <v>254</v>
      </c>
    </row>
    <row r="145">
      <c r="A145" s="175">
        <v>245.0</v>
      </c>
      <c r="B145" s="176" t="s">
        <v>7</v>
      </c>
      <c r="C145" s="176" t="s">
        <v>3136</v>
      </c>
      <c r="D145" s="176" t="s">
        <v>213</v>
      </c>
      <c r="E145" s="176" t="s">
        <v>136</v>
      </c>
      <c r="F145" s="176" t="s">
        <v>136</v>
      </c>
      <c r="G145" s="176" t="s">
        <v>3071</v>
      </c>
      <c r="H145" s="176" t="s">
        <v>3055</v>
      </c>
      <c r="L145" s="17" t="s">
        <v>254</v>
      </c>
    </row>
    <row r="146">
      <c r="A146" s="175">
        <v>251.0</v>
      </c>
      <c r="B146" s="176" t="s">
        <v>7</v>
      </c>
      <c r="C146" s="176" t="s">
        <v>329</v>
      </c>
      <c r="D146" s="176" t="s">
        <v>213</v>
      </c>
      <c r="E146" s="176" t="s">
        <v>135</v>
      </c>
      <c r="F146" s="176" t="s">
        <v>136</v>
      </c>
      <c r="G146" s="176" t="s">
        <v>3057</v>
      </c>
      <c r="H146" s="176" t="s">
        <v>3024</v>
      </c>
      <c r="L146" s="17" t="s">
        <v>254</v>
      </c>
    </row>
    <row r="147">
      <c r="A147" s="175">
        <v>257.0</v>
      </c>
      <c r="B147" s="177" t="s">
        <v>7</v>
      </c>
      <c r="C147" s="177" t="s">
        <v>3136</v>
      </c>
      <c r="D147" s="177" t="s">
        <v>213</v>
      </c>
      <c r="E147" s="177" t="s">
        <v>136</v>
      </c>
      <c r="F147" s="177" t="s">
        <v>136</v>
      </c>
      <c r="G147" s="177" t="s">
        <v>3057</v>
      </c>
      <c r="H147" s="177" t="s">
        <v>3020</v>
      </c>
      <c r="L147" s="17" t="s">
        <v>254</v>
      </c>
    </row>
    <row r="148">
      <c r="A148" s="175">
        <v>284.0</v>
      </c>
      <c r="B148" s="176" t="s">
        <v>6</v>
      </c>
      <c r="C148" s="176" t="s">
        <v>1781</v>
      </c>
      <c r="D148" s="176" t="s">
        <v>213</v>
      </c>
      <c r="E148" s="176" t="s">
        <v>136</v>
      </c>
      <c r="F148" s="176" t="s">
        <v>136</v>
      </c>
      <c r="G148" s="176" t="s">
        <v>3057</v>
      </c>
      <c r="H148" s="176" t="s">
        <v>3022</v>
      </c>
      <c r="L148" s="17" t="s">
        <v>254</v>
      </c>
    </row>
    <row r="149">
      <c r="A149" s="175">
        <v>296.0</v>
      </c>
      <c r="B149" s="176" t="s">
        <v>6</v>
      </c>
      <c r="C149" s="176" t="s">
        <v>513</v>
      </c>
      <c r="D149" s="176" t="s">
        <v>213</v>
      </c>
      <c r="E149" s="176" t="s">
        <v>135</v>
      </c>
      <c r="F149" s="176" t="s">
        <v>136</v>
      </c>
      <c r="G149" s="176" t="s">
        <v>137</v>
      </c>
      <c r="H149" s="176" t="s">
        <v>3024</v>
      </c>
      <c r="L149" s="17" t="s">
        <v>254</v>
      </c>
    </row>
    <row r="150">
      <c r="A150" s="175">
        <v>130.0</v>
      </c>
      <c r="B150" s="177" t="s">
        <v>6</v>
      </c>
      <c r="C150" s="177" t="s">
        <v>3137</v>
      </c>
      <c r="D150" s="177" t="s">
        <v>352</v>
      </c>
      <c r="E150" s="177" t="s">
        <v>135</v>
      </c>
      <c r="F150" s="177" t="s">
        <v>136</v>
      </c>
      <c r="G150" s="177" t="s">
        <v>137</v>
      </c>
      <c r="H150" s="177" t="s">
        <v>3020</v>
      </c>
      <c r="L150" s="17" t="s">
        <v>254</v>
      </c>
    </row>
    <row r="151">
      <c r="A151" s="175">
        <v>259.0</v>
      </c>
      <c r="B151" s="177" t="s">
        <v>6</v>
      </c>
      <c r="C151" s="177" t="s">
        <v>1979</v>
      </c>
      <c r="D151" s="177" t="s">
        <v>290</v>
      </c>
      <c r="E151" s="177" t="s">
        <v>135</v>
      </c>
      <c r="F151" s="177" t="s">
        <v>136</v>
      </c>
      <c r="G151" s="177" t="s">
        <v>3116</v>
      </c>
      <c r="H151" s="177" t="s">
        <v>3024</v>
      </c>
      <c r="L151" s="17" t="s">
        <v>254</v>
      </c>
    </row>
    <row r="152">
      <c r="A152" s="175">
        <v>107.0</v>
      </c>
      <c r="B152" s="177" t="s">
        <v>6</v>
      </c>
      <c r="C152" s="177" t="s">
        <v>3138</v>
      </c>
      <c r="D152" s="177" t="s">
        <v>243</v>
      </c>
      <c r="E152" s="177" t="s">
        <v>135</v>
      </c>
      <c r="F152" s="177" t="s">
        <v>136</v>
      </c>
      <c r="G152" s="177" t="s">
        <v>137</v>
      </c>
      <c r="H152" s="177" t="s">
        <v>3020</v>
      </c>
      <c r="L152" s="17" t="s">
        <v>254</v>
      </c>
    </row>
    <row r="153">
      <c r="A153" s="175">
        <v>249.0</v>
      </c>
      <c r="B153" s="177" t="s">
        <v>6</v>
      </c>
      <c r="C153" s="177" t="s">
        <v>3139</v>
      </c>
      <c r="D153" s="177" t="s">
        <v>3775</v>
      </c>
      <c r="E153" s="177" t="s">
        <v>136</v>
      </c>
      <c r="F153" s="177" t="s">
        <v>135</v>
      </c>
      <c r="G153" s="177" t="s">
        <v>3140</v>
      </c>
      <c r="H153" s="177" t="s">
        <v>185</v>
      </c>
      <c r="L153" s="17" t="s">
        <v>254</v>
      </c>
    </row>
    <row r="154">
      <c r="A154" s="175">
        <v>10.0</v>
      </c>
      <c r="B154" s="176" t="s">
        <v>6</v>
      </c>
      <c r="C154" s="176" t="s">
        <v>3141</v>
      </c>
      <c r="D154" s="176" t="s">
        <v>353</v>
      </c>
      <c r="E154" s="176" t="s">
        <v>135</v>
      </c>
      <c r="F154" s="176" t="s">
        <v>136</v>
      </c>
      <c r="G154" s="176" t="s">
        <v>3083</v>
      </c>
      <c r="H154" s="176" t="s">
        <v>3024</v>
      </c>
      <c r="L154" s="17" t="s">
        <v>254</v>
      </c>
    </row>
    <row r="155">
      <c r="A155" s="175">
        <v>54.0</v>
      </c>
      <c r="B155" s="177" t="s">
        <v>7</v>
      </c>
      <c r="C155" s="177" t="s">
        <v>3142</v>
      </c>
      <c r="D155" s="177" t="s">
        <v>353</v>
      </c>
      <c r="E155" s="177" t="s">
        <v>136</v>
      </c>
      <c r="F155" s="177" t="s">
        <v>136</v>
      </c>
      <c r="G155" s="177" t="s">
        <v>3081</v>
      </c>
      <c r="H155" s="177" t="s">
        <v>3026</v>
      </c>
      <c r="L155" s="17" t="s">
        <v>254</v>
      </c>
    </row>
    <row r="156">
      <c r="A156" s="175">
        <v>59.0</v>
      </c>
      <c r="B156" s="176" t="s">
        <v>6</v>
      </c>
      <c r="C156" s="176" t="s">
        <v>3142</v>
      </c>
      <c r="D156" s="176" t="s">
        <v>353</v>
      </c>
      <c r="E156" s="176" t="s">
        <v>136</v>
      </c>
      <c r="F156" s="176" t="s">
        <v>136</v>
      </c>
      <c r="G156" s="176" t="s">
        <v>137</v>
      </c>
      <c r="H156" s="176" t="s">
        <v>3026</v>
      </c>
      <c r="L156" s="17" t="s">
        <v>254</v>
      </c>
    </row>
    <row r="157">
      <c r="A157" s="175">
        <v>190.0</v>
      </c>
      <c r="B157" s="176" t="s">
        <v>6</v>
      </c>
      <c r="C157" s="176" t="s">
        <v>3143</v>
      </c>
      <c r="D157" s="176" t="s">
        <v>353</v>
      </c>
      <c r="E157" s="176" t="s">
        <v>136</v>
      </c>
      <c r="F157" s="176" t="s">
        <v>136</v>
      </c>
      <c r="G157" s="176" t="s">
        <v>137</v>
      </c>
      <c r="H157" s="176" t="s">
        <v>3022</v>
      </c>
      <c r="L157" s="17" t="s">
        <v>254</v>
      </c>
    </row>
    <row r="158">
      <c r="A158" s="175">
        <v>282.0</v>
      </c>
      <c r="B158" s="177" t="s">
        <v>7</v>
      </c>
      <c r="C158" s="177" t="s">
        <v>3012</v>
      </c>
      <c r="D158" s="177" t="s">
        <v>153</v>
      </c>
      <c r="E158" s="177" t="s">
        <v>135</v>
      </c>
      <c r="F158" s="177" t="s">
        <v>136</v>
      </c>
      <c r="G158" s="177" t="s">
        <v>3057</v>
      </c>
      <c r="H158" s="177" t="s">
        <v>3067</v>
      </c>
      <c r="L158" s="17" t="s">
        <v>254</v>
      </c>
    </row>
    <row r="159">
      <c r="A159" s="175">
        <v>20.0</v>
      </c>
      <c r="B159" s="177" t="s">
        <v>6</v>
      </c>
      <c r="C159" s="177" t="s">
        <v>3144</v>
      </c>
      <c r="D159" s="177" t="s">
        <v>143</v>
      </c>
      <c r="E159" s="177" t="s">
        <v>136</v>
      </c>
      <c r="F159" s="177" t="s">
        <v>136</v>
      </c>
      <c r="G159" s="177" t="s">
        <v>3145</v>
      </c>
      <c r="H159" s="177" t="s">
        <v>3055</v>
      </c>
      <c r="L159" s="17" t="s">
        <v>254</v>
      </c>
    </row>
    <row r="160">
      <c r="A160" s="175">
        <v>171.0</v>
      </c>
      <c r="B160" s="177" t="s">
        <v>6</v>
      </c>
      <c r="C160" s="177" t="s">
        <v>338</v>
      </c>
      <c r="D160" s="177" t="s">
        <v>143</v>
      </c>
      <c r="E160" s="177" t="s">
        <v>136</v>
      </c>
      <c r="F160" s="177" t="s">
        <v>136</v>
      </c>
      <c r="G160" s="177" t="s">
        <v>3021</v>
      </c>
      <c r="H160" s="177" t="s">
        <v>3026</v>
      </c>
      <c r="L160" s="17" t="s">
        <v>254</v>
      </c>
    </row>
    <row r="161">
      <c r="A161" s="175">
        <v>2.0</v>
      </c>
      <c r="B161" s="177" t="s">
        <v>7</v>
      </c>
      <c r="C161" s="177" t="s">
        <v>1492</v>
      </c>
      <c r="D161" s="177" t="s">
        <v>143</v>
      </c>
      <c r="E161" s="177" t="s">
        <v>135</v>
      </c>
      <c r="F161" s="177" t="s">
        <v>136</v>
      </c>
      <c r="G161" s="177" t="s">
        <v>137</v>
      </c>
      <c r="H161" s="177" t="s">
        <v>185</v>
      </c>
      <c r="L161" s="17" t="s">
        <v>254</v>
      </c>
    </row>
    <row r="162">
      <c r="A162" s="175">
        <v>28.0</v>
      </c>
      <c r="B162" s="177" t="s">
        <v>7</v>
      </c>
      <c r="C162" s="177" t="s">
        <v>338</v>
      </c>
      <c r="D162" s="177" t="s">
        <v>143</v>
      </c>
      <c r="E162" s="177" t="s">
        <v>136</v>
      </c>
      <c r="F162" s="177" t="s">
        <v>136</v>
      </c>
      <c r="G162" s="177" t="s">
        <v>137</v>
      </c>
      <c r="H162" s="177" t="s">
        <v>3020</v>
      </c>
      <c r="L162" s="17" t="s">
        <v>254</v>
      </c>
    </row>
    <row r="163">
      <c r="A163" s="175">
        <v>36.0</v>
      </c>
      <c r="B163" s="176" t="s">
        <v>6</v>
      </c>
      <c r="C163" s="176" t="s">
        <v>463</v>
      </c>
      <c r="D163" s="176" t="s">
        <v>143</v>
      </c>
      <c r="E163" s="176" t="s">
        <v>136</v>
      </c>
      <c r="F163" s="176" t="s">
        <v>136</v>
      </c>
      <c r="G163" s="176" t="s">
        <v>3146</v>
      </c>
      <c r="H163" s="176" t="s">
        <v>3026</v>
      </c>
      <c r="L163" s="17" t="s">
        <v>254</v>
      </c>
    </row>
    <row r="164">
      <c r="A164" s="175">
        <v>37.0</v>
      </c>
      <c r="B164" s="177" t="s">
        <v>6</v>
      </c>
      <c r="C164" s="177" t="s">
        <v>338</v>
      </c>
      <c r="D164" s="177" t="s">
        <v>143</v>
      </c>
      <c r="E164" s="177" t="s">
        <v>136</v>
      </c>
      <c r="F164" s="177" t="s">
        <v>136</v>
      </c>
      <c r="G164" s="177" t="s">
        <v>3021</v>
      </c>
      <c r="H164" s="177" t="s">
        <v>3026</v>
      </c>
      <c r="L164" s="17" t="s">
        <v>254</v>
      </c>
    </row>
    <row r="165">
      <c r="A165" s="175">
        <v>41.0</v>
      </c>
      <c r="B165" s="176" t="s">
        <v>7</v>
      </c>
      <c r="C165" s="176" t="s">
        <v>2791</v>
      </c>
      <c r="D165" s="176" t="s">
        <v>143</v>
      </c>
      <c r="E165" s="176" t="s">
        <v>135</v>
      </c>
      <c r="F165" s="176" t="s">
        <v>136</v>
      </c>
      <c r="G165" s="176" t="s">
        <v>137</v>
      </c>
      <c r="H165" s="176" t="s">
        <v>3020</v>
      </c>
      <c r="L165" s="17" t="s">
        <v>254</v>
      </c>
    </row>
    <row r="166">
      <c r="A166" s="175">
        <v>49.0</v>
      </c>
      <c r="B166" s="176" t="s">
        <v>6</v>
      </c>
      <c r="C166" s="176" t="s">
        <v>3147</v>
      </c>
      <c r="D166" s="176" t="s">
        <v>143</v>
      </c>
      <c r="E166" s="176" t="s">
        <v>135</v>
      </c>
      <c r="F166" s="176" t="s">
        <v>136</v>
      </c>
      <c r="G166" s="176" t="s">
        <v>3145</v>
      </c>
      <c r="H166" s="176" t="s">
        <v>3024</v>
      </c>
      <c r="L166" s="17" t="s">
        <v>254</v>
      </c>
    </row>
    <row r="167">
      <c r="A167" s="175">
        <v>66.0</v>
      </c>
      <c r="B167" s="176" t="s">
        <v>6</v>
      </c>
      <c r="C167" s="176" t="s">
        <v>338</v>
      </c>
      <c r="D167" s="176" t="s">
        <v>143</v>
      </c>
      <c r="E167" s="176" t="s">
        <v>136</v>
      </c>
      <c r="F167" s="176" t="s">
        <v>136</v>
      </c>
      <c r="G167" s="176" t="s">
        <v>3148</v>
      </c>
      <c r="H167" s="176" t="s">
        <v>3020</v>
      </c>
      <c r="L167" s="17" t="s">
        <v>254</v>
      </c>
    </row>
    <row r="168">
      <c r="A168" s="175">
        <v>68.0</v>
      </c>
      <c r="B168" s="177" t="s">
        <v>6</v>
      </c>
      <c r="C168" s="177" t="s">
        <v>338</v>
      </c>
      <c r="D168" s="176" t="s">
        <v>143</v>
      </c>
      <c r="E168" s="177" t="s">
        <v>136</v>
      </c>
      <c r="F168" s="177" t="s">
        <v>136</v>
      </c>
      <c r="G168" s="177" t="s">
        <v>3021</v>
      </c>
      <c r="H168" s="177" t="s">
        <v>3026</v>
      </c>
      <c r="L168" s="17" t="s">
        <v>254</v>
      </c>
    </row>
    <row r="169">
      <c r="A169" s="175">
        <v>70.0</v>
      </c>
      <c r="B169" s="176" t="s">
        <v>7</v>
      </c>
      <c r="C169" s="176" t="s">
        <v>338</v>
      </c>
      <c r="D169" s="176" t="s">
        <v>143</v>
      </c>
      <c r="E169" s="176" t="s">
        <v>136</v>
      </c>
      <c r="F169" s="176" t="s">
        <v>136</v>
      </c>
      <c r="G169" s="176" t="s">
        <v>137</v>
      </c>
      <c r="H169" s="176" t="s">
        <v>3020</v>
      </c>
      <c r="L169" s="17" t="s">
        <v>254</v>
      </c>
    </row>
    <row r="170">
      <c r="A170" s="175">
        <v>83.0</v>
      </c>
      <c r="B170" s="176" t="s">
        <v>7</v>
      </c>
      <c r="C170" s="176" t="s">
        <v>338</v>
      </c>
      <c r="D170" s="176" t="s">
        <v>143</v>
      </c>
      <c r="E170" s="176" t="s">
        <v>136</v>
      </c>
      <c r="F170" s="176" t="s">
        <v>136</v>
      </c>
      <c r="G170" s="176" t="s">
        <v>137</v>
      </c>
      <c r="H170" s="176" t="s">
        <v>3022</v>
      </c>
      <c r="L170" s="17" t="s">
        <v>254</v>
      </c>
    </row>
    <row r="171">
      <c r="A171" s="175">
        <v>93.0</v>
      </c>
      <c r="B171" s="177" t="s">
        <v>3111</v>
      </c>
      <c r="C171" s="177" t="s">
        <v>338</v>
      </c>
      <c r="D171" s="177" t="s">
        <v>3776</v>
      </c>
      <c r="E171" s="177" t="s">
        <v>136</v>
      </c>
      <c r="F171" s="177" t="s">
        <v>136</v>
      </c>
      <c r="G171" s="177" t="s">
        <v>3117</v>
      </c>
      <c r="H171" s="177" t="s">
        <v>3026</v>
      </c>
      <c r="L171" s="17" t="s">
        <v>254</v>
      </c>
    </row>
    <row r="172">
      <c r="A172" s="175">
        <v>102.0</v>
      </c>
      <c r="B172" s="177" t="s">
        <v>6</v>
      </c>
      <c r="C172" s="177" t="s">
        <v>3149</v>
      </c>
      <c r="D172" s="177" t="s">
        <v>143</v>
      </c>
      <c r="E172" s="177" t="s">
        <v>136</v>
      </c>
      <c r="F172" s="177" t="s">
        <v>136</v>
      </c>
      <c r="G172" s="177" t="s">
        <v>137</v>
      </c>
      <c r="H172" s="177" t="s">
        <v>3022</v>
      </c>
      <c r="L172" s="17" t="s">
        <v>254</v>
      </c>
    </row>
    <row r="173">
      <c r="A173" s="175">
        <v>106.0</v>
      </c>
      <c r="B173" s="177" t="s">
        <v>6</v>
      </c>
      <c r="C173" s="177" t="s">
        <v>338</v>
      </c>
      <c r="D173" s="177" t="s">
        <v>143</v>
      </c>
      <c r="E173" s="177" t="s">
        <v>136</v>
      </c>
      <c r="F173" s="177" t="s">
        <v>136</v>
      </c>
      <c r="G173" s="177" t="s">
        <v>3083</v>
      </c>
      <c r="H173" s="177" t="s">
        <v>3020</v>
      </c>
      <c r="L173" s="17" t="s">
        <v>254</v>
      </c>
    </row>
    <row r="174">
      <c r="A174" s="175">
        <v>167.0</v>
      </c>
      <c r="B174" s="176" t="s">
        <v>7</v>
      </c>
      <c r="C174" s="176" t="s">
        <v>338</v>
      </c>
      <c r="D174" s="176" t="s">
        <v>143</v>
      </c>
      <c r="E174" s="176" t="s">
        <v>136</v>
      </c>
      <c r="F174" s="176" t="s">
        <v>136</v>
      </c>
      <c r="G174" s="176" t="s">
        <v>3057</v>
      </c>
      <c r="H174" s="176" t="s">
        <v>3022</v>
      </c>
      <c r="L174" s="17" t="s">
        <v>254</v>
      </c>
    </row>
    <row r="175">
      <c r="A175" s="175">
        <v>170.0</v>
      </c>
      <c r="B175" s="176" t="s">
        <v>6</v>
      </c>
      <c r="C175" s="176" t="s">
        <v>338</v>
      </c>
      <c r="D175" s="176" t="s">
        <v>143</v>
      </c>
      <c r="E175" s="176" t="s">
        <v>136</v>
      </c>
      <c r="F175" s="176" t="s">
        <v>136</v>
      </c>
      <c r="G175" s="176" t="s">
        <v>3027</v>
      </c>
      <c r="H175" s="176" t="s">
        <v>3065</v>
      </c>
      <c r="L175" s="17" t="s">
        <v>254</v>
      </c>
    </row>
    <row r="176">
      <c r="A176" s="175">
        <v>174.0</v>
      </c>
      <c r="B176" s="176" t="s">
        <v>7</v>
      </c>
      <c r="C176" s="176" t="s">
        <v>338</v>
      </c>
      <c r="D176" s="176" t="s">
        <v>143</v>
      </c>
      <c r="E176" s="176" t="s">
        <v>136</v>
      </c>
      <c r="F176" s="176" t="s">
        <v>136</v>
      </c>
      <c r="G176" s="176" t="s">
        <v>137</v>
      </c>
      <c r="H176" s="176" t="s">
        <v>3022</v>
      </c>
      <c r="L176" s="17" t="s">
        <v>254</v>
      </c>
    </row>
    <row r="177">
      <c r="A177" s="175">
        <v>176.0</v>
      </c>
      <c r="B177" s="177" t="s">
        <v>7</v>
      </c>
      <c r="C177" s="177" t="s">
        <v>338</v>
      </c>
      <c r="D177" s="177" t="s">
        <v>143</v>
      </c>
      <c r="E177" s="177" t="s">
        <v>135</v>
      </c>
      <c r="F177" s="177" t="s">
        <v>136</v>
      </c>
      <c r="G177" s="177" t="s">
        <v>3083</v>
      </c>
      <c r="H177" s="177" t="s">
        <v>3020</v>
      </c>
      <c r="L177" s="17" t="s">
        <v>254</v>
      </c>
    </row>
    <row r="178">
      <c r="A178" s="175">
        <v>189.0</v>
      </c>
      <c r="B178" s="177" t="s">
        <v>7</v>
      </c>
      <c r="C178" s="177" t="s">
        <v>3150</v>
      </c>
      <c r="D178" s="177" t="s">
        <v>143</v>
      </c>
      <c r="E178" s="177" t="s">
        <v>136</v>
      </c>
      <c r="F178" s="177" t="s">
        <v>136</v>
      </c>
      <c r="G178" s="177" t="s">
        <v>137</v>
      </c>
      <c r="H178" s="177" t="s">
        <v>3020</v>
      </c>
      <c r="L178" s="17" t="s">
        <v>254</v>
      </c>
    </row>
    <row r="179">
      <c r="A179" s="175">
        <v>196.0</v>
      </c>
      <c r="B179" s="176" t="s">
        <v>7</v>
      </c>
      <c r="C179" s="176" t="s">
        <v>1910</v>
      </c>
      <c r="D179" s="176" t="s">
        <v>143</v>
      </c>
      <c r="E179" s="176" t="s">
        <v>136</v>
      </c>
      <c r="F179" s="176" t="s">
        <v>135</v>
      </c>
      <c r="G179" s="176" t="s">
        <v>3037</v>
      </c>
      <c r="H179" s="176" t="s">
        <v>3020</v>
      </c>
      <c r="L179" s="17" t="s">
        <v>254</v>
      </c>
    </row>
    <row r="180">
      <c r="A180" s="175">
        <v>204.0</v>
      </c>
      <c r="B180" s="176" t="s">
        <v>7</v>
      </c>
      <c r="C180" s="176" t="s">
        <v>338</v>
      </c>
      <c r="D180" s="176" t="s">
        <v>143</v>
      </c>
      <c r="E180" s="176" t="s">
        <v>135</v>
      </c>
      <c r="F180" s="176" t="s">
        <v>136</v>
      </c>
      <c r="G180" s="176" t="s">
        <v>137</v>
      </c>
      <c r="H180" s="176" t="s">
        <v>3020</v>
      </c>
      <c r="L180" s="17" t="s">
        <v>254</v>
      </c>
    </row>
    <row r="181">
      <c r="A181" s="175">
        <v>212.0</v>
      </c>
      <c r="B181" s="177" t="s">
        <v>6</v>
      </c>
      <c r="C181" s="177" t="s">
        <v>2982</v>
      </c>
      <c r="D181" s="177" t="s">
        <v>143</v>
      </c>
      <c r="E181" s="177" t="s">
        <v>135</v>
      </c>
      <c r="F181" s="177" t="s">
        <v>136</v>
      </c>
      <c r="G181" s="177" t="s">
        <v>3151</v>
      </c>
      <c r="H181" s="177" t="s">
        <v>3020</v>
      </c>
      <c r="L181" s="17" t="s">
        <v>254</v>
      </c>
    </row>
    <row r="182">
      <c r="A182" s="175">
        <v>220.0</v>
      </c>
      <c r="B182" s="177" t="s">
        <v>6</v>
      </c>
      <c r="C182" s="177" t="s">
        <v>2791</v>
      </c>
      <c r="D182" s="177" t="s">
        <v>143</v>
      </c>
      <c r="E182" s="177" t="s">
        <v>136</v>
      </c>
      <c r="F182" s="177" t="s">
        <v>136</v>
      </c>
      <c r="G182" s="177" t="s">
        <v>137</v>
      </c>
      <c r="H182" s="177" t="s">
        <v>3022</v>
      </c>
      <c r="L182" s="17" t="s">
        <v>254</v>
      </c>
    </row>
    <row r="183">
      <c r="A183" s="175">
        <v>224.0</v>
      </c>
      <c r="B183" s="177" t="s">
        <v>7</v>
      </c>
      <c r="C183" s="177" t="s">
        <v>338</v>
      </c>
      <c r="D183" s="177" t="s">
        <v>143</v>
      </c>
      <c r="E183" s="177" t="s">
        <v>136</v>
      </c>
      <c r="F183" s="177" t="s">
        <v>136</v>
      </c>
      <c r="G183" s="177" t="s">
        <v>137</v>
      </c>
      <c r="H183" s="177" t="s">
        <v>3022</v>
      </c>
      <c r="L183" s="17" t="s">
        <v>254</v>
      </c>
    </row>
    <row r="184">
      <c r="A184" s="175">
        <v>225.0</v>
      </c>
      <c r="B184" s="177" t="s">
        <v>6</v>
      </c>
      <c r="C184" s="177" t="s">
        <v>463</v>
      </c>
      <c r="D184" s="177" t="s">
        <v>143</v>
      </c>
      <c r="E184" s="177" t="s">
        <v>136</v>
      </c>
      <c r="F184" s="177" t="s">
        <v>136</v>
      </c>
      <c r="G184" s="177" t="s">
        <v>3057</v>
      </c>
      <c r="H184" s="177" t="s">
        <v>3022</v>
      </c>
      <c r="L184" s="17" t="s">
        <v>254</v>
      </c>
    </row>
    <row r="185">
      <c r="A185" s="175">
        <v>227.0</v>
      </c>
      <c r="B185" s="177" t="s">
        <v>7</v>
      </c>
      <c r="C185" s="177" t="s">
        <v>3152</v>
      </c>
      <c r="D185" s="177" t="s">
        <v>143</v>
      </c>
      <c r="E185" s="177" t="s">
        <v>136</v>
      </c>
      <c r="F185" s="177" t="s">
        <v>136</v>
      </c>
      <c r="G185" s="177" t="s">
        <v>137</v>
      </c>
      <c r="H185" s="177" t="s">
        <v>3022</v>
      </c>
      <c r="L185" s="17" t="s">
        <v>254</v>
      </c>
    </row>
    <row r="186">
      <c r="A186" s="175">
        <v>230.0</v>
      </c>
      <c r="B186" s="177" t="s">
        <v>7</v>
      </c>
      <c r="C186" s="177" t="s">
        <v>142</v>
      </c>
      <c r="D186" s="177" t="s">
        <v>143</v>
      </c>
      <c r="E186" s="177" t="s">
        <v>136</v>
      </c>
      <c r="F186" s="177" t="s">
        <v>136</v>
      </c>
      <c r="G186" s="177" t="s">
        <v>3145</v>
      </c>
      <c r="H186" s="177" t="s">
        <v>185</v>
      </c>
      <c r="L186" s="17" t="s">
        <v>254</v>
      </c>
    </row>
    <row r="187">
      <c r="A187" s="175">
        <v>242.0</v>
      </c>
      <c r="B187" s="176" t="s">
        <v>6</v>
      </c>
      <c r="C187" s="176" t="s">
        <v>338</v>
      </c>
      <c r="D187" s="176" t="s">
        <v>143</v>
      </c>
      <c r="E187" s="176" t="s">
        <v>136</v>
      </c>
      <c r="F187" s="176" t="s">
        <v>136</v>
      </c>
      <c r="G187" s="176" t="s">
        <v>3153</v>
      </c>
      <c r="H187" s="176" t="s">
        <v>3020</v>
      </c>
      <c r="L187" s="17" t="s">
        <v>254</v>
      </c>
    </row>
    <row r="188">
      <c r="A188" s="175">
        <v>243.0</v>
      </c>
      <c r="B188" s="177" t="s">
        <v>7</v>
      </c>
      <c r="C188" s="177" t="s">
        <v>623</v>
      </c>
      <c r="D188" s="177" t="s">
        <v>143</v>
      </c>
      <c r="E188" s="177" t="s">
        <v>136</v>
      </c>
      <c r="F188" s="177" t="s">
        <v>136</v>
      </c>
      <c r="G188" s="177" t="s">
        <v>137</v>
      </c>
      <c r="H188" s="177" t="s">
        <v>3022</v>
      </c>
      <c r="L188" s="17" t="s">
        <v>254</v>
      </c>
    </row>
    <row r="189">
      <c r="A189" s="175">
        <v>250.0</v>
      </c>
      <c r="B189" s="177" t="s">
        <v>7</v>
      </c>
      <c r="C189" s="177" t="s">
        <v>1492</v>
      </c>
      <c r="D189" s="177" t="s">
        <v>143</v>
      </c>
      <c r="E189" s="177" t="s">
        <v>136</v>
      </c>
      <c r="F189" s="177" t="s">
        <v>136</v>
      </c>
      <c r="G189" s="177" t="s">
        <v>137</v>
      </c>
      <c r="H189" s="177" t="s">
        <v>3022</v>
      </c>
      <c r="L189" s="17" t="s">
        <v>254</v>
      </c>
    </row>
    <row r="190">
      <c r="A190" s="175">
        <v>252.0</v>
      </c>
      <c r="B190" s="176" t="s">
        <v>6</v>
      </c>
      <c r="C190" s="176" t="s">
        <v>3154</v>
      </c>
      <c r="D190" s="176" t="s">
        <v>143</v>
      </c>
      <c r="E190" s="176" t="s">
        <v>136</v>
      </c>
      <c r="F190" s="176" t="s">
        <v>136</v>
      </c>
      <c r="G190" s="176" t="s">
        <v>137</v>
      </c>
      <c r="H190" s="176" t="s">
        <v>3026</v>
      </c>
      <c r="L190" s="17" t="s">
        <v>254</v>
      </c>
    </row>
    <row r="191">
      <c r="A191" s="175">
        <v>269.0</v>
      </c>
      <c r="B191" s="177" t="s">
        <v>6</v>
      </c>
      <c r="C191" s="177" t="s">
        <v>3155</v>
      </c>
      <c r="D191" s="177" t="s">
        <v>143</v>
      </c>
      <c r="E191" s="177" t="s">
        <v>135</v>
      </c>
      <c r="F191" s="177" t="s">
        <v>136</v>
      </c>
      <c r="G191" s="177" t="s">
        <v>3153</v>
      </c>
      <c r="H191" s="177" t="s">
        <v>3020</v>
      </c>
      <c r="L191" s="17" t="s">
        <v>254</v>
      </c>
    </row>
    <row r="192">
      <c r="A192" s="175">
        <v>270.0</v>
      </c>
      <c r="B192" s="176" t="s">
        <v>6</v>
      </c>
      <c r="C192" s="176" t="s">
        <v>1094</v>
      </c>
      <c r="D192" s="176" t="s">
        <v>143</v>
      </c>
      <c r="E192" s="176" t="s">
        <v>135</v>
      </c>
      <c r="F192" s="176" t="s">
        <v>136</v>
      </c>
      <c r="G192" s="176" t="s">
        <v>3153</v>
      </c>
      <c r="H192" s="176" t="s">
        <v>3020</v>
      </c>
      <c r="L192" s="17" t="s">
        <v>254</v>
      </c>
    </row>
    <row r="193">
      <c r="A193" s="175">
        <v>281.0</v>
      </c>
      <c r="B193" s="177" t="s">
        <v>7</v>
      </c>
      <c r="C193" s="177" t="s">
        <v>338</v>
      </c>
      <c r="D193" s="177" t="s">
        <v>143</v>
      </c>
      <c r="E193" s="177" t="s">
        <v>136</v>
      </c>
      <c r="F193" s="177" t="s">
        <v>136</v>
      </c>
      <c r="G193" s="177" t="s">
        <v>3027</v>
      </c>
      <c r="H193" s="177" t="s">
        <v>3020</v>
      </c>
      <c r="L193" s="17" t="s">
        <v>254</v>
      </c>
    </row>
    <row r="194">
      <c r="A194" s="175">
        <v>299.0</v>
      </c>
      <c r="B194" s="176" t="s">
        <v>6</v>
      </c>
      <c r="C194" s="176" t="s">
        <v>338</v>
      </c>
      <c r="D194" s="176" t="s">
        <v>143</v>
      </c>
      <c r="E194" s="176" t="s">
        <v>135</v>
      </c>
      <c r="F194" s="176" t="s">
        <v>136</v>
      </c>
      <c r="G194" s="176" t="s">
        <v>3156</v>
      </c>
      <c r="H194" s="176" t="s">
        <v>185</v>
      </c>
      <c r="L194" s="17" t="s">
        <v>254</v>
      </c>
    </row>
    <row r="195">
      <c r="A195" s="175">
        <v>308.0</v>
      </c>
      <c r="B195" s="177" t="s">
        <v>7</v>
      </c>
      <c r="C195" s="177" t="s">
        <v>2139</v>
      </c>
      <c r="D195" s="177" t="s">
        <v>143</v>
      </c>
      <c r="E195" s="177" t="s">
        <v>135</v>
      </c>
      <c r="F195" s="177" t="s">
        <v>135</v>
      </c>
      <c r="G195" s="177" t="s">
        <v>3157</v>
      </c>
      <c r="H195" s="177" t="s">
        <v>185</v>
      </c>
      <c r="L195" s="17" t="s">
        <v>254</v>
      </c>
    </row>
    <row r="196">
      <c r="A196" s="175">
        <v>14.0</v>
      </c>
      <c r="B196" s="176" t="s">
        <v>7</v>
      </c>
      <c r="C196" s="176" t="s">
        <v>3158</v>
      </c>
      <c r="D196" s="176" t="s">
        <v>164</v>
      </c>
      <c r="E196" s="176" t="s">
        <v>136</v>
      </c>
      <c r="F196" s="176" t="s">
        <v>136</v>
      </c>
      <c r="G196" s="176" t="s">
        <v>137</v>
      </c>
      <c r="H196" s="176" t="s">
        <v>185</v>
      </c>
      <c r="L196" s="17" t="s">
        <v>254</v>
      </c>
    </row>
    <row r="197">
      <c r="A197" s="175">
        <v>205.0</v>
      </c>
      <c r="B197" s="177" t="s">
        <v>6</v>
      </c>
      <c r="C197" s="177" t="s">
        <v>3159</v>
      </c>
      <c r="D197" s="177" t="s">
        <v>359</v>
      </c>
      <c r="E197" s="177" t="s">
        <v>136</v>
      </c>
      <c r="F197" s="177" t="s">
        <v>136</v>
      </c>
      <c r="G197" s="177" t="s">
        <v>3037</v>
      </c>
      <c r="H197" s="177" t="s">
        <v>3022</v>
      </c>
      <c r="L197" s="17" t="s">
        <v>254</v>
      </c>
    </row>
    <row r="198">
      <c r="A198" s="175">
        <v>75.0</v>
      </c>
      <c r="B198" s="176" t="s">
        <v>7</v>
      </c>
      <c r="C198" s="176" t="s">
        <v>3160</v>
      </c>
      <c r="D198" s="176" t="s">
        <v>3160</v>
      </c>
      <c r="E198" s="176" t="s">
        <v>136</v>
      </c>
      <c r="F198" s="176" t="s">
        <v>136</v>
      </c>
      <c r="G198" s="176" t="s">
        <v>137</v>
      </c>
      <c r="H198" s="176" t="s">
        <v>3055</v>
      </c>
      <c r="L198" s="17" t="s">
        <v>254</v>
      </c>
    </row>
    <row r="199">
      <c r="A199" s="175">
        <v>4.0</v>
      </c>
      <c r="B199" s="177" t="s">
        <v>3111</v>
      </c>
      <c r="C199" s="177" t="s">
        <v>3161</v>
      </c>
      <c r="D199" s="177" t="s">
        <v>274</v>
      </c>
      <c r="E199" s="177" t="s">
        <v>136</v>
      </c>
      <c r="F199" s="177" t="s">
        <v>136</v>
      </c>
      <c r="G199" s="177" t="s">
        <v>137</v>
      </c>
      <c r="H199" s="177" t="s">
        <v>3020</v>
      </c>
      <c r="L199" s="17" t="s">
        <v>254</v>
      </c>
    </row>
    <row r="200">
      <c r="A200" s="175">
        <v>64.0</v>
      </c>
      <c r="B200" s="176" t="s">
        <v>6</v>
      </c>
      <c r="C200" s="176" t="s">
        <v>3161</v>
      </c>
      <c r="D200" s="176" t="s">
        <v>274</v>
      </c>
      <c r="E200" s="176" t="s">
        <v>136</v>
      </c>
      <c r="F200" s="176" t="s">
        <v>136</v>
      </c>
      <c r="G200" s="176" t="s">
        <v>3057</v>
      </c>
      <c r="H200" s="176" t="s">
        <v>3055</v>
      </c>
      <c r="L200" s="17" t="s">
        <v>254</v>
      </c>
    </row>
    <row r="201">
      <c r="A201" s="175">
        <v>217.0</v>
      </c>
      <c r="B201" s="177" t="s">
        <v>7</v>
      </c>
      <c r="C201" s="177" t="s">
        <v>3162</v>
      </c>
      <c r="D201" s="177" t="s">
        <v>313</v>
      </c>
      <c r="E201" s="177" t="s">
        <v>136</v>
      </c>
      <c r="F201" s="177" t="s">
        <v>136</v>
      </c>
      <c r="G201" s="177" t="s">
        <v>3163</v>
      </c>
      <c r="H201" s="177" t="s">
        <v>3026</v>
      </c>
      <c r="L201" s="17" t="s">
        <v>254</v>
      </c>
    </row>
    <row r="202">
      <c r="A202" s="175">
        <v>158.0</v>
      </c>
      <c r="B202" s="176" t="s">
        <v>7</v>
      </c>
      <c r="C202" s="176" t="s">
        <v>3162</v>
      </c>
      <c r="D202" s="176" t="s">
        <v>313</v>
      </c>
      <c r="E202" s="176" t="s">
        <v>135</v>
      </c>
      <c r="F202" s="176" t="s">
        <v>136</v>
      </c>
      <c r="G202" s="176" t="s">
        <v>3164</v>
      </c>
      <c r="H202" s="176" t="s">
        <v>3026</v>
      </c>
      <c r="L202" s="17" t="s">
        <v>254</v>
      </c>
    </row>
    <row r="203">
      <c r="A203" s="175">
        <v>122.0</v>
      </c>
      <c r="B203" s="177" t="s">
        <v>7</v>
      </c>
      <c r="C203" s="177" t="s">
        <v>1791</v>
      </c>
      <c r="D203" s="177" t="s">
        <v>291</v>
      </c>
      <c r="E203" s="177" t="s">
        <v>136</v>
      </c>
      <c r="F203" s="177" t="s">
        <v>136</v>
      </c>
      <c r="G203" s="177" t="s">
        <v>3083</v>
      </c>
      <c r="H203" s="177" t="s">
        <v>185</v>
      </c>
      <c r="L203" s="17" t="s">
        <v>254</v>
      </c>
    </row>
    <row r="204">
      <c r="A204" s="175">
        <v>131.0</v>
      </c>
      <c r="B204" s="177" t="s">
        <v>185</v>
      </c>
      <c r="C204" s="177" t="s">
        <v>3165</v>
      </c>
      <c r="D204" s="177" t="s">
        <v>291</v>
      </c>
      <c r="E204" s="177" t="s">
        <v>136</v>
      </c>
      <c r="F204" s="177" t="s">
        <v>136</v>
      </c>
      <c r="G204" s="177" t="s">
        <v>3166</v>
      </c>
      <c r="H204" s="177" t="s">
        <v>3020</v>
      </c>
      <c r="L204" s="17" t="s">
        <v>254</v>
      </c>
    </row>
    <row r="205">
      <c r="A205" s="175">
        <v>184.0</v>
      </c>
      <c r="B205" s="177" t="s">
        <v>7</v>
      </c>
      <c r="C205" s="177" t="s">
        <v>1791</v>
      </c>
      <c r="D205" s="177" t="s">
        <v>291</v>
      </c>
      <c r="E205" s="177" t="s">
        <v>136</v>
      </c>
      <c r="F205" s="177" t="s">
        <v>136</v>
      </c>
      <c r="G205" s="177" t="s">
        <v>3083</v>
      </c>
      <c r="H205" s="177" t="s">
        <v>3043</v>
      </c>
      <c r="L205" s="17" t="s">
        <v>254</v>
      </c>
    </row>
    <row r="206">
      <c r="A206" s="175">
        <v>78.0</v>
      </c>
      <c r="B206" s="177" t="s">
        <v>6</v>
      </c>
      <c r="C206" s="177" t="s">
        <v>2953</v>
      </c>
      <c r="D206" s="177" t="s">
        <v>177</v>
      </c>
      <c r="E206" s="177" t="s">
        <v>135</v>
      </c>
      <c r="F206" s="177" t="s">
        <v>136</v>
      </c>
      <c r="G206" s="177" t="s">
        <v>3156</v>
      </c>
      <c r="H206" s="177" t="s">
        <v>3055</v>
      </c>
      <c r="L206" s="17" t="s">
        <v>254</v>
      </c>
    </row>
    <row r="207">
      <c r="A207" s="175">
        <v>266.0</v>
      </c>
      <c r="B207" s="177" t="s">
        <v>6</v>
      </c>
      <c r="C207" s="177" t="s">
        <v>3167</v>
      </c>
      <c r="D207" s="177" t="s">
        <v>3777</v>
      </c>
      <c r="E207" s="177" t="s">
        <v>136</v>
      </c>
      <c r="F207" s="177" t="s">
        <v>136</v>
      </c>
      <c r="G207" s="177" t="s">
        <v>137</v>
      </c>
      <c r="H207" s="177" t="s">
        <v>3022</v>
      </c>
      <c r="L207" s="17" t="s">
        <v>254</v>
      </c>
    </row>
    <row r="208">
      <c r="A208" s="175">
        <v>149.0</v>
      </c>
      <c r="B208" s="177" t="s">
        <v>6</v>
      </c>
      <c r="C208" s="177" t="s">
        <v>1766</v>
      </c>
      <c r="D208" s="177" t="s">
        <v>248</v>
      </c>
      <c r="E208" s="177" t="s">
        <v>135</v>
      </c>
      <c r="F208" s="177" t="s">
        <v>136</v>
      </c>
      <c r="G208" s="177" t="s">
        <v>3116</v>
      </c>
      <c r="H208" s="177" t="s">
        <v>3026</v>
      </c>
      <c r="L208" s="17" t="s">
        <v>254</v>
      </c>
    </row>
    <row r="209">
      <c r="A209" s="175">
        <v>265.0</v>
      </c>
      <c r="B209" s="177" t="s">
        <v>6</v>
      </c>
      <c r="C209" s="177" t="s">
        <v>1766</v>
      </c>
      <c r="D209" s="177" t="s">
        <v>248</v>
      </c>
      <c r="E209" s="177" t="s">
        <v>136</v>
      </c>
      <c r="F209" s="177" t="s">
        <v>136</v>
      </c>
      <c r="G209" s="177" t="s">
        <v>137</v>
      </c>
      <c r="H209" s="177" t="s">
        <v>3020</v>
      </c>
      <c r="L209" s="17" t="s">
        <v>254</v>
      </c>
    </row>
    <row r="210">
      <c r="A210" s="175">
        <v>194.0</v>
      </c>
      <c r="B210" s="176" t="s">
        <v>7</v>
      </c>
      <c r="C210" s="176" t="s">
        <v>1524</v>
      </c>
      <c r="D210" s="176" t="s">
        <v>159</v>
      </c>
      <c r="E210" s="176" t="s">
        <v>135</v>
      </c>
      <c r="F210" s="176" t="s">
        <v>136</v>
      </c>
      <c r="G210" s="176" t="s">
        <v>3083</v>
      </c>
      <c r="H210" s="176" t="s">
        <v>3020</v>
      </c>
      <c r="L210" s="17" t="s">
        <v>254</v>
      </c>
    </row>
    <row r="211">
      <c r="A211" s="175">
        <v>312.0</v>
      </c>
      <c r="B211" s="176" t="s">
        <v>6</v>
      </c>
      <c r="C211" s="176" t="s">
        <v>3168</v>
      </c>
      <c r="D211" s="176" t="s">
        <v>159</v>
      </c>
      <c r="E211" s="176" t="s">
        <v>135</v>
      </c>
      <c r="F211" s="176" t="s">
        <v>136</v>
      </c>
      <c r="G211" s="176" t="s">
        <v>3083</v>
      </c>
      <c r="H211" s="176" t="s">
        <v>3020</v>
      </c>
      <c r="L211" s="17" t="s">
        <v>254</v>
      </c>
    </row>
    <row r="212">
      <c r="A212" s="175">
        <v>195.0</v>
      </c>
      <c r="B212" s="176" t="s">
        <v>7</v>
      </c>
      <c r="C212" s="176" t="s">
        <v>2940</v>
      </c>
      <c r="D212" s="176" t="s">
        <v>302</v>
      </c>
      <c r="E212" s="176" t="s">
        <v>136</v>
      </c>
      <c r="F212" s="176" t="s">
        <v>136</v>
      </c>
      <c r="G212" s="176" t="s">
        <v>137</v>
      </c>
      <c r="H212" s="176" t="s">
        <v>3055</v>
      </c>
      <c r="L212" s="17" t="s">
        <v>254</v>
      </c>
    </row>
    <row r="213">
      <c r="A213" s="175">
        <v>201.0</v>
      </c>
      <c r="B213" s="176" t="s">
        <v>6</v>
      </c>
      <c r="C213" s="176" t="s">
        <v>1732</v>
      </c>
      <c r="D213" s="176" t="s">
        <v>302</v>
      </c>
      <c r="E213" s="176" t="s">
        <v>135</v>
      </c>
      <c r="F213" s="176" t="s">
        <v>136</v>
      </c>
      <c r="G213" s="176" t="s">
        <v>3169</v>
      </c>
      <c r="H213" s="176" t="s">
        <v>3024</v>
      </c>
      <c r="L213" s="17" t="s">
        <v>254</v>
      </c>
    </row>
    <row r="214">
      <c r="A214" s="175">
        <v>74.0</v>
      </c>
      <c r="B214" s="177" t="s">
        <v>6</v>
      </c>
      <c r="C214" s="177" t="s">
        <v>3170</v>
      </c>
      <c r="D214" s="177" t="s">
        <v>218</v>
      </c>
      <c r="E214" s="177" t="s">
        <v>136</v>
      </c>
      <c r="F214" s="177" t="s">
        <v>136</v>
      </c>
      <c r="G214" s="177" t="s">
        <v>3076</v>
      </c>
      <c r="H214" s="177" t="s">
        <v>3055</v>
      </c>
      <c r="L214" s="17" t="s">
        <v>254</v>
      </c>
    </row>
    <row r="215">
      <c r="A215" s="175">
        <v>129.0</v>
      </c>
      <c r="B215" s="177" t="s">
        <v>6</v>
      </c>
      <c r="C215" s="177" t="s">
        <v>3171</v>
      </c>
      <c r="D215" s="177" t="s">
        <v>218</v>
      </c>
      <c r="E215" s="177" t="s">
        <v>135</v>
      </c>
      <c r="F215" s="177" t="s">
        <v>136</v>
      </c>
      <c r="G215" s="177" t="s">
        <v>137</v>
      </c>
      <c r="H215" s="177" t="s">
        <v>3024</v>
      </c>
      <c r="L215" s="17" t="s">
        <v>254</v>
      </c>
    </row>
    <row r="216">
      <c r="A216" s="175">
        <v>182.0</v>
      </c>
      <c r="B216" s="177" t="s">
        <v>6</v>
      </c>
      <c r="C216" s="177" t="s">
        <v>366</v>
      </c>
      <c r="D216" s="177" t="s">
        <v>218</v>
      </c>
      <c r="E216" s="177" t="s">
        <v>136</v>
      </c>
      <c r="F216" s="177" t="s">
        <v>136</v>
      </c>
      <c r="G216" s="177" t="s">
        <v>3069</v>
      </c>
      <c r="H216" s="177" t="s">
        <v>3022</v>
      </c>
      <c r="L216" s="17" t="s">
        <v>254</v>
      </c>
    </row>
    <row r="217">
      <c r="A217" s="175">
        <v>237.0</v>
      </c>
      <c r="B217" s="177" t="s">
        <v>6</v>
      </c>
      <c r="C217" s="177" t="s">
        <v>366</v>
      </c>
      <c r="D217" s="177" t="s">
        <v>218</v>
      </c>
      <c r="E217" s="177" t="s">
        <v>136</v>
      </c>
      <c r="F217" s="177" t="s">
        <v>136</v>
      </c>
      <c r="G217" s="177" t="s">
        <v>3172</v>
      </c>
      <c r="H217" s="177" t="s">
        <v>3020</v>
      </c>
      <c r="L217" s="17" t="s">
        <v>254</v>
      </c>
    </row>
    <row r="218">
      <c r="A218" s="175">
        <v>295.0</v>
      </c>
      <c r="B218" s="176" t="s">
        <v>6</v>
      </c>
      <c r="C218" s="176" t="s">
        <v>276</v>
      </c>
      <c r="D218" s="176" t="s">
        <v>218</v>
      </c>
      <c r="E218" s="176" t="s">
        <v>136</v>
      </c>
      <c r="F218" s="176" t="s">
        <v>135</v>
      </c>
      <c r="G218" s="176" t="s">
        <v>3076</v>
      </c>
      <c r="H218" s="176" t="s">
        <v>185</v>
      </c>
      <c r="L218" s="17" t="s">
        <v>254</v>
      </c>
    </row>
    <row r="219">
      <c r="A219" s="175">
        <v>136.0</v>
      </c>
      <c r="B219" s="177" t="s">
        <v>6</v>
      </c>
      <c r="C219" s="177" t="s">
        <v>3173</v>
      </c>
      <c r="D219" s="177" t="s">
        <v>284</v>
      </c>
      <c r="E219" s="177" t="s">
        <v>135</v>
      </c>
      <c r="F219" s="177" t="s">
        <v>135</v>
      </c>
      <c r="G219" s="177" t="s">
        <v>137</v>
      </c>
      <c r="H219" s="177" t="s">
        <v>3024</v>
      </c>
      <c r="L219" s="17" t="s">
        <v>254</v>
      </c>
    </row>
    <row r="220">
      <c r="A220" s="175">
        <v>12.0</v>
      </c>
      <c r="B220" s="177" t="s">
        <v>6</v>
      </c>
      <c r="C220" s="177" t="s">
        <v>3174</v>
      </c>
      <c r="D220" s="177" t="s">
        <v>394</v>
      </c>
      <c r="E220" s="177" t="s">
        <v>135</v>
      </c>
      <c r="F220" s="177" t="s">
        <v>136</v>
      </c>
      <c r="G220" s="177" t="s">
        <v>3083</v>
      </c>
      <c r="H220" s="177" t="s">
        <v>3020</v>
      </c>
      <c r="L220" s="17" t="s">
        <v>254</v>
      </c>
    </row>
    <row r="221">
      <c r="A221" s="175">
        <v>63.0</v>
      </c>
      <c r="B221" s="177" t="s">
        <v>6</v>
      </c>
      <c r="C221" s="177" t="s">
        <v>334</v>
      </c>
      <c r="D221" s="177" t="s">
        <v>228</v>
      </c>
      <c r="E221" s="177" t="s">
        <v>136</v>
      </c>
      <c r="F221" s="177" t="s">
        <v>136</v>
      </c>
      <c r="G221" s="177" t="s">
        <v>137</v>
      </c>
      <c r="H221" s="177" t="s">
        <v>3022</v>
      </c>
      <c r="L221" s="17" t="s">
        <v>254</v>
      </c>
    </row>
    <row r="222">
      <c r="A222" s="175">
        <v>123.0</v>
      </c>
      <c r="B222" s="177" t="s">
        <v>6</v>
      </c>
      <c r="C222" s="177" t="s">
        <v>356</v>
      </c>
      <c r="D222" s="177" t="s">
        <v>228</v>
      </c>
      <c r="E222" s="177" t="s">
        <v>136</v>
      </c>
      <c r="F222" s="177" t="s">
        <v>136</v>
      </c>
      <c r="G222" s="177" t="s">
        <v>3076</v>
      </c>
      <c r="H222" s="177" t="s">
        <v>3055</v>
      </c>
      <c r="L222" s="17" t="s">
        <v>254</v>
      </c>
    </row>
    <row r="223">
      <c r="A223" s="175">
        <v>180.0</v>
      </c>
      <c r="B223" s="177" t="s">
        <v>6</v>
      </c>
      <c r="C223" s="177" t="s">
        <v>3175</v>
      </c>
      <c r="D223" s="177" t="s">
        <v>228</v>
      </c>
      <c r="E223" s="177" t="s">
        <v>136</v>
      </c>
      <c r="F223" s="177" t="s">
        <v>135</v>
      </c>
      <c r="G223" s="177" t="s">
        <v>3076</v>
      </c>
      <c r="H223" s="177" t="s">
        <v>3055</v>
      </c>
      <c r="L223" s="17" t="s">
        <v>254</v>
      </c>
    </row>
    <row r="224">
      <c r="A224" s="175">
        <v>183.0</v>
      </c>
      <c r="B224" s="177" t="s">
        <v>6</v>
      </c>
      <c r="C224" s="177" t="s">
        <v>3176</v>
      </c>
      <c r="D224" s="177" t="s">
        <v>228</v>
      </c>
      <c r="E224" s="177" t="s">
        <v>136</v>
      </c>
      <c r="F224" s="177" t="s">
        <v>136</v>
      </c>
      <c r="G224" s="177" t="s">
        <v>137</v>
      </c>
      <c r="H224" s="177" t="s">
        <v>3026</v>
      </c>
      <c r="L224" s="17" t="s">
        <v>254</v>
      </c>
    </row>
    <row r="225">
      <c r="A225" s="175">
        <v>238.0</v>
      </c>
      <c r="B225" s="177" t="s">
        <v>7</v>
      </c>
      <c r="C225" s="177" t="s">
        <v>1319</v>
      </c>
      <c r="D225" s="177" t="s">
        <v>228</v>
      </c>
      <c r="E225" s="177" t="s">
        <v>135</v>
      </c>
      <c r="F225" s="177" t="s">
        <v>136</v>
      </c>
      <c r="G225" s="177" t="s">
        <v>137</v>
      </c>
      <c r="H225" s="177" t="s">
        <v>3020</v>
      </c>
      <c r="L225" s="17" t="s">
        <v>254</v>
      </c>
    </row>
    <row r="226">
      <c r="A226" s="175">
        <v>272.0</v>
      </c>
      <c r="B226" s="177" t="s">
        <v>6</v>
      </c>
      <c r="C226" s="177" t="s">
        <v>1319</v>
      </c>
      <c r="D226" s="177" t="s">
        <v>228</v>
      </c>
      <c r="E226" s="177" t="s">
        <v>136</v>
      </c>
      <c r="F226" s="177" t="s">
        <v>136</v>
      </c>
      <c r="G226" s="177" t="s">
        <v>137</v>
      </c>
      <c r="H226" s="177" t="s">
        <v>3055</v>
      </c>
      <c r="L226" s="17" t="s">
        <v>254</v>
      </c>
    </row>
    <row r="227">
      <c r="A227" s="175">
        <v>307.0</v>
      </c>
      <c r="B227" s="177" t="s">
        <v>6</v>
      </c>
      <c r="C227" s="177" t="s">
        <v>3177</v>
      </c>
      <c r="D227" s="177" t="s">
        <v>228</v>
      </c>
      <c r="E227" s="177" t="s">
        <v>136</v>
      </c>
      <c r="F227" s="177" t="s">
        <v>136</v>
      </c>
      <c r="G227" s="177" t="s">
        <v>137</v>
      </c>
      <c r="H227" s="177" t="s">
        <v>3022</v>
      </c>
      <c r="L227" s="17" t="s">
        <v>254</v>
      </c>
    </row>
    <row r="228">
      <c r="A228" s="175">
        <v>39.0</v>
      </c>
      <c r="B228" s="176" t="s">
        <v>6</v>
      </c>
      <c r="C228" s="176" t="s">
        <v>589</v>
      </c>
      <c r="D228" s="176" t="s">
        <v>233</v>
      </c>
      <c r="E228" s="176" t="s">
        <v>136</v>
      </c>
      <c r="F228" s="176" t="s">
        <v>136</v>
      </c>
      <c r="G228" s="176" t="s">
        <v>3153</v>
      </c>
      <c r="H228" s="176" t="s">
        <v>185</v>
      </c>
      <c r="L228" s="17" t="s">
        <v>254</v>
      </c>
    </row>
    <row r="229">
      <c r="A229" s="175">
        <v>57.0</v>
      </c>
      <c r="B229" s="177" t="s">
        <v>6</v>
      </c>
      <c r="C229" s="177" t="s">
        <v>3178</v>
      </c>
      <c r="D229" s="177" t="s">
        <v>233</v>
      </c>
      <c r="E229" s="177" t="s">
        <v>136</v>
      </c>
      <c r="F229" s="177" t="s">
        <v>136</v>
      </c>
      <c r="G229" s="177" t="s">
        <v>3081</v>
      </c>
      <c r="H229" s="177" t="s">
        <v>3022</v>
      </c>
      <c r="L229" s="17" t="s">
        <v>254</v>
      </c>
    </row>
    <row r="230">
      <c r="A230" s="175">
        <v>62.0</v>
      </c>
      <c r="B230" s="176" t="s">
        <v>7</v>
      </c>
      <c r="C230" s="176" t="s">
        <v>3179</v>
      </c>
      <c r="D230" s="176" t="s">
        <v>233</v>
      </c>
      <c r="E230" s="176" t="s">
        <v>136</v>
      </c>
      <c r="F230" s="176" t="s">
        <v>136</v>
      </c>
      <c r="G230" s="176" t="s">
        <v>137</v>
      </c>
      <c r="H230" s="176" t="s">
        <v>3055</v>
      </c>
      <c r="L230" s="17" t="s">
        <v>254</v>
      </c>
    </row>
    <row r="231">
      <c r="A231" s="175">
        <v>90.0</v>
      </c>
      <c r="B231" s="177" t="s">
        <v>6</v>
      </c>
      <c r="C231" s="177" t="s">
        <v>3180</v>
      </c>
      <c r="D231" s="177" t="s">
        <v>233</v>
      </c>
      <c r="E231" s="177" t="s">
        <v>136</v>
      </c>
      <c r="F231" s="177" t="s">
        <v>136</v>
      </c>
      <c r="G231" s="177" t="s">
        <v>137</v>
      </c>
      <c r="H231" s="177" t="s">
        <v>3020</v>
      </c>
      <c r="L231" s="17" t="s">
        <v>254</v>
      </c>
    </row>
    <row r="232">
      <c r="A232" s="175">
        <v>161.0</v>
      </c>
      <c r="B232" s="177" t="s">
        <v>6</v>
      </c>
      <c r="C232" s="177" t="s">
        <v>2937</v>
      </c>
      <c r="D232" s="177" t="s">
        <v>233</v>
      </c>
      <c r="E232" s="177" t="s">
        <v>135</v>
      </c>
      <c r="F232" s="177" t="s">
        <v>136</v>
      </c>
      <c r="G232" s="177" t="s">
        <v>3145</v>
      </c>
      <c r="H232" s="177" t="s">
        <v>3020</v>
      </c>
      <c r="L232" s="17" t="s">
        <v>254</v>
      </c>
    </row>
    <row r="233">
      <c r="A233" s="175">
        <v>263.0</v>
      </c>
      <c r="B233" s="177" t="s">
        <v>7</v>
      </c>
      <c r="C233" s="177" t="s">
        <v>3181</v>
      </c>
      <c r="D233" s="177" t="s">
        <v>233</v>
      </c>
      <c r="E233" s="177" t="s">
        <v>136</v>
      </c>
      <c r="F233" s="177" t="s">
        <v>136</v>
      </c>
      <c r="G233" s="177" t="s">
        <v>137</v>
      </c>
      <c r="H233" s="177" t="s">
        <v>3055</v>
      </c>
      <c r="L233" s="17" t="s">
        <v>254</v>
      </c>
    </row>
    <row r="234">
      <c r="A234" s="175">
        <v>268.0</v>
      </c>
      <c r="B234" s="177" t="s">
        <v>7</v>
      </c>
      <c r="C234" s="177" t="s">
        <v>3182</v>
      </c>
      <c r="D234" s="177" t="s">
        <v>233</v>
      </c>
      <c r="E234" s="177" t="s">
        <v>135</v>
      </c>
      <c r="F234" s="177" t="s">
        <v>136</v>
      </c>
      <c r="G234" s="177" t="s">
        <v>137</v>
      </c>
      <c r="H234" s="177" t="s">
        <v>3024</v>
      </c>
      <c r="L234" s="17" t="s">
        <v>254</v>
      </c>
    </row>
    <row r="235">
      <c r="A235" s="175">
        <v>294.0</v>
      </c>
      <c r="B235" s="177" t="s">
        <v>7</v>
      </c>
      <c r="C235" s="177" t="s">
        <v>589</v>
      </c>
      <c r="D235" s="177" t="s">
        <v>233</v>
      </c>
      <c r="E235" s="177" t="s">
        <v>135</v>
      </c>
      <c r="F235" s="177" t="s">
        <v>136</v>
      </c>
      <c r="G235" s="177" t="s">
        <v>137</v>
      </c>
      <c r="H235" s="177" t="s">
        <v>3024</v>
      </c>
      <c r="L235" s="17" t="s">
        <v>254</v>
      </c>
    </row>
    <row r="236">
      <c r="A236" s="175">
        <v>228.0</v>
      </c>
      <c r="B236" s="176" t="s">
        <v>7</v>
      </c>
      <c r="C236" s="176" t="s">
        <v>3183</v>
      </c>
      <c r="D236" s="176" t="s">
        <v>302</v>
      </c>
      <c r="E236" s="176" t="s">
        <v>135</v>
      </c>
      <c r="F236" s="176" t="s">
        <v>136</v>
      </c>
      <c r="G236" s="176" t="s">
        <v>3163</v>
      </c>
      <c r="H236" s="176" t="s">
        <v>3024</v>
      </c>
      <c r="L236" s="17" t="s">
        <v>254</v>
      </c>
    </row>
    <row r="237">
      <c r="A237" s="175">
        <v>7.0</v>
      </c>
      <c r="B237" s="176" t="s">
        <v>6</v>
      </c>
      <c r="C237" s="176" t="s">
        <v>3184</v>
      </c>
      <c r="D237" s="176" t="s">
        <v>176</v>
      </c>
      <c r="E237" s="176" t="s">
        <v>136</v>
      </c>
      <c r="F237" s="176" t="s">
        <v>136</v>
      </c>
      <c r="G237" s="176" t="s">
        <v>137</v>
      </c>
      <c r="H237" s="176" t="s">
        <v>3022</v>
      </c>
      <c r="L237" s="17" t="s">
        <v>254</v>
      </c>
    </row>
    <row r="238">
      <c r="A238" s="175">
        <v>13.0</v>
      </c>
      <c r="B238" s="177" t="s">
        <v>7</v>
      </c>
      <c r="C238" s="177" t="s">
        <v>211</v>
      </c>
      <c r="D238" s="177" t="s">
        <v>176</v>
      </c>
      <c r="E238" s="177" t="s">
        <v>136</v>
      </c>
      <c r="F238" s="177" t="s">
        <v>136</v>
      </c>
      <c r="G238" s="177" t="s">
        <v>137</v>
      </c>
      <c r="H238" s="177" t="s">
        <v>3020</v>
      </c>
      <c r="L238" s="17" t="s">
        <v>254</v>
      </c>
    </row>
    <row r="239">
      <c r="A239" s="175">
        <v>15.0</v>
      </c>
      <c r="B239" s="176" t="s">
        <v>7</v>
      </c>
      <c r="C239" s="176" t="s">
        <v>211</v>
      </c>
      <c r="D239" s="176" t="s">
        <v>176</v>
      </c>
      <c r="E239" s="176" t="s">
        <v>136</v>
      </c>
      <c r="F239" s="176" t="s">
        <v>136</v>
      </c>
      <c r="G239" s="176" t="s">
        <v>137</v>
      </c>
      <c r="H239" s="176" t="s">
        <v>3026</v>
      </c>
      <c r="L239" s="17" t="s">
        <v>254</v>
      </c>
    </row>
    <row r="240">
      <c r="A240" s="175">
        <v>29.0</v>
      </c>
      <c r="B240" s="177" t="s">
        <v>6</v>
      </c>
      <c r="C240" s="177" t="s">
        <v>211</v>
      </c>
      <c r="D240" s="177" t="s">
        <v>176</v>
      </c>
      <c r="E240" s="177" t="s">
        <v>136</v>
      </c>
      <c r="F240" s="177" t="s">
        <v>136</v>
      </c>
      <c r="G240" s="177" t="s">
        <v>137</v>
      </c>
      <c r="H240" s="177" t="s">
        <v>3022</v>
      </c>
      <c r="L240" s="17" t="s">
        <v>254</v>
      </c>
    </row>
    <row r="241">
      <c r="A241" s="175">
        <v>38.0</v>
      </c>
      <c r="B241" s="177" t="s">
        <v>7</v>
      </c>
      <c r="C241" s="177" t="s">
        <v>211</v>
      </c>
      <c r="D241" s="177" t="s">
        <v>176</v>
      </c>
      <c r="E241" s="177" t="s">
        <v>136</v>
      </c>
      <c r="F241" s="177" t="s">
        <v>136</v>
      </c>
      <c r="G241" s="177" t="s">
        <v>3083</v>
      </c>
      <c r="H241" s="177" t="s">
        <v>3065</v>
      </c>
      <c r="L241" s="17" t="s">
        <v>254</v>
      </c>
    </row>
    <row r="242">
      <c r="A242" s="175">
        <v>42.0</v>
      </c>
      <c r="B242" s="177" t="s">
        <v>7</v>
      </c>
      <c r="C242" s="177" t="s">
        <v>375</v>
      </c>
      <c r="D242" s="177" t="s">
        <v>176</v>
      </c>
      <c r="E242" s="177" t="s">
        <v>135</v>
      </c>
      <c r="F242" s="177" t="s">
        <v>136</v>
      </c>
      <c r="G242" s="177" t="s">
        <v>3185</v>
      </c>
      <c r="H242" s="177" t="s">
        <v>3024</v>
      </c>
      <c r="L242" s="17" t="s">
        <v>254</v>
      </c>
    </row>
    <row r="243">
      <c r="A243" s="175">
        <v>52.0</v>
      </c>
      <c r="B243" s="176" t="s">
        <v>7</v>
      </c>
      <c r="C243" s="176" t="s">
        <v>211</v>
      </c>
      <c r="D243" s="176" t="s">
        <v>176</v>
      </c>
      <c r="E243" s="176" t="s">
        <v>136</v>
      </c>
      <c r="F243" s="176" t="s">
        <v>136</v>
      </c>
      <c r="G243" s="176" t="s">
        <v>3083</v>
      </c>
      <c r="H243" s="176" t="s">
        <v>3022</v>
      </c>
      <c r="L243" s="17" t="s">
        <v>254</v>
      </c>
    </row>
    <row r="244">
      <c r="A244" s="175">
        <v>55.0</v>
      </c>
      <c r="B244" s="177" t="s">
        <v>7</v>
      </c>
      <c r="C244" s="177" t="s">
        <v>211</v>
      </c>
      <c r="D244" s="177" t="s">
        <v>176</v>
      </c>
      <c r="E244" s="177" t="s">
        <v>135</v>
      </c>
      <c r="F244" s="177" t="s">
        <v>136</v>
      </c>
      <c r="G244" s="177" t="s">
        <v>137</v>
      </c>
      <c r="H244" s="177" t="s">
        <v>3020</v>
      </c>
      <c r="L244" s="17" t="s">
        <v>254</v>
      </c>
    </row>
    <row r="245">
      <c r="A245" s="175">
        <v>60.0</v>
      </c>
      <c r="B245" s="176" t="s">
        <v>7</v>
      </c>
      <c r="C245" s="176" t="s">
        <v>211</v>
      </c>
      <c r="D245" s="176" t="s">
        <v>176</v>
      </c>
      <c r="E245" s="176" t="s">
        <v>136</v>
      </c>
      <c r="F245" s="176" t="s">
        <v>136</v>
      </c>
      <c r="G245" s="176" t="s">
        <v>137</v>
      </c>
      <c r="H245" s="176" t="s">
        <v>3020</v>
      </c>
      <c r="L245" s="17" t="s">
        <v>254</v>
      </c>
    </row>
    <row r="246">
      <c r="A246" s="175">
        <v>172.0</v>
      </c>
      <c r="B246" s="176" t="s">
        <v>6</v>
      </c>
      <c r="C246" s="176" t="s">
        <v>3184</v>
      </c>
      <c r="D246" s="176" t="s">
        <v>176</v>
      </c>
      <c r="E246" s="176" t="s">
        <v>136</v>
      </c>
      <c r="F246" s="176" t="s">
        <v>136</v>
      </c>
      <c r="G246" s="176" t="s">
        <v>137</v>
      </c>
      <c r="H246" s="176" t="s">
        <v>3022</v>
      </c>
      <c r="L246" s="17" t="s">
        <v>254</v>
      </c>
    </row>
    <row r="247">
      <c r="A247" s="175">
        <v>175.0</v>
      </c>
      <c r="B247" s="177" t="s">
        <v>6</v>
      </c>
      <c r="C247" s="177" t="s">
        <v>375</v>
      </c>
      <c r="D247" s="177" t="s">
        <v>176</v>
      </c>
      <c r="E247" s="177" t="s">
        <v>135</v>
      </c>
      <c r="F247" s="177" t="s">
        <v>136</v>
      </c>
      <c r="G247" s="177" t="s">
        <v>137</v>
      </c>
      <c r="H247" s="177" t="s">
        <v>3024</v>
      </c>
      <c r="L247" s="17" t="s">
        <v>254</v>
      </c>
    </row>
    <row r="248">
      <c r="A248" s="175">
        <v>185.0</v>
      </c>
      <c r="B248" s="177" t="s">
        <v>6</v>
      </c>
      <c r="C248" s="177" t="s">
        <v>211</v>
      </c>
      <c r="D248" s="177" t="s">
        <v>176</v>
      </c>
      <c r="E248" s="177" t="s">
        <v>136</v>
      </c>
      <c r="F248" s="177" t="s">
        <v>136</v>
      </c>
      <c r="G248" s="177" t="s">
        <v>137</v>
      </c>
      <c r="H248" s="177" t="s">
        <v>3022</v>
      </c>
      <c r="L248" s="17" t="s">
        <v>254</v>
      </c>
    </row>
    <row r="249">
      <c r="A249" s="175">
        <v>198.0</v>
      </c>
      <c r="B249" s="176" t="s">
        <v>6</v>
      </c>
      <c r="C249" s="176" t="s">
        <v>211</v>
      </c>
      <c r="D249" s="176" t="s">
        <v>176</v>
      </c>
      <c r="E249" s="176" t="s">
        <v>136</v>
      </c>
      <c r="F249" s="176" t="s">
        <v>136</v>
      </c>
      <c r="G249" s="176" t="s">
        <v>3027</v>
      </c>
      <c r="H249" s="176" t="s">
        <v>3020</v>
      </c>
      <c r="L249" s="17" t="s">
        <v>254</v>
      </c>
    </row>
    <row r="250">
      <c r="A250" s="175">
        <v>226.0</v>
      </c>
      <c r="B250" s="177" t="s">
        <v>7</v>
      </c>
      <c r="C250" s="177" t="s">
        <v>375</v>
      </c>
      <c r="D250" s="177" t="s">
        <v>176</v>
      </c>
      <c r="E250" s="177" t="s">
        <v>136</v>
      </c>
      <c r="F250" s="177" t="s">
        <v>136</v>
      </c>
      <c r="G250" s="177" t="s">
        <v>137</v>
      </c>
      <c r="H250" s="177" t="s">
        <v>3020</v>
      </c>
      <c r="L250" s="17" t="s">
        <v>254</v>
      </c>
    </row>
    <row r="251">
      <c r="A251" s="175">
        <v>188.0</v>
      </c>
      <c r="B251" s="177" t="s">
        <v>7</v>
      </c>
      <c r="C251" s="177" t="s">
        <v>211</v>
      </c>
      <c r="D251" s="177" t="s">
        <v>176</v>
      </c>
      <c r="E251" s="177" t="s">
        <v>136</v>
      </c>
      <c r="F251" s="177" t="s">
        <v>136</v>
      </c>
      <c r="G251" s="177" t="s">
        <v>137</v>
      </c>
      <c r="H251" s="177" t="s">
        <v>3022</v>
      </c>
      <c r="L251" s="17" t="s">
        <v>254</v>
      </c>
    </row>
    <row r="252">
      <c r="A252" s="175">
        <v>32.0</v>
      </c>
      <c r="B252" s="176" t="s">
        <v>6</v>
      </c>
      <c r="C252" s="176" t="s">
        <v>3186</v>
      </c>
      <c r="D252" s="176" t="s">
        <v>309</v>
      </c>
      <c r="E252" s="176" t="s">
        <v>136</v>
      </c>
      <c r="F252" s="176" t="s">
        <v>136</v>
      </c>
      <c r="G252" s="176" t="s">
        <v>3083</v>
      </c>
      <c r="H252" s="176" t="s">
        <v>3055</v>
      </c>
      <c r="L252" s="17" t="s">
        <v>254</v>
      </c>
    </row>
    <row r="253">
      <c r="A253" s="175">
        <v>222.0</v>
      </c>
      <c r="B253" s="176" t="s">
        <v>6</v>
      </c>
      <c r="C253" s="176" t="s">
        <v>137</v>
      </c>
      <c r="D253" s="176" t="s">
        <v>309</v>
      </c>
      <c r="E253" s="176" t="s">
        <v>136</v>
      </c>
      <c r="F253" s="176" t="s">
        <v>135</v>
      </c>
      <c r="G253" s="176" t="s">
        <v>3057</v>
      </c>
      <c r="H253" s="176" t="s">
        <v>185</v>
      </c>
      <c r="L253" s="17" t="s">
        <v>254</v>
      </c>
    </row>
    <row r="254">
      <c r="A254" s="175">
        <v>234.0</v>
      </c>
      <c r="B254" s="176" t="s">
        <v>7</v>
      </c>
      <c r="C254" s="176" t="s">
        <v>3187</v>
      </c>
      <c r="D254" s="176" t="s">
        <v>309</v>
      </c>
      <c r="E254" s="176" t="s">
        <v>136</v>
      </c>
      <c r="F254" s="176" t="s">
        <v>135</v>
      </c>
      <c r="G254" s="176" t="s">
        <v>3057</v>
      </c>
      <c r="H254" s="176" t="s">
        <v>3065</v>
      </c>
      <c r="L254" s="17" t="s">
        <v>254</v>
      </c>
    </row>
    <row r="255">
      <c r="A255" s="175">
        <v>293.0</v>
      </c>
      <c r="B255" s="177" t="s">
        <v>6</v>
      </c>
      <c r="C255" s="177" t="s">
        <v>3188</v>
      </c>
      <c r="D255" s="177" t="s">
        <v>309</v>
      </c>
      <c r="E255" s="177" t="s">
        <v>136</v>
      </c>
      <c r="F255" s="177" t="s">
        <v>136</v>
      </c>
      <c r="G255" s="177" t="s">
        <v>3163</v>
      </c>
      <c r="H255" s="177" t="s">
        <v>3020</v>
      </c>
      <c r="L255" s="17" t="s">
        <v>254</v>
      </c>
    </row>
    <row r="256">
      <c r="A256" s="175">
        <v>105.0</v>
      </c>
      <c r="B256" s="177" t="s">
        <v>6</v>
      </c>
      <c r="C256" s="177" t="s">
        <v>3189</v>
      </c>
      <c r="D256" s="177" t="s">
        <v>398</v>
      </c>
      <c r="E256" s="177" t="s">
        <v>136</v>
      </c>
      <c r="F256" s="177" t="s">
        <v>136</v>
      </c>
      <c r="G256" s="177" t="s">
        <v>137</v>
      </c>
      <c r="H256" s="177" t="s">
        <v>3020</v>
      </c>
      <c r="L256" s="17" t="s">
        <v>254</v>
      </c>
    </row>
    <row r="257">
      <c r="A257" s="175">
        <v>125.0</v>
      </c>
      <c r="B257" s="176" t="s">
        <v>7</v>
      </c>
      <c r="C257" s="176" t="s">
        <v>2941</v>
      </c>
      <c r="D257" s="176" t="s">
        <v>398</v>
      </c>
      <c r="E257" s="176" t="s">
        <v>136</v>
      </c>
      <c r="F257" s="176" t="s">
        <v>136</v>
      </c>
      <c r="G257" s="176" t="s">
        <v>137</v>
      </c>
      <c r="H257" s="176" t="s">
        <v>3020</v>
      </c>
      <c r="L257" s="17" t="s">
        <v>254</v>
      </c>
    </row>
    <row r="258">
      <c r="A258" s="175">
        <v>162.0</v>
      </c>
      <c r="B258" s="177" t="s">
        <v>3111</v>
      </c>
      <c r="C258" s="177" t="s">
        <v>2941</v>
      </c>
      <c r="D258" s="177" t="s">
        <v>398</v>
      </c>
      <c r="E258" s="177" t="s">
        <v>136</v>
      </c>
      <c r="F258" s="177" t="s">
        <v>136</v>
      </c>
      <c r="G258" s="177" t="s">
        <v>137</v>
      </c>
      <c r="H258" s="177" t="s">
        <v>185</v>
      </c>
      <c r="L258" s="17" t="s">
        <v>254</v>
      </c>
    </row>
    <row r="259">
      <c r="A259" s="175">
        <v>163.0</v>
      </c>
      <c r="B259" s="177" t="s">
        <v>7</v>
      </c>
      <c r="C259" s="177" t="s">
        <v>2941</v>
      </c>
      <c r="D259" s="177" t="s">
        <v>398</v>
      </c>
      <c r="E259" s="177" t="s">
        <v>136</v>
      </c>
      <c r="F259" s="177" t="s">
        <v>136</v>
      </c>
      <c r="G259" s="177" t="s">
        <v>137</v>
      </c>
      <c r="H259" s="177" t="s">
        <v>185</v>
      </c>
      <c r="L259" s="17" t="s">
        <v>254</v>
      </c>
    </row>
    <row r="260">
      <c r="A260" s="175">
        <v>206.0</v>
      </c>
      <c r="B260" s="176" t="s">
        <v>6</v>
      </c>
      <c r="C260" s="176" t="s">
        <v>3190</v>
      </c>
      <c r="D260" s="176" t="s">
        <v>398</v>
      </c>
      <c r="E260" s="176" t="s">
        <v>136</v>
      </c>
      <c r="F260" s="176" t="s">
        <v>136</v>
      </c>
      <c r="G260" s="176" t="s">
        <v>137</v>
      </c>
      <c r="H260" s="176" t="s">
        <v>3043</v>
      </c>
      <c r="L260" s="17" t="s">
        <v>254</v>
      </c>
    </row>
    <row r="261">
      <c r="A261" s="175">
        <v>235.0</v>
      </c>
      <c r="B261" s="177" t="s">
        <v>6</v>
      </c>
      <c r="C261" s="177" t="s">
        <v>2941</v>
      </c>
      <c r="D261" s="177" t="s">
        <v>398</v>
      </c>
      <c r="E261" s="177" t="s">
        <v>135</v>
      </c>
      <c r="F261" s="177" t="s">
        <v>136</v>
      </c>
      <c r="G261" s="177" t="s">
        <v>137</v>
      </c>
      <c r="H261" s="177" t="s">
        <v>3020</v>
      </c>
      <c r="L261" s="17" t="s">
        <v>254</v>
      </c>
    </row>
    <row r="262">
      <c r="A262" s="175">
        <v>280.0</v>
      </c>
      <c r="B262" s="177" t="s">
        <v>6</v>
      </c>
      <c r="C262" s="177" t="s">
        <v>3190</v>
      </c>
      <c r="D262" s="177" t="s">
        <v>398</v>
      </c>
      <c r="E262" s="177" t="s">
        <v>136</v>
      </c>
      <c r="F262" s="177" t="s">
        <v>136</v>
      </c>
      <c r="G262" s="177" t="s">
        <v>137</v>
      </c>
      <c r="H262" s="177" t="s">
        <v>185</v>
      </c>
      <c r="L262" s="17" t="s">
        <v>254</v>
      </c>
    </row>
    <row r="263">
      <c r="A263" s="175">
        <v>315.0</v>
      </c>
      <c r="B263" s="176" t="s">
        <v>7</v>
      </c>
      <c r="C263" s="176" t="s">
        <v>3190</v>
      </c>
      <c r="D263" s="176" t="s">
        <v>398</v>
      </c>
      <c r="E263" s="176" t="s">
        <v>136</v>
      </c>
      <c r="F263" s="176" t="s">
        <v>136</v>
      </c>
      <c r="G263" s="176" t="s">
        <v>137</v>
      </c>
      <c r="H263" s="176" t="s">
        <v>3022</v>
      </c>
      <c r="L263" s="17" t="s">
        <v>254</v>
      </c>
    </row>
    <row r="264">
      <c r="A264" s="175">
        <v>168.0</v>
      </c>
      <c r="B264" s="177" t="s">
        <v>6</v>
      </c>
      <c r="C264" s="177" t="s">
        <v>3190</v>
      </c>
      <c r="D264" s="177" t="s">
        <v>398</v>
      </c>
      <c r="E264" s="177" t="s">
        <v>136</v>
      </c>
      <c r="F264" s="177" t="s">
        <v>136</v>
      </c>
      <c r="G264" s="177" t="s">
        <v>137</v>
      </c>
      <c r="H264" s="177" t="s">
        <v>3026</v>
      </c>
      <c r="L264" s="17" t="s">
        <v>254</v>
      </c>
    </row>
    <row r="265">
      <c r="A265" s="175">
        <v>199.0</v>
      </c>
      <c r="B265" s="177" t="s">
        <v>6</v>
      </c>
      <c r="C265" s="177" t="s">
        <v>2941</v>
      </c>
      <c r="D265" s="177" t="s">
        <v>398</v>
      </c>
      <c r="E265" s="177" t="s">
        <v>136</v>
      </c>
      <c r="F265" s="177" t="s">
        <v>136</v>
      </c>
      <c r="G265" s="177" t="s">
        <v>3069</v>
      </c>
      <c r="H265" s="177" t="s">
        <v>185</v>
      </c>
      <c r="L265" s="17" t="s">
        <v>254</v>
      </c>
    </row>
    <row r="266">
      <c r="A266" s="175">
        <v>1.0</v>
      </c>
      <c r="B266" s="176" t="s">
        <v>6</v>
      </c>
      <c r="C266" s="176" t="s">
        <v>1085</v>
      </c>
      <c r="D266" s="176" t="s">
        <v>202</v>
      </c>
      <c r="E266" s="176" t="s">
        <v>135</v>
      </c>
      <c r="F266" s="176" t="s">
        <v>136</v>
      </c>
      <c r="G266" s="176" t="s">
        <v>3021</v>
      </c>
      <c r="H266" s="176" t="s">
        <v>3024</v>
      </c>
      <c r="L266" s="17" t="s">
        <v>254</v>
      </c>
    </row>
    <row r="267">
      <c r="A267" s="175">
        <v>23.0</v>
      </c>
      <c r="B267" s="176" t="s">
        <v>6</v>
      </c>
      <c r="C267" s="176" t="s">
        <v>998</v>
      </c>
      <c r="D267" s="176" t="s">
        <v>202</v>
      </c>
      <c r="E267" s="176" t="s">
        <v>136</v>
      </c>
      <c r="F267" s="176" t="s">
        <v>136</v>
      </c>
      <c r="G267" s="176" t="s">
        <v>3027</v>
      </c>
      <c r="H267" s="176" t="s">
        <v>3026</v>
      </c>
      <c r="L267" s="17" t="s">
        <v>254</v>
      </c>
    </row>
    <row r="268">
      <c r="A268" s="175">
        <v>33.0</v>
      </c>
      <c r="B268" s="176" t="s">
        <v>6</v>
      </c>
      <c r="C268" s="176" t="s">
        <v>1087</v>
      </c>
      <c r="D268" s="176" t="s">
        <v>202</v>
      </c>
      <c r="E268" s="176" t="s">
        <v>136</v>
      </c>
      <c r="F268" s="176" t="s">
        <v>136</v>
      </c>
      <c r="G268" s="176" t="s">
        <v>3057</v>
      </c>
      <c r="H268" s="176" t="s">
        <v>3026</v>
      </c>
      <c r="L268" s="17" t="s">
        <v>254</v>
      </c>
    </row>
    <row r="269">
      <c r="A269" s="175">
        <v>35.0</v>
      </c>
      <c r="B269" s="176" t="s">
        <v>6</v>
      </c>
      <c r="C269" s="176" t="s">
        <v>2622</v>
      </c>
      <c r="D269" s="176" t="s">
        <v>202</v>
      </c>
      <c r="E269" s="176" t="s">
        <v>136</v>
      </c>
      <c r="F269" s="176" t="s">
        <v>136</v>
      </c>
      <c r="G269" s="176" t="s">
        <v>3153</v>
      </c>
      <c r="H269" s="176" t="s">
        <v>3043</v>
      </c>
      <c r="L269" s="17" t="s">
        <v>254</v>
      </c>
    </row>
    <row r="270">
      <c r="A270" s="175">
        <v>69.0</v>
      </c>
      <c r="B270" s="176" t="s">
        <v>6</v>
      </c>
      <c r="C270" s="176" t="s">
        <v>362</v>
      </c>
      <c r="D270" s="176" t="s">
        <v>202</v>
      </c>
      <c r="E270" s="176" t="s">
        <v>136</v>
      </c>
      <c r="F270" s="176" t="s">
        <v>136</v>
      </c>
      <c r="G270" s="176" t="s">
        <v>3076</v>
      </c>
      <c r="H270" s="176" t="s">
        <v>3022</v>
      </c>
      <c r="L270" s="17" t="s">
        <v>254</v>
      </c>
    </row>
    <row r="271">
      <c r="A271" s="175">
        <v>71.0</v>
      </c>
      <c r="B271" s="176" t="s">
        <v>6</v>
      </c>
      <c r="C271" s="176" t="s">
        <v>3191</v>
      </c>
      <c r="D271" s="176" t="s">
        <v>202</v>
      </c>
      <c r="E271" s="176" t="s">
        <v>136</v>
      </c>
      <c r="F271" s="176" t="s">
        <v>136</v>
      </c>
      <c r="G271" s="176" t="s">
        <v>137</v>
      </c>
      <c r="H271" s="176" t="s">
        <v>3020</v>
      </c>
      <c r="L271" s="17" t="s">
        <v>254</v>
      </c>
    </row>
    <row r="272">
      <c r="A272" s="175">
        <v>95.0</v>
      </c>
      <c r="B272" s="176" t="s">
        <v>7</v>
      </c>
      <c r="C272" s="176" t="s">
        <v>2622</v>
      </c>
      <c r="D272" s="176" t="s">
        <v>202</v>
      </c>
      <c r="E272" s="176" t="s">
        <v>136</v>
      </c>
      <c r="F272" s="176" t="s">
        <v>136</v>
      </c>
      <c r="G272" s="176" t="s">
        <v>3153</v>
      </c>
      <c r="H272" s="176" t="s">
        <v>3026</v>
      </c>
      <c r="L272" s="17" t="s">
        <v>254</v>
      </c>
    </row>
    <row r="273">
      <c r="A273" s="175">
        <v>104.0</v>
      </c>
      <c r="B273" s="176" t="s">
        <v>6</v>
      </c>
      <c r="C273" s="176" t="s">
        <v>3192</v>
      </c>
      <c r="D273" s="176" t="s">
        <v>202</v>
      </c>
      <c r="E273" s="176" t="s">
        <v>136</v>
      </c>
      <c r="F273" s="176" t="s">
        <v>136</v>
      </c>
      <c r="G273" s="176" t="s">
        <v>3153</v>
      </c>
      <c r="H273" s="176" t="s">
        <v>3026</v>
      </c>
      <c r="L273" s="17" t="s">
        <v>254</v>
      </c>
    </row>
    <row r="274">
      <c r="A274" s="175">
        <v>191.0</v>
      </c>
      <c r="B274" s="176" t="s">
        <v>6</v>
      </c>
      <c r="C274" s="176" t="s">
        <v>3193</v>
      </c>
      <c r="D274" s="176" t="s">
        <v>202</v>
      </c>
      <c r="E274" s="176" t="s">
        <v>135</v>
      </c>
      <c r="F274" s="176" t="s">
        <v>136</v>
      </c>
      <c r="G274" s="176" t="s">
        <v>3145</v>
      </c>
      <c r="H274" s="176" t="s">
        <v>3024</v>
      </c>
      <c r="L274" s="17" t="s">
        <v>254</v>
      </c>
    </row>
    <row r="275">
      <c r="A275" s="175">
        <v>200.0</v>
      </c>
      <c r="B275" s="176" t="s">
        <v>7</v>
      </c>
      <c r="C275" s="176" t="s">
        <v>3194</v>
      </c>
      <c r="D275" s="176" t="s">
        <v>202</v>
      </c>
      <c r="E275" s="176" t="s">
        <v>135</v>
      </c>
      <c r="F275" s="176" t="s">
        <v>136</v>
      </c>
      <c r="G275" s="176" t="s">
        <v>137</v>
      </c>
      <c r="H275" s="176" t="s">
        <v>3024</v>
      </c>
      <c r="L275" s="17" t="s">
        <v>254</v>
      </c>
    </row>
    <row r="276">
      <c r="A276" s="175">
        <v>247.0</v>
      </c>
      <c r="B276" s="176" t="s">
        <v>6</v>
      </c>
      <c r="C276" s="176" t="s">
        <v>1448</v>
      </c>
      <c r="D276" s="176" t="s">
        <v>202</v>
      </c>
      <c r="E276" s="176" t="s">
        <v>136</v>
      </c>
      <c r="F276" s="176" t="s">
        <v>136</v>
      </c>
      <c r="G276" s="176" t="s">
        <v>137</v>
      </c>
      <c r="H276" s="176" t="s">
        <v>3026</v>
      </c>
      <c r="L276" s="17" t="s">
        <v>254</v>
      </c>
    </row>
    <row r="277">
      <c r="A277" s="175">
        <v>258.0</v>
      </c>
      <c r="B277" s="177" t="s">
        <v>6</v>
      </c>
      <c r="C277" s="177" t="s">
        <v>1448</v>
      </c>
      <c r="D277" s="177" t="s">
        <v>202</v>
      </c>
      <c r="E277" s="177" t="s">
        <v>135</v>
      </c>
      <c r="F277" s="177" t="s">
        <v>136</v>
      </c>
      <c r="G277" s="177" t="s">
        <v>3195</v>
      </c>
      <c r="H277" s="177" t="s">
        <v>3024</v>
      </c>
      <c r="L277" s="17" t="s">
        <v>254</v>
      </c>
    </row>
    <row r="278">
      <c r="A278" s="175">
        <v>279.0</v>
      </c>
      <c r="B278" s="176" t="s">
        <v>7</v>
      </c>
      <c r="C278" s="176" t="s">
        <v>3196</v>
      </c>
      <c r="D278" s="176" t="s">
        <v>202</v>
      </c>
      <c r="E278" s="176" t="s">
        <v>136</v>
      </c>
      <c r="F278" s="176" t="s">
        <v>136</v>
      </c>
      <c r="G278" s="176" t="s">
        <v>3057</v>
      </c>
      <c r="H278" s="176" t="s">
        <v>3020</v>
      </c>
      <c r="L278" s="17" t="s">
        <v>254</v>
      </c>
    </row>
    <row r="279">
      <c r="A279" s="175">
        <v>310.0</v>
      </c>
      <c r="B279" s="176" t="s">
        <v>7</v>
      </c>
      <c r="C279" s="176" t="s">
        <v>469</v>
      </c>
      <c r="D279" s="176" t="s">
        <v>202</v>
      </c>
      <c r="E279" s="176" t="s">
        <v>136</v>
      </c>
      <c r="F279" s="176" t="s">
        <v>136</v>
      </c>
      <c r="G279" s="176" t="s">
        <v>3197</v>
      </c>
      <c r="H279" s="176" t="s">
        <v>3020</v>
      </c>
      <c r="L279" s="17" t="s">
        <v>254</v>
      </c>
    </row>
    <row r="280">
      <c r="A280" s="175">
        <v>25.0</v>
      </c>
      <c r="B280" s="176" t="s">
        <v>7</v>
      </c>
      <c r="C280" s="176" t="s">
        <v>3198</v>
      </c>
      <c r="D280" s="176" t="s">
        <v>374</v>
      </c>
      <c r="E280" s="176" t="s">
        <v>135</v>
      </c>
      <c r="F280" s="176" t="s">
        <v>136</v>
      </c>
      <c r="G280" s="176" t="s">
        <v>3064</v>
      </c>
      <c r="H280" s="176" t="s">
        <v>3020</v>
      </c>
      <c r="L280" s="17" t="s">
        <v>254</v>
      </c>
    </row>
    <row r="281">
      <c r="A281" s="175">
        <v>160.0</v>
      </c>
      <c r="B281" s="176" t="s">
        <v>7</v>
      </c>
      <c r="C281" s="176" t="s">
        <v>3198</v>
      </c>
      <c r="D281" s="176" t="s">
        <v>374</v>
      </c>
      <c r="E281" s="176" t="s">
        <v>136</v>
      </c>
      <c r="F281" s="176" t="s">
        <v>136</v>
      </c>
      <c r="G281" s="176" t="s">
        <v>137</v>
      </c>
      <c r="H281" s="176" t="s">
        <v>3020</v>
      </c>
      <c r="L281" s="17" t="s">
        <v>254</v>
      </c>
    </row>
    <row r="282">
      <c r="A282" s="175">
        <v>166.0</v>
      </c>
      <c r="B282" s="176" t="s">
        <v>6</v>
      </c>
      <c r="C282" s="176" t="s">
        <v>3198</v>
      </c>
      <c r="D282" s="176" t="s">
        <v>374</v>
      </c>
      <c r="E282" s="176" t="s">
        <v>136</v>
      </c>
      <c r="F282" s="176" t="s">
        <v>136</v>
      </c>
      <c r="G282" s="176" t="s">
        <v>137</v>
      </c>
      <c r="H282" s="176" t="s">
        <v>3055</v>
      </c>
      <c r="L282" s="17" t="s">
        <v>254</v>
      </c>
    </row>
    <row r="283">
      <c r="A283" s="175">
        <v>244.0</v>
      </c>
      <c r="B283" s="176" t="s">
        <v>6</v>
      </c>
      <c r="C283" s="176" t="s">
        <v>3198</v>
      </c>
      <c r="D283" s="176" t="s">
        <v>374</v>
      </c>
      <c r="E283" s="176" t="s">
        <v>136</v>
      </c>
      <c r="F283" s="176" t="s">
        <v>136</v>
      </c>
      <c r="G283" s="176" t="s">
        <v>137</v>
      </c>
      <c r="H283" s="176" t="s">
        <v>3022</v>
      </c>
      <c r="L283" s="17" t="s">
        <v>254</v>
      </c>
    </row>
    <row r="284">
      <c r="A284" s="175">
        <v>273.0</v>
      </c>
      <c r="B284" s="177" t="s">
        <v>7</v>
      </c>
      <c r="C284" s="177" t="s">
        <v>3199</v>
      </c>
      <c r="D284" s="177" t="s">
        <v>374</v>
      </c>
      <c r="E284" s="177" t="s">
        <v>136</v>
      </c>
      <c r="F284" s="177" t="s">
        <v>136</v>
      </c>
      <c r="G284" s="177" t="s">
        <v>3200</v>
      </c>
      <c r="H284" s="177" t="s">
        <v>3020</v>
      </c>
      <c r="L284" s="17" t="s">
        <v>254</v>
      </c>
    </row>
    <row r="285">
      <c r="A285" s="175">
        <v>19.0</v>
      </c>
      <c r="B285" s="177" t="s">
        <v>6</v>
      </c>
      <c r="C285" s="177" t="s">
        <v>3201</v>
      </c>
      <c r="D285" s="177" t="s">
        <v>187</v>
      </c>
      <c r="E285" s="177" t="s">
        <v>135</v>
      </c>
      <c r="F285" s="177" t="s">
        <v>136</v>
      </c>
      <c r="G285" s="177" t="s">
        <v>137</v>
      </c>
      <c r="H285" s="177" t="s">
        <v>3024</v>
      </c>
      <c r="L285" s="17" t="s">
        <v>254</v>
      </c>
    </row>
    <row r="286">
      <c r="A286" s="175">
        <v>43.0</v>
      </c>
      <c r="B286" s="176" t="s">
        <v>6</v>
      </c>
      <c r="C286" s="176" t="s">
        <v>3202</v>
      </c>
      <c r="D286" s="176" t="s">
        <v>187</v>
      </c>
      <c r="E286" s="176" t="s">
        <v>136</v>
      </c>
      <c r="F286" s="176" t="s">
        <v>136</v>
      </c>
      <c r="G286" s="176" t="s">
        <v>3057</v>
      </c>
      <c r="H286" s="176" t="s">
        <v>3022</v>
      </c>
      <c r="L286" s="17" t="s">
        <v>254</v>
      </c>
    </row>
    <row r="287">
      <c r="A287" s="175">
        <v>46.0</v>
      </c>
      <c r="B287" s="176" t="s">
        <v>6</v>
      </c>
      <c r="C287" s="176" t="s">
        <v>220</v>
      </c>
      <c r="D287" s="176" t="s">
        <v>187</v>
      </c>
      <c r="E287" s="176" t="s">
        <v>136</v>
      </c>
      <c r="F287" s="176" t="s">
        <v>136</v>
      </c>
      <c r="G287" s="176" t="s">
        <v>3027</v>
      </c>
      <c r="H287" s="176" t="s">
        <v>185</v>
      </c>
      <c r="L287" s="17" t="s">
        <v>254</v>
      </c>
    </row>
    <row r="288">
      <c r="A288" s="175">
        <v>53.0</v>
      </c>
      <c r="B288" s="176" t="s">
        <v>6</v>
      </c>
      <c r="C288" s="176" t="s">
        <v>436</v>
      </c>
      <c r="D288" s="176" t="s">
        <v>187</v>
      </c>
      <c r="E288" s="176" t="s">
        <v>136</v>
      </c>
      <c r="F288" s="176" t="s">
        <v>136</v>
      </c>
      <c r="G288" s="176" t="s">
        <v>137</v>
      </c>
      <c r="H288" s="176" t="s">
        <v>3065</v>
      </c>
      <c r="L288" s="17" t="s">
        <v>254</v>
      </c>
    </row>
    <row r="289">
      <c r="A289" s="175">
        <v>65.0</v>
      </c>
      <c r="B289" s="176" t="s">
        <v>7</v>
      </c>
      <c r="C289" s="176" t="s">
        <v>220</v>
      </c>
      <c r="D289" s="176" t="s">
        <v>187</v>
      </c>
      <c r="E289" s="176" t="s">
        <v>135</v>
      </c>
      <c r="F289" s="176" t="s">
        <v>136</v>
      </c>
      <c r="G289" s="176" t="s">
        <v>3076</v>
      </c>
      <c r="H289" s="176" t="s">
        <v>3020</v>
      </c>
      <c r="L289" s="17" t="s">
        <v>254</v>
      </c>
    </row>
    <row r="290">
      <c r="A290" s="175">
        <v>94.0</v>
      </c>
      <c r="B290" s="177" t="s">
        <v>6</v>
      </c>
      <c r="C290" s="177" t="s">
        <v>3203</v>
      </c>
      <c r="D290" s="177" t="s">
        <v>187</v>
      </c>
      <c r="E290" s="177" t="s">
        <v>136</v>
      </c>
      <c r="F290" s="177" t="s">
        <v>136</v>
      </c>
      <c r="G290" s="177" t="s">
        <v>3100</v>
      </c>
      <c r="H290" s="177" t="s">
        <v>3020</v>
      </c>
      <c r="L290" s="17" t="s">
        <v>254</v>
      </c>
    </row>
    <row r="291">
      <c r="A291" s="175">
        <v>177.0</v>
      </c>
      <c r="B291" s="176" t="s">
        <v>6</v>
      </c>
      <c r="C291" s="176" t="s">
        <v>436</v>
      </c>
      <c r="D291" s="176" t="s">
        <v>187</v>
      </c>
      <c r="E291" s="176" t="s">
        <v>136</v>
      </c>
      <c r="F291" s="176" t="s">
        <v>136</v>
      </c>
      <c r="G291" s="176" t="s">
        <v>3100</v>
      </c>
      <c r="H291" s="176" t="s">
        <v>3020</v>
      </c>
      <c r="L291" s="17" t="s">
        <v>254</v>
      </c>
    </row>
    <row r="292">
      <c r="A292" s="175">
        <v>202.0</v>
      </c>
      <c r="B292" s="176" t="s">
        <v>7</v>
      </c>
      <c r="C292" s="176" t="s">
        <v>3204</v>
      </c>
      <c r="D292" s="176" t="s">
        <v>187</v>
      </c>
      <c r="E292" s="176" t="s">
        <v>136</v>
      </c>
      <c r="F292" s="176" t="s">
        <v>136</v>
      </c>
      <c r="G292" s="176" t="s">
        <v>137</v>
      </c>
      <c r="H292" s="176" t="s">
        <v>3022</v>
      </c>
      <c r="L292" s="17" t="s">
        <v>254</v>
      </c>
    </row>
    <row r="293">
      <c r="A293" s="175">
        <v>260.0</v>
      </c>
      <c r="B293" s="176" t="s">
        <v>7</v>
      </c>
      <c r="C293" s="176" t="s">
        <v>3205</v>
      </c>
      <c r="D293" s="176" t="s">
        <v>187</v>
      </c>
      <c r="E293" s="176" t="s">
        <v>135</v>
      </c>
      <c r="F293" s="176" t="s">
        <v>136</v>
      </c>
      <c r="G293" s="176" t="s">
        <v>3206</v>
      </c>
      <c r="H293" s="176" t="s">
        <v>3020</v>
      </c>
      <c r="L293" s="17" t="s">
        <v>254</v>
      </c>
    </row>
    <row r="294">
      <c r="A294" s="175">
        <v>140.0</v>
      </c>
      <c r="B294" s="176" t="s">
        <v>6</v>
      </c>
      <c r="C294" s="176" t="s">
        <v>3207</v>
      </c>
      <c r="D294" s="176" t="s">
        <v>153</v>
      </c>
      <c r="E294" s="176" t="s">
        <v>135</v>
      </c>
      <c r="F294" s="176" t="s">
        <v>135</v>
      </c>
      <c r="G294" s="176" t="s">
        <v>3057</v>
      </c>
      <c r="H294" s="176" t="s">
        <v>3022</v>
      </c>
      <c r="L294" s="17" t="s">
        <v>254</v>
      </c>
    </row>
    <row r="295">
      <c r="A295" s="175">
        <v>138.0</v>
      </c>
      <c r="B295" s="177" t="s">
        <v>6</v>
      </c>
      <c r="C295" s="177" t="s">
        <v>3208</v>
      </c>
      <c r="D295" s="177" t="s">
        <v>153</v>
      </c>
      <c r="E295" s="177" t="s">
        <v>136</v>
      </c>
      <c r="F295" s="177" t="s">
        <v>135</v>
      </c>
      <c r="G295" s="177" t="s">
        <v>137</v>
      </c>
      <c r="H295" s="177" t="s">
        <v>3020</v>
      </c>
      <c r="L295" s="17" t="s">
        <v>254</v>
      </c>
    </row>
    <row r="296">
      <c r="A296" s="175">
        <v>276.0</v>
      </c>
      <c r="B296" s="176" t="s">
        <v>6</v>
      </c>
      <c r="C296" s="176" t="s">
        <v>3024</v>
      </c>
      <c r="D296" s="176" t="s">
        <v>153</v>
      </c>
      <c r="E296" s="176" t="s">
        <v>135</v>
      </c>
      <c r="F296" s="176" t="s">
        <v>136</v>
      </c>
      <c r="G296" s="176" t="s">
        <v>3083</v>
      </c>
      <c r="H296" s="176" t="s">
        <v>3024</v>
      </c>
      <c r="L296" s="17" t="s">
        <v>254</v>
      </c>
    </row>
    <row r="297">
      <c r="A297" s="175">
        <v>278.0</v>
      </c>
      <c r="B297" s="176" t="s">
        <v>7</v>
      </c>
      <c r="C297" s="176" t="s">
        <v>3209</v>
      </c>
      <c r="D297" s="176" t="s">
        <v>153</v>
      </c>
      <c r="E297" s="176" t="s">
        <v>135</v>
      </c>
      <c r="F297" s="176" t="s">
        <v>136</v>
      </c>
      <c r="G297" s="176" t="s">
        <v>137</v>
      </c>
      <c r="H297" s="176" t="s">
        <v>3020</v>
      </c>
      <c r="L297" s="17" t="s">
        <v>254</v>
      </c>
    </row>
    <row r="298">
      <c r="A298" s="175">
        <v>283.0</v>
      </c>
      <c r="B298" s="177" t="s">
        <v>6</v>
      </c>
      <c r="C298" s="177" t="s">
        <v>3210</v>
      </c>
      <c r="D298" s="176" t="s">
        <v>153</v>
      </c>
      <c r="E298" s="177" t="s">
        <v>136</v>
      </c>
      <c r="F298" s="177" t="s">
        <v>136</v>
      </c>
      <c r="G298" s="177" t="s">
        <v>137</v>
      </c>
      <c r="H298" s="177" t="s">
        <v>3020</v>
      </c>
      <c r="L298" s="17" t="s">
        <v>254</v>
      </c>
    </row>
    <row r="299">
      <c r="A299" s="175">
        <v>9.0</v>
      </c>
      <c r="B299" s="177" t="s">
        <v>7</v>
      </c>
      <c r="C299" s="177" t="s">
        <v>3211</v>
      </c>
      <c r="D299" s="176" t="s">
        <v>153</v>
      </c>
      <c r="E299" s="177" t="s">
        <v>136</v>
      </c>
      <c r="F299" s="177" t="s">
        <v>136</v>
      </c>
      <c r="G299" s="177" t="s">
        <v>137</v>
      </c>
      <c r="H299" s="177" t="s">
        <v>3055</v>
      </c>
      <c r="L299" s="17" t="s">
        <v>254</v>
      </c>
    </row>
    <row r="300">
      <c r="A300" s="175">
        <v>290.0</v>
      </c>
      <c r="B300" s="176" t="s">
        <v>6</v>
      </c>
      <c r="C300" s="176" t="s">
        <v>1096</v>
      </c>
      <c r="D300" s="176" t="s">
        <v>153</v>
      </c>
      <c r="E300" s="176" t="s">
        <v>135</v>
      </c>
      <c r="F300" s="176" t="s">
        <v>136</v>
      </c>
      <c r="G300" s="176" t="s">
        <v>137</v>
      </c>
      <c r="H300" s="176" t="s">
        <v>3020</v>
      </c>
      <c r="L300" s="17" t="s">
        <v>254</v>
      </c>
    </row>
    <row r="301">
      <c r="A301" s="175">
        <v>6.0</v>
      </c>
      <c r="B301" s="177" t="s">
        <v>7</v>
      </c>
      <c r="C301" s="177" t="s">
        <v>808</v>
      </c>
      <c r="D301" s="176" t="s">
        <v>153</v>
      </c>
      <c r="E301" s="177" t="s">
        <v>136</v>
      </c>
      <c r="F301" s="177" t="s">
        <v>136</v>
      </c>
      <c r="G301" s="177" t="s">
        <v>3212</v>
      </c>
      <c r="H301" s="177" t="s">
        <v>3020</v>
      </c>
      <c r="L301" s="17" t="s">
        <v>254</v>
      </c>
    </row>
    <row r="302">
      <c r="A302" s="175">
        <v>34.0</v>
      </c>
      <c r="B302" s="177" t="s">
        <v>7</v>
      </c>
      <c r="C302" s="177" t="s">
        <v>1096</v>
      </c>
      <c r="D302" s="176" t="s">
        <v>153</v>
      </c>
      <c r="E302" s="177" t="s">
        <v>136</v>
      </c>
      <c r="F302" s="177" t="s">
        <v>136</v>
      </c>
      <c r="G302" s="177" t="s">
        <v>137</v>
      </c>
      <c r="H302" s="177" t="s">
        <v>3065</v>
      </c>
      <c r="L302" s="17" t="s">
        <v>254</v>
      </c>
    </row>
    <row r="303">
      <c r="A303" s="175">
        <v>108.0</v>
      </c>
      <c r="B303" s="176" t="s">
        <v>6</v>
      </c>
      <c r="C303" s="176" t="s">
        <v>3213</v>
      </c>
      <c r="D303" s="176" t="s">
        <v>153</v>
      </c>
      <c r="E303" s="176" t="s">
        <v>136</v>
      </c>
      <c r="F303" s="176" t="s">
        <v>136</v>
      </c>
      <c r="G303" s="176" t="s">
        <v>3214</v>
      </c>
      <c r="H303" s="176" t="s">
        <v>3055</v>
      </c>
      <c r="L303" s="17" t="s">
        <v>254</v>
      </c>
    </row>
    <row r="304">
      <c r="A304" s="175">
        <v>218.0</v>
      </c>
      <c r="B304" s="176" t="s">
        <v>7</v>
      </c>
      <c r="C304" s="176" t="s">
        <v>3215</v>
      </c>
      <c r="D304" s="176" t="s">
        <v>153</v>
      </c>
      <c r="E304" s="176" t="s">
        <v>135</v>
      </c>
      <c r="F304" s="176" t="s">
        <v>136</v>
      </c>
      <c r="G304" s="176" t="s">
        <v>137</v>
      </c>
      <c r="H304" s="176" t="s">
        <v>3022</v>
      </c>
      <c r="L304" s="17" t="s">
        <v>254</v>
      </c>
    </row>
    <row r="305">
      <c r="A305" s="175">
        <v>88.0</v>
      </c>
      <c r="B305" s="176" t="s">
        <v>7</v>
      </c>
      <c r="C305" s="176" t="s">
        <v>3216</v>
      </c>
      <c r="D305" s="176" t="s">
        <v>3778</v>
      </c>
      <c r="E305" s="176" t="s">
        <v>136</v>
      </c>
      <c r="F305" s="176" t="s">
        <v>136</v>
      </c>
      <c r="G305" s="176" t="s">
        <v>3064</v>
      </c>
      <c r="H305" s="176" t="s">
        <v>3020</v>
      </c>
      <c r="L305" s="17" t="s">
        <v>254</v>
      </c>
    </row>
    <row r="306">
      <c r="A306" s="175">
        <v>115.0</v>
      </c>
      <c r="B306" s="177" t="s">
        <v>6</v>
      </c>
      <c r="C306" s="177" t="s">
        <v>515</v>
      </c>
      <c r="D306" s="177" t="s">
        <v>3778</v>
      </c>
      <c r="E306" s="177" t="s">
        <v>136</v>
      </c>
      <c r="F306" s="177" t="s">
        <v>135</v>
      </c>
      <c r="G306" s="177" t="s">
        <v>3027</v>
      </c>
      <c r="H306" s="177" t="s">
        <v>3022</v>
      </c>
      <c r="L306" s="17" t="s">
        <v>254</v>
      </c>
    </row>
    <row r="307">
      <c r="A307" s="175">
        <v>157.0</v>
      </c>
      <c r="B307" s="177" t="s">
        <v>7</v>
      </c>
      <c r="C307" s="177" t="s">
        <v>3216</v>
      </c>
      <c r="D307" s="177" t="s">
        <v>3778</v>
      </c>
      <c r="E307" s="177" t="s">
        <v>136</v>
      </c>
      <c r="F307" s="177" t="s">
        <v>136</v>
      </c>
      <c r="G307" s="177" t="s">
        <v>3027</v>
      </c>
      <c r="H307" s="177" t="s">
        <v>3065</v>
      </c>
      <c r="L307" s="17" t="s">
        <v>254</v>
      </c>
    </row>
    <row r="308">
      <c r="A308" s="175">
        <v>256.0</v>
      </c>
      <c r="B308" s="176" t="s">
        <v>7</v>
      </c>
      <c r="C308" s="176" t="s">
        <v>3217</v>
      </c>
      <c r="D308" s="176" t="s">
        <v>3778</v>
      </c>
      <c r="E308" s="176" t="s">
        <v>136</v>
      </c>
      <c r="F308" s="176" t="s">
        <v>136</v>
      </c>
      <c r="G308" s="176" t="s">
        <v>137</v>
      </c>
      <c r="H308" s="176" t="s">
        <v>3022</v>
      </c>
      <c r="L308" s="17" t="s">
        <v>254</v>
      </c>
    </row>
    <row r="309">
      <c r="A309" s="175">
        <v>289.0</v>
      </c>
      <c r="B309" s="177" t="s">
        <v>7</v>
      </c>
      <c r="C309" s="177" t="s">
        <v>3218</v>
      </c>
      <c r="D309" s="177" t="s">
        <v>3778</v>
      </c>
      <c r="E309" s="177" t="s">
        <v>135</v>
      </c>
      <c r="F309" s="177" t="s">
        <v>136</v>
      </c>
      <c r="G309" s="177" t="s">
        <v>3219</v>
      </c>
      <c r="H309" s="177" t="s">
        <v>3020</v>
      </c>
      <c r="L309" s="17" t="s">
        <v>254</v>
      </c>
    </row>
    <row r="310">
      <c r="A310" s="175">
        <v>84.0</v>
      </c>
      <c r="B310" s="177" t="s">
        <v>7</v>
      </c>
      <c r="C310" s="177" t="s">
        <v>3220</v>
      </c>
      <c r="D310" s="177" t="s">
        <v>322</v>
      </c>
      <c r="E310" s="177" t="s">
        <v>136</v>
      </c>
      <c r="F310" s="177" t="s">
        <v>136</v>
      </c>
      <c r="G310" s="177" t="s">
        <v>137</v>
      </c>
      <c r="H310" s="177" t="s">
        <v>3022</v>
      </c>
      <c r="L310" s="17" t="s">
        <v>254</v>
      </c>
    </row>
    <row r="311">
      <c r="A311" s="175">
        <v>135.0</v>
      </c>
      <c r="B311" s="179" t="s">
        <v>6</v>
      </c>
      <c r="C311" s="179" t="s">
        <v>3221</v>
      </c>
      <c r="D311" s="179" t="s">
        <v>322</v>
      </c>
      <c r="E311" s="179" t="s">
        <v>135</v>
      </c>
      <c r="F311" s="179" t="s">
        <v>136</v>
      </c>
      <c r="G311" s="179" t="s">
        <v>3057</v>
      </c>
      <c r="H311" s="179" t="s">
        <v>3022</v>
      </c>
      <c r="L311" s="17" t="s">
        <v>254</v>
      </c>
    </row>
    <row r="312">
      <c r="A312" s="175">
        <v>159.0</v>
      </c>
      <c r="B312" s="176" t="s">
        <v>6</v>
      </c>
      <c r="C312" s="176" t="s">
        <v>3222</v>
      </c>
      <c r="D312" s="176" t="s">
        <v>322</v>
      </c>
      <c r="E312" s="176" t="s">
        <v>135</v>
      </c>
      <c r="F312" s="176" t="s">
        <v>136</v>
      </c>
      <c r="G312" s="176" t="s">
        <v>137</v>
      </c>
      <c r="H312" s="176" t="s">
        <v>3067</v>
      </c>
      <c r="L312" s="17" t="s">
        <v>254</v>
      </c>
    </row>
    <row r="313">
      <c r="A313" s="175">
        <v>86.0</v>
      </c>
      <c r="B313" s="176" t="s">
        <v>7</v>
      </c>
      <c r="C313" s="176" t="s">
        <v>536</v>
      </c>
      <c r="D313" s="176" t="s">
        <v>3778</v>
      </c>
      <c r="E313" s="176" t="s">
        <v>136</v>
      </c>
      <c r="F313" s="176" t="s">
        <v>136</v>
      </c>
      <c r="G313" s="176" t="s">
        <v>137</v>
      </c>
      <c r="H313" s="176" t="s">
        <v>3055</v>
      </c>
      <c r="L313" s="17" t="s">
        <v>254</v>
      </c>
    </row>
    <row r="314">
      <c r="A314" s="175">
        <v>254.0</v>
      </c>
      <c r="B314" s="176" t="s">
        <v>7</v>
      </c>
      <c r="C314" s="176" t="s">
        <v>1795</v>
      </c>
      <c r="D314" s="176" t="s">
        <v>3779</v>
      </c>
      <c r="E314" s="176" t="s">
        <v>136</v>
      </c>
      <c r="F314" s="176" t="s">
        <v>136</v>
      </c>
      <c r="G314" s="176" t="s">
        <v>3223</v>
      </c>
      <c r="H314" s="176" t="s">
        <v>3043</v>
      </c>
      <c r="L314" s="17" t="s">
        <v>254</v>
      </c>
    </row>
    <row r="315">
      <c r="A315" s="175">
        <v>271.0</v>
      </c>
      <c r="B315" s="177" t="s">
        <v>6</v>
      </c>
      <c r="C315" s="177" t="s">
        <v>3224</v>
      </c>
      <c r="D315" s="176" t="s">
        <v>3779</v>
      </c>
      <c r="E315" s="177" t="s">
        <v>136</v>
      </c>
      <c r="F315" s="177" t="s">
        <v>136</v>
      </c>
      <c r="G315" s="177" t="s">
        <v>3225</v>
      </c>
      <c r="H315" s="177" t="s">
        <v>185</v>
      </c>
      <c r="L315" s="17" t="s">
        <v>254</v>
      </c>
    </row>
    <row r="316">
      <c r="A316" s="175">
        <v>137.0</v>
      </c>
      <c r="B316" s="176" t="s">
        <v>6</v>
      </c>
      <c r="C316" s="176" t="s">
        <v>3226</v>
      </c>
      <c r="D316" s="140" t="s">
        <v>160</v>
      </c>
      <c r="E316" s="176" t="s">
        <v>135</v>
      </c>
      <c r="F316" s="176" t="s">
        <v>136</v>
      </c>
      <c r="G316" s="176" t="s">
        <v>137</v>
      </c>
      <c r="H316" s="176" t="s">
        <v>3020</v>
      </c>
      <c r="L316" s="17" t="s">
        <v>254</v>
      </c>
    </row>
  </sheetData>
  <hyperlinks>
    <hyperlink r:id="rId1" ref="C3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7"/>
    <col customWidth="1" min="2" max="2" width="11.86"/>
    <col customWidth="1" min="5" max="6" width="8.43"/>
    <col customWidth="1" min="9" max="9" width="8.86"/>
  </cols>
  <sheetData>
    <row r="1">
      <c r="A1" s="123" t="s">
        <v>116</v>
      </c>
      <c r="B1" s="123" t="s">
        <v>117</v>
      </c>
      <c r="C1" s="123" t="s">
        <v>118</v>
      </c>
      <c r="D1" s="123" t="s">
        <v>119</v>
      </c>
      <c r="E1" s="123" t="s">
        <v>120</v>
      </c>
      <c r="F1" s="123" t="s">
        <v>121</v>
      </c>
      <c r="G1" s="123" t="s">
        <v>122</v>
      </c>
      <c r="H1" s="123" t="s">
        <v>123</v>
      </c>
      <c r="I1" s="123" t="s">
        <v>3780</v>
      </c>
      <c r="J1" s="123" t="s">
        <v>125</v>
      </c>
      <c r="K1" s="123" t="s">
        <v>126</v>
      </c>
      <c r="L1" s="123" t="s">
        <v>127</v>
      </c>
      <c r="O1" s="123" t="s">
        <v>129</v>
      </c>
      <c r="P1" s="123" t="s">
        <v>130</v>
      </c>
      <c r="Q1" s="123" t="s">
        <v>131</v>
      </c>
      <c r="S1" s="7"/>
      <c r="T1" s="7"/>
      <c r="U1" s="7"/>
      <c r="X1" s="7" t="s">
        <v>132</v>
      </c>
      <c r="Y1" s="7" t="s">
        <v>2</v>
      </c>
    </row>
    <row r="2">
      <c r="A2" s="7">
        <v>13.0</v>
      </c>
      <c r="B2" s="7" t="s">
        <v>7</v>
      </c>
      <c r="C2" s="7" t="s">
        <v>971</v>
      </c>
      <c r="D2" s="7" t="s">
        <v>143</v>
      </c>
      <c r="E2" s="7" t="s">
        <v>135</v>
      </c>
      <c r="F2" s="7" t="s">
        <v>136</v>
      </c>
      <c r="G2" s="142" t="s">
        <v>349</v>
      </c>
      <c r="I2" s="7" t="s">
        <v>135</v>
      </c>
      <c r="J2" s="7" t="s">
        <v>972</v>
      </c>
      <c r="K2" s="7" t="s">
        <v>139</v>
      </c>
      <c r="L2" s="7" t="s">
        <v>3781</v>
      </c>
      <c r="O2" s="7" t="str">
        <f t="array" ref="O2:O58">UNIQUE(D2:D600)</f>
        <v>Italy</v>
      </c>
      <c r="P2" s="7">
        <f t="shared" ref="P2:P58" si="1">COUNTIF(D$2:D$600,O2)</f>
        <v>69</v>
      </c>
      <c r="Q2" s="215" t="str">
        <f t="array" ref="Q2">XLOOKUP(O2,Countries!A$2:A$98,Countries!B$2:B$98,"tbd",0)</f>
        <v>Europe</v>
      </c>
    </row>
    <row r="3">
      <c r="A3" s="7">
        <v>55.0</v>
      </c>
      <c r="B3" s="7" t="s">
        <v>7</v>
      </c>
      <c r="C3" s="7" t="s">
        <v>973</v>
      </c>
      <c r="D3" s="7" t="s">
        <v>164</v>
      </c>
      <c r="E3" s="7" t="s">
        <v>135</v>
      </c>
      <c r="F3" s="7" t="s">
        <v>136</v>
      </c>
      <c r="G3" s="142" t="s">
        <v>137</v>
      </c>
      <c r="I3" s="7" t="s">
        <v>136</v>
      </c>
      <c r="J3" s="7" t="s">
        <v>974</v>
      </c>
      <c r="K3" s="7" t="s">
        <v>139</v>
      </c>
      <c r="L3" s="7" t="s">
        <v>3781</v>
      </c>
      <c r="O3" s="16" t="s">
        <v>164</v>
      </c>
      <c r="P3" s="7">
        <f t="shared" si="1"/>
        <v>62</v>
      </c>
      <c r="Q3" s="215" t="str">
        <f t="array" ref="Q3">XLOOKUP(O3,Countries!A$2:A$98,Countries!B$2:B$98,"tbd",0)</f>
        <v>Europe</v>
      </c>
    </row>
    <row r="4">
      <c r="A4" s="7">
        <v>52.0</v>
      </c>
      <c r="B4" s="7" t="s">
        <v>6</v>
      </c>
      <c r="C4" s="7" t="s">
        <v>975</v>
      </c>
      <c r="D4" s="7" t="s">
        <v>369</v>
      </c>
      <c r="E4" s="7" t="s">
        <v>135</v>
      </c>
      <c r="F4" s="7" t="s">
        <v>136</v>
      </c>
      <c r="G4" s="7" t="s">
        <v>180</v>
      </c>
      <c r="I4" s="7" t="s">
        <v>136</v>
      </c>
      <c r="J4" s="7" t="s">
        <v>976</v>
      </c>
      <c r="K4" s="7" t="s">
        <v>139</v>
      </c>
      <c r="L4" s="7" t="s">
        <v>3781</v>
      </c>
      <c r="O4" s="16" t="s">
        <v>369</v>
      </c>
      <c r="P4" s="7">
        <f t="shared" si="1"/>
        <v>15</v>
      </c>
      <c r="Q4" s="215" t="str">
        <f t="array" ref="Q4">XLOOKUP(O4,Countries!A$2:A$98,Countries!B$2:B$98,"tbd",0)</f>
        <v>Middle/South America</v>
      </c>
    </row>
    <row r="5">
      <c r="A5" s="7">
        <v>19.0</v>
      </c>
      <c r="B5" s="7" t="s">
        <v>7</v>
      </c>
      <c r="C5" s="7" t="s">
        <v>977</v>
      </c>
      <c r="D5" s="7" t="s">
        <v>143</v>
      </c>
      <c r="E5" s="7" t="s">
        <v>135</v>
      </c>
      <c r="F5" s="7" t="s">
        <v>136</v>
      </c>
      <c r="G5" s="7" t="s">
        <v>180</v>
      </c>
      <c r="I5" s="7" t="s">
        <v>135</v>
      </c>
      <c r="J5" s="7" t="s">
        <v>978</v>
      </c>
      <c r="K5" s="7" t="s">
        <v>139</v>
      </c>
      <c r="L5" s="7" t="s">
        <v>3781</v>
      </c>
      <c r="O5" s="16" t="s">
        <v>134</v>
      </c>
      <c r="P5" s="7">
        <f t="shared" si="1"/>
        <v>22</v>
      </c>
      <c r="Q5" s="215" t="str">
        <f t="array" ref="Q5">XLOOKUP(O5,Countries!A$2:A$98,Countries!B$2:B$98,"tbd",0)</f>
        <v>Europe</v>
      </c>
    </row>
    <row r="6">
      <c r="A6" s="7">
        <v>56.0</v>
      </c>
      <c r="B6" s="7" t="s">
        <v>6</v>
      </c>
      <c r="C6" s="7" t="s">
        <v>979</v>
      </c>
      <c r="D6" s="7" t="s">
        <v>134</v>
      </c>
      <c r="E6" s="7" t="s">
        <v>135</v>
      </c>
      <c r="F6" s="7" t="s">
        <v>136</v>
      </c>
      <c r="G6" s="142" t="s">
        <v>980</v>
      </c>
      <c r="H6" s="7" t="s">
        <v>981</v>
      </c>
      <c r="I6" s="7" t="s">
        <v>136</v>
      </c>
      <c r="J6" s="7" t="s">
        <v>982</v>
      </c>
      <c r="K6" s="7" t="s">
        <v>139</v>
      </c>
      <c r="L6" s="7" t="s">
        <v>3781</v>
      </c>
      <c r="O6" s="16" t="s">
        <v>153</v>
      </c>
      <c r="P6" s="7">
        <f t="shared" si="1"/>
        <v>11</v>
      </c>
      <c r="Q6" s="215" t="str">
        <f t="array" ref="Q6">XLOOKUP(O6,Countries!A$2:A$98,Countries!B$2:B$98,"tbd",0)</f>
        <v>associated countries</v>
      </c>
    </row>
    <row r="7">
      <c r="A7" s="7">
        <v>11.0</v>
      </c>
      <c r="B7" s="7" t="s">
        <v>7</v>
      </c>
      <c r="C7" s="7" t="s">
        <v>983</v>
      </c>
      <c r="D7" s="7" t="s">
        <v>369</v>
      </c>
      <c r="E7" s="7" t="s">
        <v>135</v>
      </c>
      <c r="F7" s="7" t="s">
        <v>135</v>
      </c>
      <c r="G7" s="7" t="s">
        <v>613</v>
      </c>
      <c r="I7" s="7" t="s">
        <v>135</v>
      </c>
      <c r="J7" s="7" t="s">
        <v>984</v>
      </c>
      <c r="K7" s="7" t="s">
        <v>139</v>
      </c>
      <c r="L7" s="7" t="s">
        <v>3781</v>
      </c>
      <c r="O7" s="16" t="s">
        <v>213</v>
      </c>
      <c r="P7" s="7">
        <f t="shared" si="1"/>
        <v>14</v>
      </c>
      <c r="Q7" s="215" t="str">
        <f t="array" ref="Q7">XLOOKUP(O7,Countries!A$2:A$98,Countries!B$2:B$98,"tbd",0)</f>
        <v>widening countries</v>
      </c>
    </row>
    <row r="8">
      <c r="A8" s="7">
        <v>15.0</v>
      </c>
      <c r="B8" s="7" t="s">
        <v>7</v>
      </c>
      <c r="C8" s="7" t="s">
        <v>808</v>
      </c>
      <c r="D8" s="7" t="s">
        <v>153</v>
      </c>
      <c r="E8" s="7" t="s">
        <v>136</v>
      </c>
      <c r="F8" s="7" t="s">
        <v>136</v>
      </c>
      <c r="G8" s="7" t="s">
        <v>137</v>
      </c>
      <c r="I8" s="7" t="s">
        <v>135</v>
      </c>
      <c r="J8" s="7" t="s">
        <v>985</v>
      </c>
      <c r="K8" s="7" t="s">
        <v>139</v>
      </c>
      <c r="L8" s="7" t="s">
        <v>3781</v>
      </c>
      <c r="O8" s="16" t="s">
        <v>285</v>
      </c>
      <c r="P8" s="7">
        <f t="shared" si="1"/>
        <v>3</v>
      </c>
      <c r="Q8" s="215" t="str">
        <f t="array" ref="Q8">XLOOKUP(O8,Countries!A$2:A$98,Countries!B$2:B$98,"tbd",0)</f>
        <v>associated countries</v>
      </c>
    </row>
    <row r="9">
      <c r="A9" s="7">
        <v>20.0</v>
      </c>
      <c r="B9" s="7" t="s">
        <v>7</v>
      </c>
      <c r="C9" s="7" t="s">
        <v>338</v>
      </c>
      <c r="D9" s="7" t="s">
        <v>143</v>
      </c>
      <c r="E9" s="7" t="s">
        <v>135</v>
      </c>
      <c r="F9" s="7" t="s">
        <v>136</v>
      </c>
      <c r="G9" s="7" t="s">
        <v>180</v>
      </c>
      <c r="I9" s="7" t="s">
        <v>136</v>
      </c>
      <c r="J9" s="7" t="s">
        <v>986</v>
      </c>
      <c r="K9" s="7" t="s">
        <v>139</v>
      </c>
      <c r="L9" s="7" t="s">
        <v>3781</v>
      </c>
      <c r="O9" s="16" t="s">
        <v>202</v>
      </c>
      <c r="P9" s="7">
        <f t="shared" si="1"/>
        <v>42</v>
      </c>
      <c r="Q9" s="215" t="str">
        <f t="array" ref="Q9">XLOOKUP(O9,Countries!A$2:A$98,Countries!B$2:B$98,"tbd",0)</f>
        <v>Europe</v>
      </c>
    </row>
    <row r="10">
      <c r="A10" s="7">
        <v>3.0</v>
      </c>
      <c r="B10" s="7" t="s">
        <v>6</v>
      </c>
      <c r="C10" s="7" t="s">
        <v>987</v>
      </c>
      <c r="D10" s="7" t="s">
        <v>213</v>
      </c>
      <c r="E10" s="7" t="s">
        <v>135</v>
      </c>
      <c r="F10" s="7" t="s">
        <v>136</v>
      </c>
      <c r="G10" s="142" t="s">
        <v>3782</v>
      </c>
      <c r="I10" s="7" t="s">
        <v>136</v>
      </c>
      <c r="J10" s="7" t="s">
        <v>989</v>
      </c>
      <c r="K10" s="7" t="s">
        <v>139</v>
      </c>
      <c r="L10" s="7" t="s">
        <v>3781</v>
      </c>
      <c r="O10" s="16" t="s">
        <v>373</v>
      </c>
      <c r="P10" s="7">
        <f t="shared" si="1"/>
        <v>5</v>
      </c>
      <c r="Q10" s="215" t="str">
        <f t="array" ref="Q10">XLOOKUP(O10,Countries!A$2:A$98,Countries!B$2:B$98,"tbd",0)</f>
        <v>Middle/South America</v>
      </c>
    </row>
    <row r="11">
      <c r="A11" s="7">
        <v>1.0</v>
      </c>
      <c r="B11" s="7" t="s">
        <v>7</v>
      </c>
      <c r="C11" s="7" t="s">
        <v>195</v>
      </c>
      <c r="D11" s="7" t="s">
        <v>164</v>
      </c>
      <c r="E11" s="7" t="s">
        <v>136</v>
      </c>
      <c r="F11" s="7" t="s">
        <v>136</v>
      </c>
      <c r="G11" s="7" t="s">
        <v>174</v>
      </c>
      <c r="I11" s="7" t="s">
        <v>136</v>
      </c>
      <c r="J11" s="7" t="s">
        <v>990</v>
      </c>
      <c r="K11" s="7" t="s">
        <v>139</v>
      </c>
      <c r="L11" s="7" t="s">
        <v>3781</v>
      </c>
      <c r="O11" s="16" t="s">
        <v>214</v>
      </c>
      <c r="P11" s="7">
        <f t="shared" si="1"/>
        <v>9</v>
      </c>
      <c r="Q11" s="215" t="str">
        <f t="array" ref="Q11">XLOOKUP(O11,Countries!A$2:A$98,Countries!B$2:B$98,"tbd",0)</f>
        <v>Asia</v>
      </c>
    </row>
    <row r="12">
      <c r="A12" s="7">
        <v>45.0</v>
      </c>
      <c r="B12" s="7" t="s">
        <v>6</v>
      </c>
      <c r="C12" s="7" t="s">
        <v>991</v>
      </c>
      <c r="D12" s="7" t="s">
        <v>369</v>
      </c>
      <c r="E12" s="7" t="s">
        <v>135</v>
      </c>
      <c r="F12" s="7" t="s">
        <v>135</v>
      </c>
      <c r="G12" s="7" t="s">
        <v>191</v>
      </c>
      <c r="I12" s="7" t="s">
        <v>136</v>
      </c>
      <c r="J12" s="7" t="s">
        <v>992</v>
      </c>
      <c r="K12" s="7" t="s">
        <v>139</v>
      </c>
      <c r="L12" s="7" t="s">
        <v>3781</v>
      </c>
      <c r="O12" s="16" t="s">
        <v>284</v>
      </c>
      <c r="P12" s="7">
        <f t="shared" si="1"/>
        <v>4</v>
      </c>
      <c r="Q12" s="215" t="str">
        <f t="array" ref="Q12">XLOOKUP(O12,Countries!A$2:A$98,Countries!B$2:B$98,"tbd",0)</f>
        <v>Middle East</v>
      </c>
    </row>
    <row r="13">
      <c r="A13" s="7">
        <v>39.0</v>
      </c>
      <c r="B13" s="7" t="s">
        <v>6</v>
      </c>
      <c r="C13" s="7" t="s">
        <v>993</v>
      </c>
      <c r="D13" s="7" t="s">
        <v>143</v>
      </c>
      <c r="E13" s="7" t="s">
        <v>135</v>
      </c>
      <c r="F13" s="7" t="s">
        <v>136</v>
      </c>
      <c r="G13" s="7" t="s">
        <v>137</v>
      </c>
      <c r="H13" s="7" t="s">
        <v>994</v>
      </c>
      <c r="I13" s="7" t="s">
        <v>136</v>
      </c>
      <c r="J13" s="7" t="s">
        <v>995</v>
      </c>
      <c r="K13" s="7" t="s">
        <v>139</v>
      </c>
      <c r="L13" s="7" t="s">
        <v>3781</v>
      </c>
      <c r="O13" s="16" t="s">
        <v>318</v>
      </c>
      <c r="P13" s="7">
        <f t="shared" si="1"/>
        <v>1</v>
      </c>
      <c r="Q13" s="215" t="str">
        <f t="array" ref="Q13">XLOOKUP(O13,Countries!A$2:A$98,Countries!B$2:B$98,"tbd",0)</f>
        <v>Middle/South America</v>
      </c>
    </row>
    <row r="14">
      <c r="A14" s="7">
        <v>7.0</v>
      </c>
      <c r="B14" s="7" t="s">
        <v>6</v>
      </c>
      <c r="C14" s="7" t="s">
        <v>996</v>
      </c>
      <c r="D14" s="7" t="s">
        <v>285</v>
      </c>
      <c r="E14" s="7" t="s">
        <v>135</v>
      </c>
      <c r="F14" s="7" t="s">
        <v>136</v>
      </c>
      <c r="G14" s="7" t="s">
        <v>594</v>
      </c>
      <c r="I14" s="7" t="s">
        <v>136</v>
      </c>
      <c r="J14" s="7" t="s">
        <v>997</v>
      </c>
      <c r="K14" s="7" t="s">
        <v>139</v>
      </c>
      <c r="L14" s="7" t="s">
        <v>3781</v>
      </c>
      <c r="O14" s="16" t="s">
        <v>243</v>
      </c>
      <c r="P14" s="7">
        <f t="shared" si="1"/>
        <v>13</v>
      </c>
      <c r="Q14" s="215" t="str">
        <f t="array" ref="Q14">XLOOKUP(O14,Countries!A$2:A$98,Countries!B$2:B$98,"tbd",0)</f>
        <v>Middle East</v>
      </c>
    </row>
    <row r="15">
      <c r="A15" s="7">
        <v>22.0</v>
      </c>
      <c r="B15" s="7" t="s">
        <v>7</v>
      </c>
      <c r="C15" s="7" t="s">
        <v>998</v>
      </c>
      <c r="D15" s="7" t="s">
        <v>202</v>
      </c>
      <c r="E15" s="7" t="s">
        <v>136</v>
      </c>
      <c r="F15" s="7" t="s">
        <v>136</v>
      </c>
      <c r="G15" s="7" t="s">
        <v>137</v>
      </c>
      <c r="I15" s="7" t="s">
        <v>135</v>
      </c>
      <c r="J15" s="7" t="s">
        <v>999</v>
      </c>
      <c r="K15" s="7" t="s">
        <v>139</v>
      </c>
      <c r="L15" s="7" t="s">
        <v>3781</v>
      </c>
      <c r="O15" s="16" t="s">
        <v>331</v>
      </c>
      <c r="P15" s="7">
        <f t="shared" si="1"/>
        <v>4</v>
      </c>
      <c r="Q15" s="215" t="str">
        <f t="array" ref="Q15">XLOOKUP(O15,Countries!A$2:A$98,Countries!B$2:B$98,"tbd",0)</f>
        <v>Europe</v>
      </c>
    </row>
    <row r="16">
      <c r="A16" s="7">
        <v>60.0</v>
      </c>
      <c r="B16" s="7" t="s">
        <v>6</v>
      </c>
      <c r="C16" s="7" t="s">
        <v>1000</v>
      </c>
      <c r="D16" s="7" t="s">
        <v>202</v>
      </c>
      <c r="E16" s="7" t="s">
        <v>135</v>
      </c>
      <c r="F16" s="7" t="s">
        <v>136</v>
      </c>
      <c r="G16" s="7" t="s">
        <v>1001</v>
      </c>
      <c r="I16" s="7" t="s">
        <v>135</v>
      </c>
      <c r="J16" s="7" t="s">
        <v>1002</v>
      </c>
      <c r="K16" s="7" t="s">
        <v>139</v>
      </c>
      <c r="L16" s="7" t="s">
        <v>3781</v>
      </c>
      <c r="O16" s="16" t="s">
        <v>176</v>
      </c>
      <c r="P16" s="7">
        <f t="shared" si="1"/>
        <v>7</v>
      </c>
      <c r="Q16" s="215" t="str">
        <f t="array" ref="Q16">XLOOKUP(O16,Countries!A$2:A$98,Countries!B$2:B$98,"tbd",0)</f>
        <v>widening countries</v>
      </c>
    </row>
    <row r="17">
      <c r="A17" s="7">
        <v>66.0</v>
      </c>
      <c r="B17" s="7" t="s">
        <v>6</v>
      </c>
      <c r="C17" s="7" t="s">
        <v>1003</v>
      </c>
      <c r="D17" s="7" t="s">
        <v>202</v>
      </c>
      <c r="E17" s="7" t="s">
        <v>135</v>
      </c>
      <c r="F17" s="7" t="s">
        <v>135</v>
      </c>
      <c r="G17" s="7" t="s">
        <v>363</v>
      </c>
      <c r="H17" s="7" t="s">
        <v>1004</v>
      </c>
      <c r="I17" s="7" t="s">
        <v>136</v>
      </c>
      <c r="J17" s="7" t="s">
        <v>1005</v>
      </c>
      <c r="K17" s="7" t="s">
        <v>139</v>
      </c>
      <c r="L17" s="7" t="s">
        <v>3781</v>
      </c>
      <c r="O17" s="16" t="s">
        <v>263</v>
      </c>
      <c r="P17" s="7">
        <f t="shared" si="1"/>
        <v>106</v>
      </c>
      <c r="Q17" s="215" t="str">
        <f t="array" ref="Q17">XLOOKUP(O17,Countries!A$2:A$98,Countries!B$2:B$98,"tbd",0)</f>
        <v>U.S. + Canada</v>
      </c>
    </row>
    <row r="18">
      <c r="A18" s="7">
        <v>25.0</v>
      </c>
      <c r="B18" s="7" t="s">
        <v>8</v>
      </c>
      <c r="C18" s="7" t="s">
        <v>315</v>
      </c>
      <c r="D18" s="7" t="s">
        <v>164</v>
      </c>
      <c r="E18" s="7" t="s">
        <v>135</v>
      </c>
      <c r="F18" s="7" t="s">
        <v>136</v>
      </c>
      <c r="G18" s="7" t="s">
        <v>271</v>
      </c>
      <c r="I18" s="7" t="s">
        <v>136</v>
      </c>
      <c r="J18" s="7" t="s">
        <v>1006</v>
      </c>
      <c r="K18" s="7" t="s">
        <v>139</v>
      </c>
      <c r="L18" s="7" t="s">
        <v>3781</v>
      </c>
      <c r="O18" s="16" t="s">
        <v>197</v>
      </c>
      <c r="P18" s="7">
        <f t="shared" si="1"/>
        <v>1</v>
      </c>
      <c r="Q18" s="215" t="str">
        <f t="array" ref="Q18">XLOOKUP(O18,Countries!A$2:A$98,Countries!B$2:B$98,"tbd",0)</f>
        <v>Europe</v>
      </c>
    </row>
    <row r="19">
      <c r="A19" s="7">
        <v>32.0</v>
      </c>
      <c r="B19" s="7" t="s">
        <v>6</v>
      </c>
      <c r="C19" s="7" t="s">
        <v>1007</v>
      </c>
      <c r="D19" s="7" t="s">
        <v>369</v>
      </c>
      <c r="E19" s="7" t="s">
        <v>135</v>
      </c>
      <c r="F19" s="7" t="s">
        <v>136</v>
      </c>
      <c r="G19" s="7" t="s">
        <v>1008</v>
      </c>
      <c r="I19" s="7" t="s">
        <v>136</v>
      </c>
      <c r="J19" s="7" t="s">
        <v>1009</v>
      </c>
      <c r="K19" s="7" t="s">
        <v>139</v>
      </c>
      <c r="L19" s="7" t="s">
        <v>3781</v>
      </c>
      <c r="O19" s="16" t="s">
        <v>193</v>
      </c>
      <c r="P19" s="7">
        <f t="shared" si="1"/>
        <v>7</v>
      </c>
      <c r="Q19" s="215" t="str">
        <f t="array" ref="Q19">XLOOKUP(O19,Countries!A$2:A$98,Countries!B$2:B$98,"tbd",0)</f>
        <v>associated countries</v>
      </c>
    </row>
    <row r="20">
      <c r="A20" s="7">
        <v>30.0</v>
      </c>
      <c r="B20" s="7" t="s">
        <v>6</v>
      </c>
      <c r="C20" s="7" t="s">
        <v>1010</v>
      </c>
      <c r="D20" s="7" t="s">
        <v>373</v>
      </c>
      <c r="E20" s="7" t="s">
        <v>135</v>
      </c>
      <c r="F20" s="7" t="s">
        <v>136</v>
      </c>
      <c r="G20" s="7" t="s">
        <v>1011</v>
      </c>
      <c r="H20" s="142" t="s">
        <v>1012</v>
      </c>
      <c r="I20" s="7" t="s">
        <v>136</v>
      </c>
      <c r="J20" s="7" t="s">
        <v>1013</v>
      </c>
      <c r="K20" s="7" t="s">
        <v>139</v>
      </c>
      <c r="L20" s="7" t="s">
        <v>3781</v>
      </c>
      <c r="O20" s="16" t="s">
        <v>255</v>
      </c>
      <c r="P20" s="7">
        <f t="shared" si="1"/>
        <v>5</v>
      </c>
      <c r="Q20" s="215" t="str">
        <f t="array" ref="Q20">XLOOKUP(O20,Countries!A$2:A$98,Countries!B$2:B$98,"tbd",0)</f>
        <v>Asia</v>
      </c>
    </row>
    <row r="21">
      <c r="A21" s="7">
        <v>64.0</v>
      </c>
      <c r="B21" s="7" t="s">
        <v>8</v>
      </c>
      <c r="C21" s="7" t="s">
        <v>1014</v>
      </c>
      <c r="D21" s="7" t="s">
        <v>202</v>
      </c>
      <c r="E21" s="7" t="s">
        <v>135</v>
      </c>
      <c r="F21" s="7" t="s">
        <v>136</v>
      </c>
      <c r="G21" s="7" t="s">
        <v>349</v>
      </c>
      <c r="I21" s="7" t="s">
        <v>135</v>
      </c>
      <c r="J21" s="7" t="s">
        <v>1015</v>
      </c>
      <c r="K21" s="7" t="s">
        <v>139</v>
      </c>
      <c r="L21" s="7" t="s">
        <v>3781</v>
      </c>
      <c r="O21" s="16" t="s">
        <v>187</v>
      </c>
      <c r="P21" s="7">
        <f t="shared" si="1"/>
        <v>13</v>
      </c>
      <c r="Q21" s="215" t="str">
        <f t="array" ref="Q21">XLOOKUP(O21,Countries!A$2:A$98,Countries!B$2:B$98,"tbd",0)</f>
        <v>Europe</v>
      </c>
    </row>
    <row r="22">
      <c r="A22" s="7">
        <v>46.0</v>
      </c>
      <c r="B22" s="7" t="s">
        <v>7</v>
      </c>
      <c r="C22" s="7" t="s">
        <v>1016</v>
      </c>
      <c r="D22" s="7" t="s">
        <v>369</v>
      </c>
      <c r="E22" s="7" t="s">
        <v>135</v>
      </c>
      <c r="F22" s="7" t="s">
        <v>136</v>
      </c>
      <c r="G22" s="7" t="s">
        <v>349</v>
      </c>
      <c r="I22" s="7" t="s">
        <v>135</v>
      </c>
      <c r="J22" s="7" t="s">
        <v>1017</v>
      </c>
      <c r="K22" s="7" t="s">
        <v>139</v>
      </c>
      <c r="L22" s="7" t="s">
        <v>3781</v>
      </c>
      <c r="O22" s="16" t="s">
        <v>209</v>
      </c>
      <c r="P22" s="7">
        <f t="shared" si="1"/>
        <v>5</v>
      </c>
      <c r="Q22" s="215" t="str">
        <f t="array" ref="Q22">XLOOKUP(O22,Countries!A$2:A$98,Countries!B$2:B$98,"tbd",0)</f>
        <v>associated countries</v>
      </c>
    </row>
    <row r="23">
      <c r="A23" s="7">
        <v>54.0</v>
      </c>
      <c r="B23" s="7" t="s">
        <v>6</v>
      </c>
      <c r="C23" s="7" t="s">
        <v>1018</v>
      </c>
      <c r="D23" s="7" t="s">
        <v>369</v>
      </c>
      <c r="E23" s="7" t="s">
        <v>135</v>
      </c>
      <c r="F23" s="7" t="s">
        <v>136</v>
      </c>
      <c r="G23" s="7" t="s">
        <v>168</v>
      </c>
      <c r="I23" s="7" t="s">
        <v>136</v>
      </c>
      <c r="J23" s="7" t="s">
        <v>1019</v>
      </c>
      <c r="K23" s="7" t="s">
        <v>139</v>
      </c>
      <c r="L23" s="7" t="s">
        <v>3781</v>
      </c>
      <c r="O23" s="16" t="s">
        <v>203</v>
      </c>
      <c r="P23" s="7">
        <f t="shared" si="1"/>
        <v>10</v>
      </c>
      <c r="Q23" s="215" t="str">
        <f t="array" ref="Q23">XLOOKUP(O23,Countries!A$2:A$98,Countries!B$2:B$98,"tbd",0)</f>
        <v>Asia</v>
      </c>
    </row>
    <row r="24">
      <c r="A24" s="7">
        <v>28.0</v>
      </c>
      <c r="B24" s="7" t="s">
        <v>7</v>
      </c>
      <c r="C24" s="7" t="s">
        <v>1020</v>
      </c>
      <c r="D24" s="7" t="s">
        <v>373</v>
      </c>
      <c r="E24" s="7" t="s">
        <v>135</v>
      </c>
      <c r="F24" s="7" t="s">
        <v>136</v>
      </c>
      <c r="G24" s="7" t="s">
        <v>1021</v>
      </c>
      <c r="I24" s="7" t="s">
        <v>136</v>
      </c>
      <c r="J24" s="7" t="s">
        <v>1022</v>
      </c>
      <c r="K24" s="7" t="s">
        <v>139</v>
      </c>
      <c r="L24" s="7" t="s">
        <v>3781</v>
      </c>
      <c r="O24" s="16" t="s">
        <v>249</v>
      </c>
      <c r="P24" s="7">
        <f t="shared" si="1"/>
        <v>3</v>
      </c>
      <c r="Q24" s="215" t="str">
        <f t="array" ref="Q24">XLOOKUP(O24,Countries!A$2:A$98,Countries!B$2:B$98,"tbd",0)</f>
        <v>Asia</v>
      </c>
    </row>
    <row r="25">
      <c r="A25" s="7">
        <v>57.0</v>
      </c>
      <c r="B25" s="7" t="s">
        <v>6</v>
      </c>
      <c r="C25" s="7" t="s">
        <v>1023</v>
      </c>
      <c r="D25" s="7" t="s">
        <v>214</v>
      </c>
      <c r="E25" s="7" t="s">
        <v>135</v>
      </c>
      <c r="F25" s="7" t="s">
        <v>136</v>
      </c>
      <c r="G25" s="7" t="s">
        <v>1024</v>
      </c>
      <c r="I25" s="7" t="s">
        <v>136</v>
      </c>
      <c r="J25" s="7" t="s">
        <v>1025</v>
      </c>
      <c r="K25" s="7" t="s">
        <v>139</v>
      </c>
      <c r="L25" s="7" t="s">
        <v>3781</v>
      </c>
      <c r="O25" s="16" t="s">
        <v>358</v>
      </c>
      <c r="P25" s="7">
        <f t="shared" si="1"/>
        <v>9</v>
      </c>
      <c r="Q25" s="215" t="str">
        <f t="array" ref="Q25">XLOOKUP(O25,Countries!A$2:A$98,Countries!B$2:B$98,"tbd",0)</f>
        <v>Middle East</v>
      </c>
    </row>
    <row r="26">
      <c r="A26" s="7">
        <v>59.0</v>
      </c>
      <c r="B26" s="7" t="s">
        <v>6</v>
      </c>
      <c r="C26" s="7" t="s">
        <v>1026</v>
      </c>
      <c r="D26" s="7" t="s">
        <v>284</v>
      </c>
      <c r="E26" s="7" t="s">
        <v>136</v>
      </c>
      <c r="F26" s="7" t="s">
        <v>136</v>
      </c>
      <c r="G26" s="7" t="s">
        <v>1027</v>
      </c>
      <c r="H26" s="7" t="s">
        <v>1028</v>
      </c>
      <c r="I26" s="7" t="s">
        <v>136</v>
      </c>
      <c r="J26" s="7" t="s">
        <v>1029</v>
      </c>
      <c r="K26" s="7" t="s">
        <v>139</v>
      </c>
      <c r="L26" s="7" t="s">
        <v>3781</v>
      </c>
      <c r="O26" s="16" t="s">
        <v>219</v>
      </c>
      <c r="P26" s="7">
        <f t="shared" si="1"/>
        <v>4</v>
      </c>
      <c r="Q26" s="215" t="str">
        <f t="array" ref="Q26">XLOOKUP(O26,Countries!A$2:A$98,Countries!B$2:B$98,"tbd",0)</f>
        <v>Asia</v>
      </c>
    </row>
    <row r="27">
      <c r="A27" s="7">
        <v>48.0</v>
      </c>
      <c r="B27" s="7" t="s">
        <v>7</v>
      </c>
      <c r="C27" s="7" t="s">
        <v>975</v>
      </c>
      <c r="D27" s="7" t="s">
        <v>369</v>
      </c>
      <c r="E27" s="7" t="s">
        <v>136</v>
      </c>
      <c r="F27" s="7" t="s">
        <v>135</v>
      </c>
      <c r="G27" s="7" t="s">
        <v>349</v>
      </c>
      <c r="I27" s="7" t="s">
        <v>135</v>
      </c>
      <c r="J27" s="7" t="s">
        <v>1030</v>
      </c>
      <c r="K27" s="7" t="s">
        <v>139</v>
      </c>
      <c r="L27" s="7" t="s">
        <v>3781</v>
      </c>
      <c r="O27" s="16" t="s">
        <v>383</v>
      </c>
      <c r="P27" s="7">
        <f t="shared" si="1"/>
        <v>3</v>
      </c>
      <c r="Q27" s="215" t="str">
        <f t="array" ref="Q27">XLOOKUP(O27,Countries!A$2:A$98,Countries!B$2:B$98,"tbd",0)</f>
        <v>widening countries</v>
      </c>
    </row>
    <row r="28">
      <c r="A28" s="7">
        <v>50.0</v>
      </c>
      <c r="B28" s="7" t="s">
        <v>6</v>
      </c>
      <c r="C28" s="7" t="s">
        <v>1031</v>
      </c>
      <c r="D28" s="7" t="s">
        <v>202</v>
      </c>
      <c r="E28" s="7" t="s">
        <v>136</v>
      </c>
      <c r="F28" s="7" t="s">
        <v>136</v>
      </c>
      <c r="G28" s="7" t="s">
        <v>349</v>
      </c>
      <c r="I28" s="7" t="s">
        <v>136</v>
      </c>
      <c r="J28" s="7" t="s">
        <v>1032</v>
      </c>
      <c r="K28" s="7" t="s">
        <v>139</v>
      </c>
      <c r="L28" s="7" t="s">
        <v>3781</v>
      </c>
      <c r="O28" s="16" t="s">
        <v>165</v>
      </c>
      <c r="P28" s="7">
        <f t="shared" si="1"/>
        <v>4</v>
      </c>
      <c r="Q28" s="215" t="str">
        <f t="array" ref="Q28">XLOOKUP(O28,Countries!A$2:A$98,Countries!B$2:B$98,"tbd",0)</f>
        <v>Africa</v>
      </c>
    </row>
    <row r="29">
      <c r="A29" s="7">
        <v>21.0</v>
      </c>
      <c r="B29" s="7" t="s">
        <v>6</v>
      </c>
      <c r="C29" s="7" t="s">
        <v>1033</v>
      </c>
      <c r="D29" s="7" t="s">
        <v>143</v>
      </c>
      <c r="E29" s="7" t="s">
        <v>135</v>
      </c>
      <c r="F29" s="7" t="s">
        <v>136</v>
      </c>
      <c r="G29" s="7" t="s">
        <v>349</v>
      </c>
      <c r="I29" s="7" t="s">
        <v>136</v>
      </c>
      <c r="J29" s="7" t="s">
        <v>986</v>
      </c>
      <c r="K29" s="7" t="s">
        <v>139</v>
      </c>
      <c r="L29" s="7" t="s">
        <v>3781</v>
      </c>
      <c r="O29" s="16" t="s">
        <v>259</v>
      </c>
      <c r="P29" s="7">
        <f t="shared" si="1"/>
        <v>2</v>
      </c>
      <c r="Q29" s="215" t="str">
        <f t="array" ref="Q29">XLOOKUP(O29,Countries!A$2:A$98,Countries!B$2:B$98,"tbd",0)</f>
        <v>Asia</v>
      </c>
    </row>
    <row r="30">
      <c r="A30" s="7">
        <v>62.0</v>
      </c>
      <c r="B30" s="7" t="s">
        <v>6</v>
      </c>
      <c r="C30" s="7" t="s">
        <v>1034</v>
      </c>
      <c r="D30" s="7" t="s">
        <v>202</v>
      </c>
      <c r="E30" s="7" t="s">
        <v>135</v>
      </c>
      <c r="F30" s="7" t="s">
        <v>136</v>
      </c>
      <c r="G30" s="7" t="s">
        <v>349</v>
      </c>
      <c r="I30" s="7" t="s">
        <v>135</v>
      </c>
      <c r="J30" s="7" t="s">
        <v>1035</v>
      </c>
      <c r="K30" s="7" t="s">
        <v>139</v>
      </c>
      <c r="L30" s="7" t="s">
        <v>3781</v>
      </c>
      <c r="O30" s="16" t="s">
        <v>390</v>
      </c>
      <c r="P30" s="7">
        <f t="shared" si="1"/>
        <v>1</v>
      </c>
      <c r="Q30" s="215" t="str">
        <f t="array" ref="Q30">XLOOKUP(O30,Countries!A$2:A$98,Countries!B$2:B$98,"tbd",0)</f>
        <v>Middle/South America</v>
      </c>
    </row>
    <row r="31">
      <c r="A31" s="7">
        <v>33.0</v>
      </c>
      <c r="B31" s="7" t="s">
        <v>7</v>
      </c>
      <c r="C31" s="7" t="s">
        <v>1026</v>
      </c>
      <c r="D31" s="7" t="s">
        <v>284</v>
      </c>
      <c r="E31" s="7" t="s">
        <v>135</v>
      </c>
      <c r="F31" s="7" t="s">
        <v>136</v>
      </c>
      <c r="G31" s="7" t="s">
        <v>349</v>
      </c>
      <c r="I31" s="7" t="s">
        <v>136</v>
      </c>
      <c r="J31" s="7" t="s">
        <v>1036</v>
      </c>
      <c r="K31" s="7" t="s">
        <v>139</v>
      </c>
      <c r="L31" s="7" t="s">
        <v>3781</v>
      </c>
      <c r="O31" s="16" t="s">
        <v>177</v>
      </c>
      <c r="P31" s="7">
        <f t="shared" si="1"/>
        <v>6</v>
      </c>
      <c r="Q31" s="215" t="str">
        <f t="array" ref="Q31">XLOOKUP(O31,Countries!A$2:A$98,Countries!B$2:B$98,"tbd",0)</f>
        <v>Africa</v>
      </c>
    </row>
    <row r="32">
      <c r="A32" s="7">
        <v>24.0</v>
      </c>
      <c r="B32" s="7" t="s">
        <v>7</v>
      </c>
      <c r="C32" s="7" t="s">
        <v>1037</v>
      </c>
      <c r="D32" s="7" t="s">
        <v>202</v>
      </c>
      <c r="E32" s="7" t="s">
        <v>136</v>
      </c>
      <c r="F32" s="7" t="s">
        <v>136</v>
      </c>
      <c r="G32" s="7" t="s">
        <v>1038</v>
      </c>
      <c r="H32" s="7" t="s">
        <v>1039</v>
      </c>
      <c r="I32" s="7" t="s">
        <v>136</v>
      </c>
      <c r="J32" s="7" t="s">
        <v>1040</v>
      </c>
      <c r="K32" s="7" t="s">
        <v>139</v>
      </c>
      <c r="L32" s="7" t="s">
        <v>3781</v>
      </c>
      <c r="O32" s="16" t="s">
        <v>159</v>
      </c>
      <c r="P32" s="7">
        <f t="shared" si="1"/>
        <v>5</v>
      </c>
      <c r="Q32" s="215" t="str">
        <f t="array" ref="Q32">XLOOKUP(O32,Countries!A$2:A$98,Countries!B$2:B$98,"tbd",0)</f>
        <v>associated countries</v>
      </c>
    </row>
    <row r="33">
      <c r="A33" s="7">
        <v>14.0</v>
      </c>
      <c r="B33" s="7" t="s">
        <v>7</v>
      </c>
      <c r="C33" s="7" t="s">
        <v>1041</v>
      </c>
      <c r="D33" s="7" t="s">
        <v>318</v>
      </c>
      <c r="E33" s="7" t="s">
        <v>135</v>
      </c>
      <c r="F33" s="7" t="s">
        <v>136</v>
      </c>
      <c r="G33" s="7" t="s">
        <v>1042</v>
      </c>
      <c r="I33" s="7" t="s">
        <v>136</v>
      </c>
      <c r="J33" s="7" t="s">
        <v>1043</v>
      </c>
      <c r="K33" s="7" t="s">
        <v>139</v>
      </c>
      <c r="L33" s="7" t="s">
        <v>3781</v>
      </c>
      <c r="O33" s="16" t="s">
        <v>296</v>
      </c>
      <c r="P33" s="7">
        <f t="shared" si="1"/>
        <v>3</v>
      </c>
      <c r="Q33" s="215" t="str">
        <f t="array" ref="Q33">XLOOKUP(O33,Countries!A$2:A$98,Countries!B$2:B$98,"tbd",0)</f>
        <v>Middle East</v>
      </c>
    </row>
    <row r="34">
      <c r="A34" s="7">
        <v>38.0</v>
      </c>
      <c r="B34" s="7" t="s">
        <v>6</v>
      </c>
      <c r="C34" s="7" t="s">
        <v>1044</v>
      </c>
      <c r="D34" s="7" t="s">
        <v>243</v>
      </c>
      <c r="E34" s="7" t="s">
        <v>136</v>
      </c>
      <c r="F34" s="7" t="s">
        <v>136</v>
      </c>
      <c r="G34" s="7" t="s">
        <v>606</v>
      </c>
      <c r="I34" s="7" t="s">
        <v>136</v>
      </c>
      <c r="J34" s="7" t="s">
        <v>1045</v>
      </c>
      <c r="K34" s="7" t="s">
        <v>139</v>
      </c>
      <c r="L34" s="7" t="s">
        <v>3781</v>
      </c>
      <c r="O34" s="16" t="s">
        <v>166</v>
      </c>
      <c r="P34" s="7">
        <f t="shared" si="1"/>
        <v>1</v>
      </c>
      <c r="Q34" s="215" t="str">
        <f t="array" ref="Q34">XLOOKUP(O34,Countries!A$2:A$98,Countries!B$2:B$98,"tbd",0)</f>
        <v>Oceania</v>
      </c>
    </row>
    <row r="35">
      <c r="A35" s="7">
        <v>10.0</v>
      </c>
      <c r="B35" s="7" t="s">
        <v>7</v>
      </c>
      <c r="C35" s="7" t="s">
        <v>1046</v>
      </c>
      <c r="D35" s="7" t="s">
        <v>243</v>
      </c>
      <c r="E35" s="7" t="s">
        <v>135</v>
      </c>
      <c r="F35" s="7" t="s">
        <v>135</v>
      </c>
      <c r="G35" s="7" t="s">
        <v>606</v>
      </c>
      <c r="I35" s="7" t="s">
        <v>136</v>
      </c>
      <c r="J35" s="7" t="s">
        <v>1047</v>
      </c>
      <c r="K35" s="7" t="s">
        <v>139</v>
      </c>
      <c r="L35" s="7" t="s">
        <v>3781</v>
      </c>
      <c r="O35" s="16" t="s">
        <v>218</v>
      </c>
      <c r="P35" s="7">
        <f t="shared" si="1"/>
        <v>5</v>
      </c>
      <c r="Q35" s="215" t="str">
        <f t="array" ref="Q35">XLOOKUP(O35,Countries!A$2:A$98,Countries!B$2:B$98,"tbd",0)</f>
        <v>associated countries</v>
      </c>
    </row>
    <row r="36">
      <c r="A36" s="7">
        <v>12.0</v>
      </c>
      <c r="B36" s="7" t="s">
        <v>6</v>
      </c>
      <c r="C36" s="7" t="s">
        <v>1048</v>
      </c>
      <c r="D36" s="7" t="s">
        <v>369</v>
      </c>
      <c r="E36" s="7" t="s">
        <v>136</v>
      </c>
      <c r="F36" s="7" t="s">
        <v>135</v>
      </c>
      <c r="G36" s="7" t="s">
        <v>363</v>
      </c>
      <c r="I36" s="7" t="s">
        <v>136</v>
      </c>
      <c r="J36" s="7" t="s">
        <v>1049</v>
      </c>
      <c r="K36" s="7" t="s">
        <v>139</v>
      </c>
      <c r="L36" s="7" t="s">
        <v>3781</v>
      </c>
      <c r="O36" s="16" t="s">
        <v>347</v>
      </c>
      <c r="P36" s="7">
        <f t="shared" si="1"/>
        <v>6</v>
      </c>
      <c r="Q36" s="215" t="str">
        <f t="array" ref="Q36">XLOOKUP(O36,Countries!A$2:A$98,Countries!B$2:B$98,"tbd",0)</f>
        <v>Middle/South America</v>
      </c>
    </row>
    <row r="37">
      <c r="A37" s="7">
        <v>6.0</v>
      </c>
      <c r="B37" s="7" t="s">
        <v>6</v>
      </c>
      <c r="C37" s="7" t="s">
        <v>791</v>
      </c>
      <c r="D37" s="7" t="s">
        <v>285</v>
      </c>
      <c r="E37" s="7" t="s">
        <v>136</v>
      </c>
      <c r="F37" s="7" t="s">
        <v>136</v>
      </c>
      <c r="G37" s="7" t="s">
        <v>367</v>
      </c>
      <c r="I37" s="7" t="s">
        <v>135</v>
      </c>
      <c r="J37" s="7" t="s">
        <v>1050</v>
      </c>
      <c r="K37" s="7" t="s">
        <v>139</v>
      </c>
      <c r="L37" s="7" t="s">
        <v>3781</v>
      </c>
      <c r="O37" s="16" t="s">
        <v>233</v>
      </c>
      <c r="P37" s="7">
        <f t="shared" si="1"/>
        <v>2</v>
      </c>
      <c r="Q37" s="215" t="str">
        <f t="array" ref="Q37">XLOOKUP(O37,Countries!A$2:A$98,Countries!B$2:B$98,"tbd",0)</f>
        <v>widening countries</v>
      </c>
    </row>
    <row r="38">
      <c r="A38" s="7">
        <v>58.0</v>
      </c>
      <c r="B38" s="7" t="s">
        <v>6</v>
      </c>
      <c r="C38" s="7" t="s">
        <v>1051</v>
      </c>
      <c r="D38" s="7" t="s">
        <v>214</v>
      </c>
      <c r="E38" s="7" t="s">
        <v>135</v>
      </c>
      <c r="F38" s="7" t="s">
        <v>136</v>
      </c>
      <c r="G38" s="142" t="s">
        <v>3783</v>
      </c>
      <c r="H38" s="142" t="s">
        <v>1053</v>
      </c>
      <c r="I38" s="7" t="s">
        <v>136</v>
      </c>
      <c r="J38" s="7" t="s">
        <v>1054</v>
      </c>
      <c r="K38" s="7" t="s">
        <v>139</v>
      </c>
      <c r="L38" s="7" t="s">
        <v>3781</v>
      </c>
      <c r="O38" s="16" t="s">
        <v>313</v>
      </c>
      <c r="P38" s="7">
        <f t="shared" si="1"/>
        <v>2</v>
      </c>
      <c r="Q38" s="215" t="str">
        <f t="array" ref="Q38">XLOOKUP(O38,Countries!A$2:A$98,Countries!B$2:B$98,"tbd",0)</f>
        <v>Middle/South America</v>
      </c>
    </row>
    <row r="39">
      <c r="A39" s="7">
        <v>18.0</v>
      </c>
      <c r="B39" s="7" t="s">
        <v>6</v>
      </c>
      <c r="C39" s="7" t="s">
        <v>1055</v>
      </c>
      <c r="D39" s="7" t="s">
        <v>369</v>
      </c>
      <c r="E39" s="7" t="s">
        <v>136</v>
      </c>
      <c r="F39" s="7" t="s">
        <v>136</v>
      </c>
      <c r="G39" s="7" t="s">
        <v>349</v>
      </c>
      <c r="I39" s="7" t="s">
        <v>135</v>
      </c>
      <c r="J39" s="7" t="s">
        <v>1056</v>
      </c>
      <c r="K39" s="7" t="s">
        <v>139</v>
      </c>
      <c r="L39" s="7" t="s">
        <v>3781</v>
      </c>
      <c r="O39" s="16" t="s">
        <v>268</v>
      </c>
      <c r="P39" s="7">
        <f t="shared" si="1"/>
        <v>4</v>
      </c>
      <c r="Q39" s="215" t="str">
        <f t="array" ref="Q39">XLOOKUP(O39,Countries!A$2:A$98,Countries!B$2:B$98,"tbd",0)</f>
        <v>associated countries</v>
      </c>
    </row>
    <row r="40">
      <c r="A40" s="7">
        <v>2.0</v>
      </c>
      <c r="B40" s="7" t="s">
        <v>7</v>
      </c>
      <c r="C40" s="7" t="s">
        <v>1057</v>
      </c>
      <c r="D40" s="7" t="s">
        <v>331</v>
      </c>
      <c r="E40" s="7" t="s">
        <v>135</v>
      </c>
      <c r="F40" s="7" t="s">
        <v>136</v>
      </c>
      <c r="G40" s="142" t="s">
        <v>3784</v>
      </c>
      <c r="H40" s="7" t="s">
        <v>404</v>
      </c>
      <c r="I40" s="7" t="s">
        <v>136</v>
      </c>
      <c r="J40" s="7" t="s">
        <v>1059</v>
      </c>
      <c r="K40" s="7" t="s">
        <v>139</v>
      </c>
      <c r="L40" s="7" t="s">
        <v>3781</v>
      </c>
      <c r="O40" s="16" t="s">
        <v>352</v>
      </c>
      <c r="P40" s="7">
        <f t="shared" si="1"/>
        <v>2</v>
      </c>
      <c r="Q40" s="215" t="str">
        <f t="array" ref="Q40">XLOOKUP(O40,Countries!A$2:A$98,Countries!B$2:B$98,"tbd",0)</f>
        <v>widening countries</v>
      </c>
    </row>
    <row r="41">
      <c r="A41" s="7">
        <v>4.0</v>
      </c>
      <c r="B41" s="7" t="s">
        <v>7</v>
      </c>
      <c r="C41" s="7" t="s">
        <v>315</v>
      </c>
      <c r="D41" s="7" t="s">
        <v>164</v>
      </c>
      <c r="E41" s="7" t="s">
        <v>135</v>
      </c>
      <c r="F41" s="7" t="s">
        <v>136</v>
      </c>
      <c r="G41" s="7" t="s">
        <v>1060</v>
      </c>
      <c r="I41" s="7" t="s">
        <v>136</v>
      </c>
      <c r="J41" s="7" t="s">
        <v>1061</v>
      </c>
      <c r="K41" s="7" t="s">
        <v>139</v>
      </c>
      <c r="L41" s="7" t="s">
        <v>3781</v>
      </c>
      <c r="O41" s="16" t="s">
        <v>147</v>
      </c>
      <c r="P41" s="7">
        <f t="shared" si="1"/>
        <v>1</v>
      </c>
      <c r="Q41" s="215" t="str">
        <f t="array" ref="Q41">XLOOKUP(O41,Countries!A$2:A$98,Countries!B$2:B$98,"tbd",0)</f>
        <v>Africa</v>
      </c>
    </row>
    <row r="42">
      <c r="A42" s="7">
        <v>42.0</v>
      </c>
      <c r="B42" s="7" t="s">
        <v>7</v>
      </c>
      <c r="C42" s="7" t="s">
        <v>211</v>
      </c>
      <c r="D42" s="7" t="s">
        <v>176</v>
      </c>
      <c r="E42" s="7" t="s">
        <v>136</v>
      </c>
      <c r="F42" s="7" t="s">
        <v>136</v>
      </c>
      <c r="G42" s="7" t="s">
        <v>180</v>
      </c>
      <c r="H42" s="7" t="s">
        <v>1062</v>
      </c>
      <c r="I42" s="7" t="s">
        <v>136</v>
      </c>
      <c r="J42" s="7" t="s">
        <v>1063</v>
      </c>
      <c r="K42" s="7" t="s">
        <v>139</v>
      </c>
      <c r="L42" s="7" t="s">
        <v>3781</v>
      </c>
      <c r="O42" s="16" t="s">
        <v>258</v>
      </c>
      <c r="P42" s="7">
        <f t="shared" si="1"/>
        <v>6</v>
      </c>
      <c r="Q42" s="215" t="str">
        <f t="array" ref="Q42">XLOOKUP(O42,Countries!A$2:A$98,Countries!B$2:B$98,"tbd",0)</f>
        <v>U.S. + Canada</v>
      </c>
    </row>
    <row r="43">
      <c r="A43" s="7">
        <v>43.0</v>
      </c>
      <c r="B43" s="7" t="s">
        <v>6</v>
      </c>
      <c r="C43" s="7" t="s">
        <v>1064</v>
      </c>
      <c r="D43" s="7" t="s">
        <v>176</v>
      </c>
      <c r="E43" s="7" t="s">
        <v>136</v>
      </c>
      <c r="F43" s="7" t="s">
        <v>135</v>
      </c>
      <c r="G43" s="7" t="s">
        <v>137</v>
      </c>
      <c r="I43" s="7" t="s">
        <v>136</v>
      </c>
      <c r="J43" s="7" t="s">
        <v>1065</v>
      </c>
      <c r="K43" s="7" t="s">
        <v>139</v>
      </c>
      <c r="L43" s="7" t="s">
        <v>3781</v>
      </c>
      <c r="O43" s="16" t="s">
        <v>327</v>
      </c>
      <c r="P43" s="7">
        <f t="shared" si="1"/>
        <v>2</v>
      </c>
      <c r="Q43" s="215" t="str">
        <f t="array" ref="Q43">XLOOKUP(O43,Countries!A$2:A$98,Countries!B$2:B$98,"tbd",0)</f>
        <v>Europe</v>
      </c>
    </row>
    <row r="44">
      <c r="A44" s="7">
        <v>16.0</v>
      </c>
      <c r="B44" s="7" t="s">
        <v>6</v>
      </c>
      <c r="C44" s="7" t="s">
        <v>1066</v>
      </c>
      <c r="D44" s="7" t="s">
        <v>202</v>
      </c>
      <c r="E44" s="7" t="s">
        <v>136</v>
      </c>
      <c r="F44" s="7" t="s">
        <v>136</v>
      </c>
      <c r="G44" s="7" t="s">
        <v>1067</v>
      </c>
      <c r="H44" s="7" t="s">
        <v>1068</v>
      </c>
      <c r="I44" s="7" t="s">
        <v>136</v>
      </c>
      <c r="J44" s="7" t="s">
        <v>1069</v>
      </c>
      <c r="K44" s="7" t="s">
        <v>139</v>
      </c>
      <c r="L44" s="7" t="s">
        <v>3781</v>
      </c>
      <c r="O44" s="16" t="s">
        <v>290</v>
      </c>
      <c r="P44" s="7">
        <f t="shared" si="1"/>
        <v>8</v>
      </c>
      <c r="Q44" s="215" t="str">
        <f t="array" ref="Q44">XLOOKUP(O44,Countries!A$2:A$98,Countries!B$2:B$98,"tbd",0)</f>
        <v>Middle East</v>
      </c>
    </row>
    <row r="45">
      <c r="A45" s="7">
        <v>47.0</v>
      </c>
      <c r="B45" s="7" t="s">
        <v>7</v>
      </c>
      <c r="C45" s="7" t="s">
        <v>1055</v>
      </c>
      <c r="D45" s="7" t="s">
        <v>369</v>
      </c>
      <c r="E45" s="7" t="s">
        <v>136</v>
      </c>
      <c r="F45" s="7" t="s">
        <v>136</v>
      </c>
      <c r="G45" s="7" t="s">
        <v>349</v>
      </c>
      <c r="I45" s="7" t="s">
        <v>135</v>
      </c>
      <c r="J45" s="7" t="s">
        <v>1070</v>
      </c>
      <c r="K45" s="7" t="s">
        <v>139</v>
      </c>
      <c r="L45" s="7" t="s">
        <v>3781</v>
      </c>
      <c r="O45" s="16" t="s">
        <v>400</v>
      </c>
      <c r="P45" s="7">
        <f t="shared" si="1"/>
        <v>2</v>
      </c>
      <c r="Q45" s="215" t="str">
        <f t="array" ref="Q45">XLOOKUP(O45,Countries!A$2:A$98,Countries!B$2:B$98,"tbd",0)</f>
        <v>Middle/South America</v>
      </c>
    </row>
    <row r="46">
      <c r="A46" s="7">
        <v>40.0</v>
      </c>
      <c r="B46" s="7" t="s">
        <v>6</v>
      </c>
      <c r="C46" s="7" t="s">
        <v>1071</v>
      </c>
      <c r="D46" s="7" t="s">
        <v>369</v>
      </c>
      <c r="E46" s="7" t="s">
        <v>135</v>
      </c>
      <c r="F46" s="7" t="s">
        <v>136</v>
      </c>
      <c r="G46" s="7" t="s">
        <v>613</v>
      </c>
      <c r="I46" s="7" t="s">
        <v>136</v>
      </c>
      <c r="J46" s="7" t="s">
        <v>1072</v>
      </c>
      <c r="K46" s="7" t="s">
        <v>139</v>
      </c>
      <c r="L46" s="7" t="s">
        <v>3781</v>
      </c>
      <c r="O46" s="16" t="s">
        <v>228</v>
      </c>
      <c r="P46" s="7">
        <f t="shared" si="1"/>
        <v>1</v>
      </c>
      <c r="Q46" s="215" t="str">
        <f t="array" ref="Q46">XLOOKUP(O46,Countries!A$2:A$98,Countries!B$2:B$98,"tbd",0)</f>
        <v>widening countries</v>
      </c>
    </row>
    <row r="47">
      <c r="A47" s="7">
        <v>36.0</v>
      </c>
      <c r="B47" s="7" t="s">
        <v>6</v>
      </c>
      <c r="C47" s="7" t="s">
        <v>1073</v>
      </c>
      <c r="D47" s="7" t="s">
        <v>369</v>
      </c>
      <c r="E47" s="7" t="s">
        <v>135</v>
      </c>
      <c r="F47" s="7" t="s">
        <v>136</v>
      </c>
      <c r="G47" s="7" t="s">
        <v>650</v>
      </c>
      <c r="I47" s="7" t="s">
        <v>136</v>
      </c>
      <c r="J47" s="7" t="s">
        <v>1074</v>
      </c>
      <c r="K47" s="7" t="s">
        <v>139</v>
      </c>
      <c r="L47" s="7" t="s">
        <v>3781</v>
      </c>
      <c r="O47" s="16" t="s">
        <v>188</v>
      </c>
      <c r="P47" s="7">
        <f t="shared" si="1"/>
        <v>1</v>
      </c>
      <c r="Q47" s="215" t="str">
        <f t="array" ref="Q47">XLOOKUP(O47,Countries!A$2:A$98,Countries!B$2:B$98,"tbd",0)</f>
        <v>Africa</v>
      </c>
    </row>
    <row r="48">
      <c r="A48" s="7">
        <v>34.0</v>
      </c>
      <c r="B48" s="7" t="s">
        <v>6</v>
      </c>
      <c r="C48" s="7" t="s">
        <v>840</v>
      </c>
      <c r="D48" s="7" t="s">
        <v>143</v>
      </c>
      <c r="E48" s="7" t="s">
        <v>135</v>
      </c>
      <c r="F48" s="7" t="s">
        <v>136</v>
      </c>
      <c r="G48" s="7" t="s">
        <v>1075</v>
      </c>
      <c r="H48" s="142" t="s">
        <v>1076</v>
      </c>
      <c r="I48" s="7" t="s">
        <v>136</v>
      </c>
      <c r="J48" s="7" t="s">
        <v>1077</v>
      </c>
      <c r="K48" s="7" t="s">
        <v>139</v>
      </c>
      <c r="L48" s="7" t="s">
        <v>3781</v>
      </c>
      <c r="O48" s="16" t="s">
        <v>416</v>
      </c>
      <c r="P48" s="7">
        <f t="shared" si="1"/>
        <v>31</v>
      </c>
      <c r="Q48" s="215" t="str">
        <f t="array" ref="Q48">XLOOKUP(O48,Countries!A$2:A$98,Countries!B$2:B$98,"tbd",0)</f>
        <v>unknown</v>
      </c>
    </row>
    <row r="49">
      <c r="A49" s="7">
        <v>49.0</v>
      </c>
      <c r="B49" s="7" t="s">
        <v>6</v>
      </c>
      <c r="C49" s="7" t="s">
        <v>1014</v>
      </c>
      <c r="D49" s="7" t="s">
        <v>202</v>
      </c>
      <c r="E49" s="7" t="s">
        <v>135</v>
      </c>
      <c r="F49" s="7" t="s">
        <v>136</v>
      </c>
      <c r="G49" s="7" t="s">
        <v>185</v>
      </c>
      <c r="H49" s="142" t="s">
        <v>1078</v>
      </c>
      <c r="I49" s="7" t="s">
        <v>136</v>
      </c>
      <c r="J49" s="7" t="s">
        <v>1079</v>
      </c>
      <c r="K49" s="7" t="s">
        <v>139</v>
      </c>
      <c r="L49" s="7" t="s">
        <v>3781</v>
      </c>
      <c r="O49" s="16" t="s">
        <v>223</v>
      </c>
      <c r="P49" s="7">
        <f t="shared" si="1"/>
        <v>1</v>
      </c>
      <c r="Q49" s="215" t="str">
        <f t="array" ref="Q49">XLOOKUP(O49,Countries!A$2:A$98,Countries!B$2:B$98,"tbd",0)</f>
        <v>widening countries</v>
      </c>
    </row>
    <row r="50">
      <c r="A50" s="7">
        <v>35.0</v>
      </c>
      <c r="B50" s="7" t="s">
        <v>6</v>
      </c>
      <c r="C50" s="7" t="s">
        <v>1080</v>
      </c>
      <c r="D50" s="7" t="s">
        <v>243</v>
      </c>
      <c r="E50" s="7" t="s">
        <v>135</v>
      </c>
      <c r="F50" s="7" t="s">
        <v>136</v>
      </c>
      <c r="G50" s="7" t="s">
        <v>1081</v>
      </c>
      <c r="I50" s="7" t="s">
        <v>136</v>
      </c>
      <c r="J50" s="7" t="s">
        <v>1082</v>
      </c>
      <c r="K50" s="7" t="s">
        <v>139</v>
      </c>
      <c r="L50" s="7" t="s">
        <v>3781</v>
      </c>
      <c r="O50" s="16" t="s">
        <v>244</v>
      </c>
      <c r="P50" s="7">
        <f t="shared" si="1"/>
        <v>2</v>
      </c>
      <c r="Q50" s="215" t="str">
        <f t="array" ref="Q50">XLOOKUP(O50,Countries!A$2:A$98,Countries!B$2:B$98,"tbd",0)</f>
        <v>Asia</v>
      </c>
    </row>
    <row r="51">
      <c r="A51" s="7">
        <v>23.0</v>
      </c>
      <c r="B51" s="7" t="s">
        <v>7</v>
      </c>
      <c r="C51" s="7" t="s">
        <v>1083</v>
      </c>
      <c r="D51" s="7" t="s">
        <v>263</v>
      </c>
      <c r="E51" s="7" t="s">
        <v>135</v>
      </c>
      <c r="F51" s="7" t="s">
        <v>136</v>
      </c>
      <c r="G51" s="7" t="s">
        <v>732</v>
      </c>
      <c r="I51" s="7" t="s">
        <v>136</v>
      </c>
      <c r="J51" s="7" t="s">
        <v>1084</v>
      </c>
      <c r="K51" s="7" t="s">
        <v>139</v>
      </c>
      <c r="L51" s="7" t="s">
        <v>3781</v>
      </c>
      <c r="O51" s="16" t="s">
        <v>264</v>
      </c>
      <c r="P51" s="7">
        <f t="shared" si="1"/>
        <v>1</v>
      </c>
      <c r="Q51" s="215" t="str">
        <f t="array" ref="Q51">XLOOKUP(O51,Countries!A$2:A$98,Countries!B$2:B$98,"tbd",0)</f>
        <v>Asia</v>
      </c>
    </row>
    <row r="52">
      <c r="A52" s="7">
        <v>65.0</v>
      </c>
      <c r="B52" s="7" t="s">
        <v>6</v>
      </c>
      <c r="C52" s="7" t="s">
        <v>1085</v>
      </c>
      <c r="D52" s="7" t="s">
        <v>202</v>
      </c>
      <c r="E52" s="7" t="s">
        <v>135</v>
      </c>
      <c r="F52" s="7" t="s">
        <v>136</v>
      </c>
      <c r="G52" s="7" t="s">
        <v>349</v>
      </c>
      <c r="I52" s="7" t="s">
        <v>135</v>
      </c>
      <c r="J52" s="7" t="s">
        <v>1086</v>
      </c>
      <c r="K52" s="7" t="s">
        <v>139</v>
      </c>
      <c r="L52" s="7" t="s">
        <v>3781</v>
      </c>
      <c r="O52" s="16" t="s">
        <v>210</v>
      </c>
      <c r="P52" s="7">
        <f t="shared" si="1"/>
        <v>1</v>
      </c>
      <c r="Q52" s="215" t="str">
        <f t="array" ref="Q52">XLOOKUP(O52,Countries!A$2:A$98,Countries!B$2:B$98,"tbd",0)</f>
        <v>Asia</v>
      </c>
    </row>
    <row r="53">
      <c r="A53" s="7">
        <v>44.0</v>
      </c>
      <c r="B53" s="7" t="s">
        <v>7</v>
      </c>
      <c r="C53" s="7" t="s">
        <v>1087</v>
      </c>
      <c r="D53" s="7" t="s">
        <v>202</v>
      </c>
      <c r="E53" s="7" t="s">
        <v>135</v>
      </c>
      <c r="F53" s="7" t="s">
        <v>136</v>
      </c>
      <c r="G53" s="7" t="s">
        <v>349</v>
      </c>
      <c r="I53" s="7" t="s">
        <v>136</v>
      </c>
      <c r="J53" s="7" t="s">
        <v>1088</v>
      </c>
      <c r="K53" s="7" t="s">
        <v>139</v>
      </c>
      <c r="L53" s="7" t="s">
        <v>3781</v>
      </c>
      <c r="O53" s="16" t="s">
        <v>170</v>
      </c>
      <c r="P53" s="7">
        <f t="shared" si="1"/>
        <v>1</v>
      </c>
      <c r="Q53" s="215" t="str">
        <f t="array" ref="Q53">XLOOKUP(O53,Countries!A$2:A$98,Countries!B$2:B$98,"tbd",0)</f>
        <v>Europe</v>
      </c>
    </row>
    <row r="54">
      <c r="A54" s="7">
        <v>29.0</v>
      </c>
      <c r="B54" s="7" t="s">
        <v>6</v>
      </c>
      <c r="C54" s="7" t="s">
        <v>1089</v>
      </c>
      <c r="D54" s="7" t="s">
        <v>373</v>
      </c>
      <c r="E54" s="7" t="s">
        <v>135</v>
      </c>
      <c r="F54" s="7" t="s">
        <v>136</v>
      </c>
      <c r="G54" s="7" t="s">
        <v>613</v>
      </c>
      <c r="I54" s="7" t="s">
        <v>136</v>
      </c>
      <c r="J54" s="7" t="s">
        <v>1090</v>
      </c>
      <c r="K54" s="7" t="s">
        <v>139</v>
      </c>
      <c r="L54" s="7" t="s">
        <v>3781</v>
      </c>
      <c r="O54" s="16" t="s">
        <v>248</v>
      </c>
      <c r="P54" s="7">
        <f t="shared" si="1"/>
        <v>1</v>
      </c>
      <c r="Q54" s="215" t="str">
        <f t="array" ref="Q54">XLOOKUP(O54,Countries!A$2:A$98,Countries!B$2:B$98,"tbd",0)</f>
        <v>Europe</v>
      </c>
    </row>
    <row r="55">
      <c r="A55" s="7">
        <v>61.0</v>
      </c>
      <c r="B55" s="7" t="s">
        <v>6</v>
      </c>
      <c r="C55" s="7" t="s">
        <v>1085</v>
      </c>
      <c r="D55" s="7" t="s">
        <v>202</v>
      </c>
      <c r="E55" s="7" t="s">
        <v>136</v>
      </c>
      <c r="F55" s="7" t="s">
        <v>136</v>
      </c>
      <c r="G55" s="7" t="s">
        <v>349</v>
      </c>
      <c r="I55" s="7" t="s">
        <v>135</v>
      </c>
      <c r="J55" s="7" t="s">
        <v>1091</v>
      </c>
      <c r="K55" s="7" t="s">
        <v>139</v>
      </c>
      <c r="L55" s="7" t="s">
        <v>3781</v>
      </c>
      <c r="O55" s="16" t="s">
        <v>140</v>
      </c>
      <c r="P55" s="7">
        <f t="shared" si="1"/>
        <v>1</v>
      </c>
      <c r="Q55" s="215" t="str">
        <f t="array" ref="Q55">XLOOKUP(O55,Countries!A$2:A$98,Countries!B$2:B$98,"tbd",0)</f>
        <v>Africa</v>
      </c>
    </row>
    <row r="56">
      <c r="A56" s="7">
        <v>37.0</v>
      </c>
      <c r="B56" s="7" t="s">
        <v>6</v>
      </c>
      <c r="C56" s="7" t="s">
        <v>1092</v>
      </c>
      <c r="D56" s="7" t="s">
        <v>202</v>
      </c>
      <c r="E56" s="7" t="s">
        <v>135</v>
      </c>
      <c r="F56" s="7" t="s">
        <v>136</v>
      </c>
      <c r="G56" s="142" t="s">
        <v>150</v>
      </c>
      <c r="I56" s="7" t="s">
        <v>136</v>
      </c>
      <c r="J56" s="7" t="s">
        <v>1093</v>
      </c>
      <c r="K56" s="7" t="s">
        <v>139</v>
      </c>
      <c r="L56" s="7" t="s">
        <v>3781</v>
      </c>
      <c r="O56" s="16" t="s">
        <v>417</v>
      </c>
      <c r="P56" s="7">
        <f t="shared" si="1"/>
        <v>1</v>
      </c>
      <c r="Q56" s="215" t="str">
        <f t="array" ref="Q56">XLOOKUP(O56,Countries!A$2:A$98,Countries!B$2:B$98,"tbd",0)</f>
        <v>Middle/South America</v>
      </c>
    </row>
    <row r="57">
      <c r="A57" s="7">
        <v>9.0</v>
      </c>
      <c r="B57" s="7" t="s">
        <v>6</v>
      </c>
      <c r="C57" s="7" t="s">
        <v>1094</v>
      </c>
      <c r="D57" s="7" t="s">
        <v>143</v>
      </c>
      <c r="E57" s="7" t="s">
        <v>135</v>
      </c>
      <c r="F57" s="7" t="s">
        <v>136</v>
      </c>
      <c r="G57" s="7" t="s">
        <v>349</v>
      </c>
      <c r="I57" s="7" t="s">
        <v>136</v>
      </c>
      <c r="J57" s="7" t="s">
        <v>1095</v>
      </c>
      <c r="K57" s="7" t="s">
        <v>139</v>
      </c>
      <c r="L57" s="7" t="s">
        <v>3781</v>
      </c>
      <c r="O57" s="16" t="s">
        <v>353</v>
      </c>
      <c r="P57" s="7">
        <f t="shared" si="1"/>
        <v>2</v>
      </c>
      <c r="Q57" s="215" t="str">
        <f t="array" ref="Q57">XLOOKUP(O57,Countries!A$2:A$98,Countries!B$2:B$98,"tbd",0)</f>
        <v>Europe</v>
      </c>
    </row>
    <row r="58">
      <c r="A58" s="7">
        <v>17.0</v>
      </c>
      <c r="B58" s="7" t="s">
        <v>6</v>
      </c>
      <c r="C58" s="7" t="s">
        <v>1096</v>
      </c>
      <c r="D58" s="7" t="s">
        <v>153</v>
      </c>
      <c r="E58" s="7" t="s">
        <v>135</v>
      </c>
      <c r="F58" s="7" t="s">
        <v>136</v>
      </c>
      <c r="G58" s="7" t="s">
        <v>137</v>
      </c>
      <c r="I58" s="7" t="s">
        <v>135</v>
      </c>
      <c r="J58" s="7" t="s">
        <v>1097</v>
      </c>
      <c r="K58" s="7" t="s">
        <v>139</v>
      </c>
      <c r="L58" s="7" t="s">
        <v>3781</v>
      </c>
      <c r="O58" s="16" t="s">
        <v>374</v>
      </c>
      <c r="P58" s="7">
        <f t="shared" si="1"/>
        <v>1</v>
      </c>
      <c r="Q58" s="215" t="str">
        <f t="array" ref="Q58">XLOOKUP(O58,Countries!A$2:A$98,Countries!B$2:B$98,"tbd",0)</f>
        <v>Europe</v>
      </c>
    </row>
    <row r="59">
      <c r="A59" s="7">
        <v>31.0</v>
      </c>
      <c r="B59" s="7" t="s">
        <v>6</v>
      </c>
      <c r="C59" s="7" t="s">
        <v>245</v>
      </c>
      <c r="D59" s="7" t="s">
        <v>202</v>
      </c>
      <c r="E59" s="7" t="s">
        <v>136</v>
      </c>
      <c r="F59" s="7" t="s">
        <v>136</v>
      </c>
      <c r="G59" s="7" t="s">
        <v>460</v>
      </c>
      <c r="I59" s="7" t="s">
        <v>136</v>
      </c>
      <c r="J59" s="7" t="s">
        <v>1098</v>
      </c>
      <c r="K59" s="7" t="s">
        <v>139</v>
      </c>
      <c r="L59" s="7" t="s">
        <v>3781</v>
      </c>
      <c r="P59" s="7"/>
    </row>
    <row r="60">
      <c r="A60" s="7">
        <v>8.0</v>
      </c>
      <c r="B60" s="7" t="s">
        <v>7</v>
      </c>
      <c r="C60" s="7" t="s">
        <v>1020</v>
      </c>
      <c r="D60" s="7" t="s">
        <v>373</v>
      </c>
      <c r="E60" s="7" t="s">
        <v>135</v>
      </c>
      <c r="F60" s="7" t="s">
        <v>136</v>
      </c>
      <c r="G60" s="7" t="s">
        <v>1001</v>
      </c>
      <c r="I60" s="7" t="s">
        <v>136</v>
      </c>
      <c r="J60" s="7" t="s">
        <v>1099</v>
      </c>
      <c r="K60" s="7" t="s">
        <v>139</v>
      </c>
      <c r="L60" s="7" t="s">
        <v>3781</v>
      </c>
      <c r="P60" s="7"/>
    </row>
    <row r="61">
      <c r="A61" s="7">
        <v>53.0</v>
      </c>
      <c r="B61" s="7" t="s">
        <v>7</v>
      </c>
      <c r="C61" s="7" t="s">
        <v>1020</v>
      </c>
      <c r="D61" s="7" t="s">
        <v>373</v>
      </c>
      <c r="E61" s="7" t="s">
        <v>135</v>
      </c>
      <c r="F61" s="7" t="s">
        <v>136</v>
      </c>
      <c r="G61" s="7" t="s">
        <v>1001</v>
      </c>
      <c r="I61" s="7" t="s">
        <v>136</v>
      </c>
      <c r="J61" s="7" t="s">
        <v>1100</v>
      </c>
      <c r="K61" s="7" t="s">
        <v>139</v>
      </c>
      <c r="L61" s="7" t="s">
        <v>3781</v>
      </c>
      <c r="P61" s="7"/>
    </row>
    <row r="62">
      <c r="A62" s="7">
        <v>51.0</v>
      </c>
      <c r="B62" s="7" t="s">
        <v>6</v>
      </c>
      <c r="C62" s="7" t="s">
        <v>459</v>
      </c>
      <c r="D62" s="7" t="s">
        <v>197</v>
      </c>
      <c r="E62" s="7" t="s">
        <v>136</v>
      </c>
      <c r="F62" s="7" t="s">
        <v>136</v>
      </c>
      <c r="G62" s="142" t="s">
        <v>174</v>
      </c>
      <c r="I62" s="7" t="s">
        <v>136</v>
      </c>
      <c r="J62" s="7" t="s">
        <v>1101</v>
      </c>
      <c r="K62" s="7" t="s">
        <v>139</v>
      </c>
      <c r="L62" s="7" t="s">
        <v>3781</v>
      </c>
      <c r="P62" s="7"/>
    </row>
    <row r="63">
      <c r="A63" s="7">
        <v>41.0</v>
      </c>
      <c r="B63" s="7" t="s">
        <v>7</v>
      </c>
      <c r="C63" s="7" t="s">
        <v>1102</v>
      </c>
      <c r="D63" s="7" t="s">
        <v>202</v>
      </c>
      <c r="E63" s="7" t="s">
        <v>135</v>
      </c>
      <c r="F63" s="7" t="s">
        <v>136</v>
      </c>
      <c r="G63" s="7" t="s">
        <v>144</v>
      </c>
      <c r="I63" s="7" t="s">
        <v>136</v>
      </c>
      <c r="J63" s="7" t="s">
        <v>1103</v>
      </c>
      <c r="K63" s="7" t="s">
        <v>139</v>
      </c>
      <c r="L63" s="7" t="s">
        <v>3781</v>
      </c>
      <c r="P63" s="7"/>
    </row>
    <row r="64">
      <c r="A64" s="7">
        <v>27.0</v>
      </c>
      <c r="B64" s="7" t="s">
        <v>7</v>
      </c>
      <c r="C64" s="7" t="s">
        <v>787</v>
      </c>
      <c r="D64" s="7" t="s">
        <v>164</v>
      </c>
      <c r="E64" s="7" t="s">
        <v>136</v>
      </c>
      <c r="F64" s="7" t="s">
        <v>136</v>
      </c>
      <c r="G64" s="7" t="s">
        <v>594</v>
      </c>
      <c r="I64" s="7" t="s">
        <v>136</v>
      </c>
      <c r="J64" s="7" t="s">
        <v>1104</v>
      </c>
      <c r="K64" s="7" t="s">
        <v>139</v>
      </c>
      <c r="L64" s="7" t="s">
        <v>3781</v>
      </c>
    </row>
    <row r="65">
      <c r="A65" s="7">
        <v>63.0</v>
      </c>
      <c r="B65" s="7" t="s">
        <v>7</v>
      </c>
      <c r="C65" s="7" t="s">
        <v>315</v>
      </c>
      <c r="D65" s="7" t="s">
        <v>164</v>
      </c>
      <c r="E65" s="7" t="s">
        <v>136</v>
      </c>
      <c r="F65" s="7" t="s">
        <v>136</v>
      </c>
      <c r="G65" s="7" t="s">
        <v>185</v>
      </c>
      <c r="I65" s="7" t="s">
        <v>136</v>
      </c>
      <c r="J65" s="7" t="s">
        <v>1105</v>
      </c>
      <c r="K65" s="7" t="s">
        <v>139</v>
      </c>
      <c r="L65" s="7" t="s">
        <v>3781</v>
      </c>
    </row>
    <row r="66">
      <c r="A66" s="7">
        <v>26.0</v>
      </c>
      <c r="B66" s="7" t="s">
        <v>6</v>
      </c>
      <c r="C66" s="7" t="s">
        <v>1106</v>
      </c>
      <c r="D66" s="7" t="s">
        <v>193</v>
      </c>
      <c r="E66" s="7" t="s">
        <v>135</v>
      </c>
      <c r="F66" s="7" t="s">
        <v>136</v>
      </c>
      <c r="G66" s="7" t="s">
        <v>1027</v>
      </c>
      <c r="I66" s="7" t="s">
        <v>136</v>
      </c>
      <c r="J66" s="7" t="s">
        <v>1107</v>
      </c>
      <c r="K66" s="7" t="s">
        <v>139</v>
      </c>
      <c r="L66" s="7" t="s">
        <v>3781</v>
      </c>
    </row>
    <row r="67">
      <c r="A67" s="7">
        <v>5.0</v>
      </c>
      <c r="B67" s="7" t="s">
        <v>7</v>
      </c>
      <c r="C67" s="7" t="s">
        <v>466</v>
      </c>
      <c r="D67" s="7" t="s">
        <v>255</v>
      </c>
      <c r="E67" s="7" t="s">
        <v>135</v>
      </c>
      <c r="F67" s="7" t="s">
        <v>136</v>
      </c>
      <c r="G67" s="7" t="s">
        <v>1108</v>
      </c>
      <c r="H67" s="142" t="s">
        <v>1109</v>
      </c>
      <c r="I67" s="7" t="s">
        <v>136</v>
      </c>
      <c r="J67" s="7" t="s">
        <v>1110</v>
      </c>
      <c r="K67" s="7" t="s">
        <v>139</v>
      </c>
      <c r="L67" s="7" t="s">
        <v>3781</v>
      </c>
    </row>
    <row r="68">
      <c r="A68" s="146">
        <v>10.0</v>
      </c>
      <c r="B68" s="147" t="s">
        <v>6</v>
      </c>
      <c r="C68" s="147" t="s">
        <v>1430</v>
      </c>
      <c r="D68" s="147" t="s">
        <v>263</v>
      </c>
      <c r="E68" s="147" t="s">
        <v>136</v>
      </c>
      <c r="F68" s="147" t="s">
        <v>135</v>
      </c>
      <c r="G68" s="148"/>
      <c r="H68" s="148"/>
      <c r="I68" s="147" t="s">
        <v>136</v>
      </c>
      <c r="J68" s="147" t="s">
        <v>1431</v>
      </c>
      <c r="K68" s="147" t="s">
        <v>139</v>
      </c>
      <c r="L68" s="7" t="s">
        <v>3785</v>
      </c>
    </row>
    <row r="69">
      <c r="A69" s="146">
        <v>14.0</v>
      </c>
      <c r="B69" s="147" t="s">
        <v>7</v>
      </c>
      <c r="C69" s="147" t="s">
        <v>1432</v>
      </c>
      <c r="D69" s="147" t="s">
        <v>143</v>
      </c>
      <c r="E69" s="147" t="s">
        <v>136</v>
      </c>
      <c r="F69" s="147" t="s">
        <v>136</v>
      </c>
      <c r="G69" s="148"/>
      <c r="H69" s="148"/>
      <c r="I69" s="147" t="s">
        <v>136</v>
      </c>
      <c r="J69" s="147" t="s">
        <v>1433</v>
      </c>
      <c r="K69" s="147" t="s">
        <v>139</v>
      </c>
      <c r="L69" s="7" t="s">
        <v>3785</v>
      </c>
    </row>
    <row r="70">
      <c r="A70" s="146">
        <v>34.0</v>
      </c>
      <c r="B70" s="147" t="s">
        <v>7</v>
      </c>
      <c r="C70" s="147" t="s">
        <v>1434</v>
      </c>
      <c r="D70" s="147" t="s">
        <v>263</v>
      </c>
      <c r="E70" s="147" t="s">
        <v>136</v>
      </c>
      <c r="F70" s="147" t="s">
        <v>136</v>
      </c>
      <c r="G70" s="148"/>
      <c r="H70" s="148"/>
      <c r="I70" s="147" t="s">
        <v>136</v>
      </c>
      <c r="J70" s="147" t="s">
        <v>1435</v>
      </c>
      <c r="K70" s="147" t="s">
        <v>139</v>
      </c>
      <c r="L70" s="7" t="s">
        <v>3785</v>
      </c>
    </row>
    <row r="71">
      <c r="A71" s="146">
        <v>25.0</v>
      </c>
      <c r="B71" s="147" t="s">
        <v>7</v>
      </c>
      <c r="C71" s="147" t="s">
        <v>1436</v>
      </c>
      <c r="D71" s="147" t="s">
        <v>153</v>
      </c>
      <c r="E71" s="147" t="s">
        <v>136</v>
      </c>
      <c r="F71" s="147" t="s">
        <v>136</v>
      </c>
      <c r="G71" s="148"/>
      <c r="H71" s="148"/>
      <c r="I71" s="147" t="s">
        <v>136</v>
      </c>
      <c r="J71" s="147" t="s">
        <v>1437</v>
      </c>
      <c r="K71" s="147" t="s">
        <v>139</v>
      </c>
      <c r="L71" s="7" t="s">
        <v>3785</v>
      </c>
    </row>
    <row r="72">
      <c r="A72" s="146">
        <v>18.0</v>
      </c>
      <c r="B72" s="147" t="s">
        <v>6</v>
      </c>
      <c r="C72" s="147" t="s">
        <v>1438</v>
      </c>
      <c r="D72" s="147" t="s">
        <v>134</v>
      </c>
      <c r="E72" s="147" t="s">
        <v>136</v>
      </c>
      <c r="F72" s="147" t="s">
        <v>136</v>
      </c>
      <c r="G72" s="148"/>
      <c r="H72" s="148"/>
      <c r="I72" s="147" t="s">
        <v>136</v>
      </c>
      <c r="J72" s="147" t="s">
        <v>1439</v>
      </c>
      <c r="K72" s="147" t="s">
        <v>139</v>
      </c>
      <c r="L72" s="7" t="s">
        <v>3785</v>
      </c>
    </row>
    <row r="73">
      <c r="A73" s="146">
        <v>12.0</v>
      </c>
      <c r="B73" s="147" t="s">
        <v>6</v>
      </c>
      <c r="C73" s="147" t="s">
        <v>1440</v>
      </c>
      <c r="D73" s="147" t="s">
        <v>187</v>
      </c>
      <c r="E73" s="147" t="s">
        <v>136</v>
      </c>
      <c r="F73" s="147" t="s">
        <v>136</v>
      </c>
      <c r="G73" s="148"/>
      <c r="H73" s="148"/>
      <c r="I73" s="147" t="s">
        <v>135</v>
      </c>
      <c r="J73" s="147" t="s">
        <v>1441</v>
      </c>
      <c r="K73" s="147" t="s">
        <v>139</v>
      </c>
      <c r="L73" s="7" t="s">
        <v>3785</v>
      </c>
    </row>
    <row r="74">
      <c r="A74" s="146">
        <v>24.0</v>
      </c>
      <c r="B74" s="147" t="s">
        <v>6</v>
      </c>
      <c r="C74" s="147" t="s">
        <v>1442</v>
      </c>
      <c r="D74" s="147" t="s">
        <v>255</v>
      </c>
      <c r="E74" s="147" t="s">
        <v>136</v>
      </c>
      <c r="F74" s="147" t="s">
        <v>136</v>
      </c>
      <c r="G74" s="148"/>
      <c r="H74" s="148"/>
      <c r="I74" s="147" t="s">
        <v>136</v>
      </c>
      <c r="J74" s="147" t="s">
        <v>1443</v>
      </c>
      <c r="K74" s="147" t="s">
        <v>139</v>
      </c>
      <c r="L74" s="7" t="s">
        <v>3785</v>
      </c>
    </row>
    <row r="75">
      <c r="A75" s="146">
        <v>17.0</v>
      </c>
      <c r="B75" s="147" t="s">
        <v>7</v>
      </c>
      <c r="C75" s="147" t="s">
        <v>1444</v>
      </c>
      <c r="D75" s="147" t="s">
        <v>164</v>
      </c>
      <c r="E75" s="147" t="s">
        <v>136</v>
      </c>
      <c r="F75" s="147" t="s">
        <v>136</v>
      </c>
      <c r="G75" s="148"/>
      <c r="H75" s="148"/>
      <c r="I75" s="147" t="s">
        <v>135</v>
      </c>
      <c r="J75" s="147" t="s">
        <v>1445</v>
      </c>
      <c r="K75" s="147" t="s">
        <v>139</v>
      </c>
      <c r="L75" s="7" t="s">
        <v>3785</v>
      </c>
    </row>
    <row r="76">
      <c r="A76" s="146">
        <v>6.0</v>
      </c>
      <c r="B76" s="147" t="s">
        <v>6</v>
      </c>
      <c r="C76" s="147" t="s">
        <v>1446</v>
      </c>
      <c r="D76" s="147" t="s">
        <v>187</v>
      </c>
      <c r="E76" s="147" t="s">
        <v>136</v>
      </c>
      <c r="F76" s="147" t="s">
        <v>136</v>
      </c>
      <c r="G76" s="148"/>
      <c r="H76" s="148"/>
      <c r="I76" s="147" t="s">
        <v>135</v>
      </c>
      <c r="J76" s="147" t="s">
        <v>1447</v>
      </c>
      <c r="K76" s="147" t="s">
        <v>139</v>
      </c>
      <c r="L76" s="7" t="s">
        <v>3785</v>
      </c>
    </row>
    <row r="77">
      <c r="A77" s="146">
        <v>33.0</v>
      </c>
      <c r="B77" s="147" t="s">
        <v>6</v>
      </c>
      <c r="C77" s="147" t="s">
        <v>1448</v>
      </c>
      <c r="D77" s="147" t="s">
        <v>202</v>
      </c>
      <c r="E77" s="147" t="s">
        <v>136</v>
      </c>
      <c r="F77" s="147" t="s">
        <v>136</v>
      </c>
      <c r="G77" s="148"/>
      <c r="H77" s="148"/>
      <c r="I77" s="147" t="s">
        <v>136</v>
      </c>
      <c r="J77" s="147" t="s">
        <v>1449</v>
      </c>
      <c r="K77" s="147" t="s">
        <v>139</v>
      </c>
      <c r="L77" s="7" t="s">
        <v>3785</v>
      </c>
    </row>
    <row r="78">
      <c r="A78" s="146">
        <v>30.0</v>
      </c>
      <c r="B78" s="147" t="s">
        <v>7</v>
      </c>
      <c r="C78" s="147" t="s">
        <v>1450</v>
      </c>
      <c r="D78" s="147" t="s">
        <v>263</v>
      </c>
      <c r="E78" s="147" t="s">
        <v>136</v>
      </c>
      <c r="F78" s="147" t="s">
        <v>136</v>
      </c>
      <c r="G78" s="148"/>
      <c r="H78" s="148"/>
      <c r="I78" s="147" t="s">
        <v>135</v>
      </c>
      <c r="J78" s="147" t="s">
        <v>1451</v>
      </c>
      <c r="K78" s="147" t="s">
        <v>139</v>
      </c>
      <c r="L78" s="7" t="s">
        <v>3785</v>
      </c>
    </row>
    <row r="79">
      <c r="A79" s="146">
        <v>20.0</v>
      </c>
      <c r="B79" s="147" t="s">
        <v>6</v>
      </c>
      <c r="C79" s="147" t="s">
        <v>1452</v>
      </c>
      <c r="D79" s="147" t="s">
        <v>209</v>
      </c>
      <c r="E79" s="147" t="s">
        <v>136</v>
      </c>
      <c r="F79" s="147" t="s">
        <v>136</v>
      </c>
      <c r="G79" s="148"/>
      <c r="H79" s="148"/>
      <c r="I79" s="147" t="s">
        <v>136</v>
      </c>
      <c r="J79" s="147" t="s">
        <v>1453</v>
      </c>
      <c r="K79" s="147" t="s">
        <v>139</v>
      </c>
      <c r="L79" s="7" t="s">
        <v>3785</v>
      </c>
    </row>
    <row r="80">
      <c r="A80" s="146">
        <v>23.0</v>
      </c>
      <c r="B80" s="147" t="s">
        <v>6</v>
      </c>
      <c r="C80" s="147" t="s">
        <v>1454</v>
      </c>
      <c r="D80" s="147" t="s">
        <v>255</v>
      </c>
      <c r="E80" s="147" t="s">
        <v>136</v>
      </c>
      <c r="F80" s="147" t="s">
        <v>136</v>
      </c>
      <c r="G80" s="148"/>
      <c r="H80" s="148"/>
      <c r="I80" s="147" t="s">
        <v>136</v>
      </c>
      <c r="J80" s="147" t="s">
        <v>1455</v>
      </c>
      <c r="K80" s="147" t="s">
        <v>139</v>
      </c>
      <c r="L80" s="7" t="s">
        <v>3785</v>
      </c>
    </row>
    <row r="81">
      <c r="A81" s="146">
        <v>22.0</v>
      </c>
      <c r="B81" s="147" t="s">
        <v>6</v>
      </c>
      <c r="C81" s="147" t="s">
        <v>1456</v>
      </c>
      <c r="D81" s="147" t="s">
        <v>203</v>
      </c>
      <c r="E81" s="147" t="s">
        <v>135</v>
      </c>
      <c r="F81" s="147" t="s">
        <v>136</v>
      </c>
      <c r="G81" s="148"/>
      <c r="H81" s="148"/>
      <c r="I81" s="147" t="s">
        <v>136</v>
      </c>
      <c r="J81" s="147" t="s">
        <v>1457</v>
      </c>
      <c r="K81" s="147" t="s">
        <v>139</v>
      </c>
      <c r="L81" s="7" t="s">
        <v>3785</v>
      </c>
    </row>
    <row r="82">
      <c r="A82" s="146">
        <v>15.0</v>
      </c>
      <c r="B82" s="147" t="s">
        <v>6</v>
      </c>
      <c r="C82" s="147" t="s">
        <v>1458</v>
      </c>
      <c r="D82" s="147" t="s">
        <v>249</v>
      </c>
      <c r="E82" s="147" t="s">
        <v>136</v>
      </c>
      <c r="F82" s="147" t="s">
        <v>136</v>
      </c>
      <c r="G82" s="148"/>
      <c r="H82" s="148"/>
      <c r="I82" s="147" t="s">
        <v>136</v>
      </c>
      <c r="J82" s="147" t="s">
        <v>1459</v>
      </c>
      <c r="K82" s="147" t="s">
        <v>139</v>
      </c>
      <c r="L82" s="7" t="s">
        <v>3785</v>
      </c>
    </row>
    <row r="83">
      <c r="A83" s="146">
        <v>5.0</v>
      </c>
      <c r="B83" s="147" t="s">
        <v>7</v>
      </c>
      <c r="C83" s="147" t="s">
        <v>1460</v>
      </c>
      <c r="D83" s="147" t="s">
        <v>164</v>
      </c>
      <c r="E83" s="147" t="s">
        <v>135</v>
      </c>
      <c r="F83" s="147" t="s">
        <v>136</v>
      </c>
      <c r="G83" s="148"/>
      <c r="H83" s="148"/>
      <c r="I83" s="147" t="s">
        <v>135</v>
      </c>
      <c r="J83" s="147" t="s">
        <v>1461</v>
      </c>
      <c r="K83" s="147" t="s">
        <v>139</v>
      </c>
      <c r="L83" s="7" t="s">
        <v>3785</v>
      </c>
    </row>
    <row r="84">
      <c r="A84" s="146">
        <v>35.0</v>
      </c>
      <c r="B84" s="147" t="s">
        <v>6</v>
      </c>
      <c r="C84" s="147" t="s">
        <v>1434</v>
      </c>
      <c r="D84" s="147" t="s">
        <v>263</v>
      </c>
      <c r="E84" s="147" t="s">
        <v>135</v>
      </c>
      <c r="F84" s="147" t="s">
        <v>136</v>
      </c>
      <c r="G84" s="148"/>
      <c r="H84" s="148"/>
      <c r="I84" s="147" t="s">
        <v>136</v>
      </c>
      <c r="J84" s="147" t="s">
        <v>1462</v>
      </c>
      <c r="K84" s="147" t="s">
        <v>139</v>
      </c>
      <c r="L84" s="7" t="s">
        <v>3785</v>
      </c>
    </row>
    <row r="85">
      <c r="A85" s="146">
        <v>32.0</v>
      </c>
      <c r="B85" s="147" t="s">
        <v>7</v>
      </c>
      <c r="C85" s="147" t="s">
        <v>1463</v>
      </c>
      <c r="D85" s="147" t="s">
        <v>263</v>
      </c>
      <c r="E85" s="147" t="s">
        <v>135</v>
      </c>
      <c r="F85" s="147" t="s">
        <v>136</v>
      </c>
      <c r="G85" s="148"/>
      <c r="H85" s="148"/>
      <c r="I85" s="147" t="s">
        <v>136</v>
      </c>
      <c r="J85" s="147" t="s">
        <v>1464</v>
      </c>
      <c r="K85" s="147" t="s">
        <v>139</v>
      </c>
      <c r="L85" s="7" t="s">
        <v>3785</v>
      </c>
    </row>
    <row r="86">
      <c r="A86" s="146">
        <v>28.0</v>
      </c>
      <c r="B86" s="147" t="s">
        <v>6</v>
      </c>
      <c r="C86" s="147" t="s">
        <v>1465</v>
      </c>
      <c r="D86" s="147" t="s">
        <v>358</v>
      </c>
      <c r="E86" s="147" t="s">
        <v>136</v>
      </c>
      <c r="F86" s="147" t="s">
        <v>136</v>
      </c>
      <c r="G86" s="148"/>
      <c r="H86" s="148"/>
      <c r="I86" s="147" t="s">
        <v>136</v>
      </c>
      <c r="J86" s="147" t="s">
        <v>1466</v>
      </c>
      <c r="K86" s="147" t="s">
        <v>139</v>
      </c>
      <c r="L86" s="7" t="s">
        <v>3785</v>
      </c>
    </row>
    <row r="87">
      <c r="A87" s="146">
        <v>11.0</v>
      </c>
      <c r="B87" s="147" t="s">
        <v>7</v>
      </c>
      <c r="C87" s="147" t="s">
        <v>1467</v>
      </c>
      <c r="D87" s="147" t="s">
        <v>219</v>
      </c>
      <c r="E87" s="147" t="s">
        <v>136</v>
      </c>
      <c r="F87" s="147" t="s">
        <v>136</v>
      </c>
      <c r="G87" s="148"/>
      <c r="H87" s="148"/>
      <c r="I87" s="147" t="s">
        <v>136</v>
      </c>
      <c r="J87" s="147" t="s">
        <v>1468</v>
      </c>
      <c r="K87" s="147" t="s">
        <v>139</v>
      </c>
      <c r="L87" s="7" t="s">
        <v>3785</v>
      </c>
    </row>
    <row r="88">
      <c r="A88" s="146">
        <v>31.0</v>
      </c>
      <c r="B88" s="147" t="s">
        <v>7</v>
      </c>
      <c r="C88" s="147" t="s">
        <v>469</v>
      </c>
      <c r="D88" s="147" t="s">
        <v>202</v>
      </c>
      <c r="E88" s="147" t="s">
        <v>136</v>
      </c>
      <c r="F88" s="147" t="s">
        <v>136</v>
      </c>
      <c r="G88" s="148"/>
      <c r="H88" s="148"/>
      <c r="I88" s="147" t="s">
        <v>136</v>
      </c>
      <c r="J88" s="147" t="s">
        <v>1469</v>
      </c>
      <c r="K88" s="147" t="s">
        <v>139</v>
      </c>
      <c r="L88" s="7" t="s">
        <v>3785</v>
      </c>
    </row>
    <row r="89">
      <c r="A89" s="146">
        <v>27.0</v>
      </c>
      <c r="B89" s="147" t="s">
        <v>6</v>
      </c>
      <c r="C89" s="147" t="s">
        <v>1470</v>
      </c>
      <c r="D89" s="147" t="s">
        <v>143</v>
      </c>
      <c r="E89" s="147" t="s">
        <v>136</v>
      </c>
      <c r="F89" s="147" t="s">
        <v>136</v>
      </c>
      <c r="G89" s="148"/>
      <c r="H89" s="148"/>
      <c r="I89" s="147" t="s">
        <v>136</v>
      </c>
      <c r="J89" s="147" t="s">
        <v>1471</v>
      </c>
      <c r="K89" s="147" t="s">
        <v>139</v>
      </c>
      <c r="L89" s="7" t="s">
        <v>3785</v>
      </c>
    </row>
    <row r="90">
      <c r="A90" s="146">
        <v>7.0</v>
      </c>
      <c r="B90" s="147" t="s">
        <v>6</v>
      </c>
      <c r="C90" s="147" t="s">
        <v>1460</v>
      </c>
      <c r="D90" s="147" t="s">
        <v>164</v>
      </c>
      <c r="E90" s="147" t="s">
        <v>136</v>
      </c>
      <c r="F90" s="147" t="s">
        <v>136</v>
      </c>
      <c r="G90" s="148"/>
      <c r="H90" s="148"/>
      <c r="I90" s="147" t="s">
        <v>135</v>
      </c>
      <c r="J90" s="147" t="s">
        <v>1472</v>
      </c>
      <c r="K90" s="147" t="s">
        <v>139</v>
      </c>
      <c r="L90" s="7" t="s">
        <v>3785</v>
      </c>
    </row>
    <row r="91">
      <c r="A91" s="146">
        <v>9.0</v>
      </c>
      <c r="B91" s="147" t="s">
        <v>6</v>
      </c>
      <c r="C91" s="147" t="s">
        <v>1473</v>
      </c>
      <c r="D91" s="147" t="s">
        <v>263</v>
      </c>
      <c r="E91" s="147" t="s">
        <v>136</v>
      </c>
      <c r="F91" s="147" t="s">
        <v>136</v>
      </c>
      <c r="G91" s="148"/>
      <c r="H91" s="148"/>
      <c r="I91" s="147" t="s">
        <v>136</v>
      </c>
      <c r="J91" s="147" t="s">
        <v>1474</v>
      </c>
      <c r="K91" s="147" t="s">
        <v>139</v>
      </c>
      <c r="L91" s="7" t="s">
        <v>3785</v>
      </c>
    </row>
    <row r="92">
      <c r="A92" s="146">
        <v>13.0</v>
      </c>
      <c r="B92" s="147" t="s">
        <v>7</v>
      </c>
      <c r="C92" s="147" t="s">
        <v>184</v>
      </c>
      <c r="D92" s="147" t="s">
        <v>143</v>
      </c>
      <c r="E92" s="147" t="s">
        <v>136</v>
      </c>
      <c r="F92" s="147" t="s">
        <v>136</v>
      </c>
      <c r="G92" s="148"/>
      <c r="H92" s="148"/>
      <c r="I92" s="147" t="s">
        <v>136</v>
      </c>
      <c r="J92" s="147" t="s">
        <v>1475</v>
      </c>
      <c r="K92" s="147" t="s">
        <v>139</v>
      </c>
      <c r="L92" s="7" t="s">
        <v>3785</v>
      </c>
    </row>
    <row r="93">
      <c r="A93" s="146">
        <v>26.0</v>
      </c>
      <c r="B93" s="147" t="s">
        <v>7</v>
      </c>
      <c r="C93" s="147" t="s">
        <v>1470</v>
      </c>
      <c r="D93" s="147" t="s">
        <v>143</v>
      </c>
      <c r="E93" s="147" t="s">
        <v>136</v>
      </c>
      <c r="F93" s="147" t="s">
        <v>136</v>
      </c>
      <c r="G93" s="148"/>
      <c r="H93" s="148"/>
      <c r="I93" s="147" t="s">
        <v>136</v>
      </c>
      <c r="J93" s="147" t="s">
        <v>1476</v>
      </c>
      <c r="K93" s="147" t="s">
        <v>139</v>
      </c>
      <c r="L93" s="7" t="s">
        <v>3785</v>
      </c>
    </row>
    <row r="94">
      <c r="A94" s="146">
        <v>16.0</v>
      </c>
      <c r="B94" s="147" t="s">
        <v>6</v>
      </c>
      <c r="C94" s="147" t="s">
        <v>1477</v>
      </c>
      <c r="D94" s="147" t="s">
        <v>187</v>
      </c>
      <c r="E94" s="147" t="s">
        <v>136</v>
      </c>
      <c r="F94" s="147" t="s">
        <v>135</v>
      </c>
      <c r="G94" s="148"/>
      <c r="H94" s="148"/>
      <c r="I94" s="147" t="s">
        <v>136</v>
      </c>
      <c r="J94" s="147" t="s">
        <v>1478</v>
      </c>
      <c r="K94" s="147" t="s">
        <v>139</v>
      </c>
      <c r="L94" s="7" t="s">
        <v>3785</v>
      </c>
    </row>
    <row r="95">
      <c r="A95" s="146">
        <v>29.0</v>
      </c>
      <c r="B95" s="147" t="s">
        <v>6</v>
      </c>
      <c r="C95" s="147" t="s">
        <v>1479</v>
      </c>
      <c r="D95" s="147" t="s">
        <v>164</v>
      </c>
      <c r="E95" s="147" t="s">
        <v>136</v>
      </c>
      <c r="F95" s="147" t="s">
        <v>135</v>
      </c>
      <c r="G95" s="148"/>
      <c r="H95" s="148"/>
      <c r="I95" s="147" t="s">
        <v>136</v>
      </c>
      <c r="J95" s="147" t="s">
        <v>1480</v>
      </c>
      <c r="K95" s="147" t="s">
        <v>139</v>
      </c>
      <c r="L95" s="7" t="s">
        <v>3785</v>
      </c>
    </row>
    <row r="96">
      <c r="A96" s="146">
        <v>19.0</v>
      </c>
      <c r="B96" s="147" t="s">
        <v>7</v>
      </c>
      <c r="C96" s="147" t="s">
        <v>1481</v>
      </c>
      <c r="D96" s="147" t="s">
        <v>383</v>
      </c>
      <c r="E96" s="147" t="s">
        <v>135</v>
      </c>
      <c r="F96" s="147" t="s">
        <v>136</v>
      </c>
      <c r="G96" s="148"/>
      <c r="H96" s="148"/>
      <c r="I96" s="147" t="s">
        <v>136</v>
      </c>
      <c r="J96" s="147" t="s">
        <v>1482</v>
      </c>
      <c r="K96" s="147" t="s">
        <v>139</v>
      </c>
      <c r="L96" s="7" t="s">
        <v>3785</v>
      </c>
    </row>
    <row r="97">
      <c r="A97" s="146">
        <v>8.0</v>
      </c>
      <c r="B97" s="147" t="s">
        <v>6</v>
      </c>
      <c r="C97" s="147" t="s">
        <v>1460</v>
      </c>
      <c r="D97" s="147" t="s">
        <v>164</v>
      </c>
      <c r="E97" s="147" t="s">
        <v>136</v>
      </c>
      <c r="F97" s="147" t="s">
        <v>136</v>
      </c>
      <c r="G97" s="148"/>
      <c r="H97" s="148"/>
      <c r="I97" s="147" t="s">
        <v>135</v>
      </c>
      <c r="J97" s="147" t="s">
        <v>1483</v>
      </c>
      <c r="K97" s="147" t="s">
        <v>139</v>
      </c>
      <c r="L97" s="7" t="s">
        <v>3785</v>
      </c>
    </row>
    <row r="98">
      <c r="A98" s="146">
        <v>4.0</v>
      </c>
      <c r="B98" s="147" t="s">
        <v>7</v>
      </c>
      <c r="C98" s="147" t="s">
        <v>952</v>
      </c>
      <c r="D98" s="147" t="s">
        <v>164</v>
      </c>
      <c r="E98" s="147" t="s">
        <v>135</v>
      </c>
      <c r="F98" s="147" t="s">
        <v>135</v>
      </c>
      <c r="G98" s="148"/>
      <c r="H98" s="148"/>
      <c r="I98" s="147" t="s">
        <v>135</v>
      </c>
      <c r="J98" s="147" t="s">
        <v>1484</v>
      </c>
      <c r="K98" s="147" t="s">
        <v>1485</v>
      </c>
      <c r="L98" s="7" t="s">
        <v>3785</v>
      </c>
    </row>
    <row r="99">
      <c r="A99" s="146">
        <v>21.0</v>
      </c>
      <c r="B99" s="147" t="s">
        <v>6</v>
      </c>
      <c r="C99" s="147" t="s">
        <v>1486</v>
      </c>
      <c r="D99" s="147" t="s">
        <v>193</v>
      </c>
      <c r="E99" s="147" t="s">
        <v>135</v>
      </c>
      <c r="F99" s="147" t="s">
        <v>136</v>
      </c>
      <c r="G99" s="148"/>
      <c r="H99" s="148"/>
      <c r="I99" s="147" t="s">
        <v>136</v>
      </c>
      <c r="J99" s="147" t="s">
        <v>1487</v>
      </c>
      <c r="K99" s="147" t="s">
        <v>139</v>
      </c>
      <c r="L99" s="7" t="s">
        <v>3785</v>
      </c>
    </row>
    <row r="100">
      <c r="A100" s="146">
        <v>62.0</v>
      </c>
      <c r="B100" s="147" t="s">
        <v>1488</v>
      </c>
      <c r="C100" s="147" t="s">
        <v>1489</v>
      </c>
      <c r="D100" s="147" t="s">
        <v>263</v>
      </c>
      <c r="E100" s="147" t="s">
        <v>136</v>
      </c>
      <c r="F100" s="147" t="s">
        <v>136</v>
      </c>
      <c r="G100" s="149" t="s">
        <v>1490</v>
      </c>
      <c r="H100" s="148"/>
      <c r="I100" s="147" t="s">
        <v>136</v>
      </c>
      <c r="J100" s="150">
        <v>45525.6625</v>
      </c>
      <c r="K100" s="147" t="s">
        <v>139</v>
      </c>
      <c r="L100" s="7" t="s">
        <v>3785</v>
      </c>
    </row>
    <row r="101">
      <c r="A101" s="146">
        <v>34.0</v>
      </c>
      <c r="B101" s="147" t="s">
        <v>1491</v>
      </c>
      <c r="C101" s="147" t="s">
        <v>1492</v>
      </c>
      <c r="D101" s="147" t="s">
        <v>143</v>
      </c>
      <c r="E101" s="147" t="s">
        <v>135</v>
      </c>
      <c r="F101" s="147" t="s">
        <v>136</v>
      </c>
      <c r="G101" s="147" t="s">
        <v>1493</v>
      </c>
      <c r="H101" s="148"/>
      <c r="I101" s="147" t="s">
        <v>136</v>
      </c>
      <c r="J101" s="147" t="s">
        <v>1494</v>
      </c>
      <c r="K101" s="147" t="s">
        <v>139</v>
      </c>
      <c r="L101" s="7" t="s">
        <v>3785</v>
      </c>
    </row>
    <row r="102">
      <c r="A102" s="146">
        <v>16.0</v>
      </c>
      <c r="B102" s="147" t="s">
        <v>7</v>
      </c>
      <c r="C102" s="147" t="s">
        <v>973</v>
      </c>
      <c r="D102" s="147" t="s">
        <v>164</v>
      </c>
      <c r="E102" s="147" t="s">
        <v>135</v>
      </c>
      <c r="F102" s="147" t="s">
        <v>136</v>
      </c>
      <c r="G102" s="147" t="s">
        <v>1495</v>
      </c>
      <c r="H102" s="148"/>
      <c r="I102" s="147" t="s">
        <v>136</v>
      </c>
      <c r="J102" s="147" t="s">
        <v>1496</v>
      </c>
      <c r="K102" s="147" t="s">
        <v>139</v>
      </c>
      <c r="L102" s="7" t="s">
        <v>3785</v>
      </c>
    </row>
    <row r="103">
      <c r="A103" s="146">
        <v>43.0</v>
      </c>
      <c r="B103" s="147" t="s">
        <v>6</v>
      </c>
      <c r="C103" s="147" t="s">
        <v>1497</v>
      </c>
      <c r="D103" s="147" t="s">
        <v>165</v>
      </c>
      <c r="E103" s="147" t="s">
        <v>135</v>
      </c>
      <c r="F103" s="147" t="s">
        <v>136</v>
      </c>
      <c r="G103" s="147" t="s">
        <v>1498</v>
      </c>
      <c r="H103" s="148"/>
      <c r="I103" s="147" t="s">
        <v>135</v>
      </c>
      <c r="J103" s="147" t="s">
        <v>1499</v>
      </c>
      <c r="K103" s="147" t="s">
        <v>139</v>
      </c>
      <c r="L103" s="7" t="s">
        <v>3785</v>
      </c>
    </row>
    <row r="104">
      <c r="A104" s="146">
        <v>56.0</v>
      </c>
      <c r="B104" s="147" t="s">
        <v>7</v>
      </c>
      <c r="C104" s="147" t="s">
        <v>1500</v>
      </c>
      <c r="D104" s="147" t="s">
        <v>259</v>
      </c>
      <c r="E104" s="147" t="s">
        <v>135</v>
      </c>
      <c r="F104" s="147" t="s">
        <v>135</v>
      </c>
      <c r="G104" s="149" t="s">
        <v>137</v>
      </c>
      <c r="H104" s="148"/>
      <c r="I104" s="147" t="s">
        <v>136</v>
      </c>
      <c r="J104" s="150">
        <v>45509.57083333333</v>
      </c>
      <c r="K104" s="147" t="s">
        <v>139</v>
      </c>
      <c r="L104" s="7" t="s">
        <v>3785</v>
      </c>
    </row>
    <row r="105">
      <c r="A105" s="146">
        <v>81.0</v>
      </c>
      <c r="B105" s="147" t="s">
        <v>6</v>
      </c>
      <c r="C105" s="147" t="s">
        <v>1501</v>
      </c>
      <c r="D105" s="147" t="s">
        <v>187</v>
      </c>
      <c r="E105" s="147" t="s">
        <v>135</v>
      </c>
      <c r="F105" s="147" t="s">
        <v>136</v>
      </c>
      <c r="G105" s="147" t="s">
        <v>1502</v>
      </c>
      <c r="H105" s="148"/>
      <c r="I105" s="147" t="s">
        <v>136</v>
      </c>
      <c r="J105" s="150">
        <v>45532.67638888889</v>
      </c>
      <c r="K105" s="147" t="s">
        <v>139</v>
      </c>
      <c r="L105" s="7" t="s">
        <v>3785</v>
      </c>
    </row>
    <row r="106">
      <c r="A106" s="146">
        <v>88.0</v>
      </c>
      <c r="B106" s="147" t="s">
        <v>6</v>
      </c>
      <c r="C106" s="147" t="s">
        <v>235</v>
      </c>
      <c r="D106" s="147" t="s">
        <v>164</v>
      </c>
      <c r="E106" s="147" t="s">
        <v>136</v>
      </c>
      <c r="F106" s="147" t="s">
        <v>136</v>
      </c>
      <c r="G106" s="147" t="s">
        <v>1503</v>
      </c>
      <c r="H106" s="148"/>
      <c r="I106" s="147" t="s">
        <v>136</v>
      </c>
      <c r="J106" s="150">
        <v>45534.67152777778</v>
      </c>
      <c r="K106" s="147" t="s">
        <v>139</v>
      </c>
      <c r="L106" s="7" t="s">
        <v>3785</v>
      </c>
    </row>
    <row r="107">
      <c r="A107" s="146">
        <v>87.0</v>
      </c>
      <c r="B107" s="147" t="s">
        <v>6</v>
      </c>
      <c r="C107" s="147" t="s">
        <v>1504</v>
      </c>
      <c r="D107" s="147" t="s">
        <v>358</v>
      </c>
      <c r="E107" s="147" t="s">
        <v>135</v>
      </c>
      <c r="F107" s="147" t="s">
        <v>136</v>
      </c>
      <c r="G107" s="147" t="s">
        <v>1505</v>
      </c>
      <c r="H107" s="148"/>
      <c r="I107" s="147" t="s">
        <v>135</v>
      </c>
      <c r="J107" s="150">
        <v>45534.623611111114</v>
      </c>
      <c r="K107" s="147" t="s">
        <v>139</v>
      </c>
      <c r="L107" s="7" t="s">
        <v>3785</v>
      </c>
    </row>
    <row r="108">
      <c r="A108" s="146">
        <v>30.0</v>
      </c>
      <c r="B108" s="147" t="s">
        <v>6</v>
      </c>
      <c r="C108" s="147" t="s">
        <v>1506</v>
      </c>
      <c r="D108" s="147" t="s">
        <v>390</v>
      </c>
      <c r="E108" s="147" t="s">
        <v>135</v>
      </c>
      <c r="F108" s="147" t="s">
        <v>136</v>
      </c>
      <c r="G108" s="147" t="s">
        <v>1507</v>
      </c>
      <c r="H108" s="148"/>
      <c r="I108" s="147" t="s">
        <v>135</v>
      </c>
      <c r="J108" s="147" t="s">
        <v>1508</v>
      </c>
      <c r="K108" s="147" t="s">
        <v>139</v>
      </c>
      <c r="L108" s="7" t="s">
        <v>3785</v>
      </c>
    </row>
    <row r="109">
      <c r="A109" s="146">
        <v>64.0</v>
      </c>
      <c r="B109" s="147" t="s">
        <v>6</v>
      </c>
      <c r="C109" s="147" t="s">
        <v>315</v>
      </c>
      <c r="D109" s="147" t="s">
        <v>164</v>
      </c>
      <c r="E109" s="147" t="s">
        <v>135</v>
      </c>
      <c r="F109" s="147" t="s">
        <v>136</v>
      </c>
      <c r="G109" s="147" t="s">
        <v>1509</v>
      </c>
      <c r="H109" s="148"/>
      <c r="I109" s="147" t="s">
        <v>136</v>
      </c>
      <c r="J109" s="150">
        <v>45527.645833333336</v>
      </c>
      <c r="K109" s="147" t="s">
        <v>139</v>
      </c>
      <c r="L109" s="7" t="s">
        <v>3785</v>
      </c>
    </row>
    <row r="110">
      <c r="A110" s="146">
        <v>12.0</v>
      </c>
      <c r="B110" s="147" t="s">
        <v>1491</v>
      </c>
      <c r="C110" s="147" t="s">
        <v>1510</v>
      </c>
      <c r="D110" s="147" t="s">
        <v>177</v>
      </c>
      <c r="E110" s="147" t="s">
        <v>135</v>
      </c>
      <c r="F110" s="147" t="s">
        <v>136</v>
      </c>
      <c r="G110" s="147" t="s">
        <v>1511</v>
      </c>
      <c r="H110" s="148"/>
      <c r="I110" s="147" t="s">
        <v>136</v>
      </c>
      <c r="J110" s="147" t="s">
        <v>1512</v>
      </c>
      <c r="K110" s="147" t="s">
        <v>139</v>
      </c>
      <c r="L110" s="7" t="s">
        <v>3785</v>
      </c>
    </row>
    <row r="111">
      <c r="A111" s="146">
        <v>35.0</v>
      </c>
      <c r="B111" s="147" t="s">
        <v>6</v>
      </c>
      <c r="C111" s="147" t="s">
        <v>1513</v>
      </c>
      <c r="D111" s="147" t="s">
        <v>263</v>
      </c>
      <c r="E111" s="147" t="s">
        <v>135</v>
      </c>
      <c r="F111" s="147" t="s">
        <v>136</v>
      </c>
      <c r="G111" s="149" t="s">
        <v>647</v>
      </c>
      <c r="H111" s="148"/>
      <c r="I111" s="147" t="s">
        <v>136</v>
      </c>
      <c r="J111" s="147" t="s">
        <v>1514</v>
      </c>
      <c r="K111" s="147" t="s">
        <v>139</v>
      </c>
      <c r="L111" s="7" t="s">
        <v>3785</v>
      </c>
    </row>
    <row r="112">
      <c r="A112" s="146">
        <v>97.0</v>
      </c>
      <c r="B112" s="147" t="s">
        <v>1491</v>
      </c>
      <c r="C112" s="147" t="s">
        <v>1515</v>
      </c>
      <c r="D112" s="147" t="s">
        <v>209</v>
      </c>
      <c r="E112" s="147" t="s">
        <v>135</v>
      </c>
      <c r="F112" s="147" t="s">
        <v>136</v>
      </c>
      <c r="G112" s="147" t="s">
        <v>647</v>
      </c>
      <c r="H112" s="148"/>
      <c r="I112" s="147" t="s">
        <v>136</v>
      </c>
      <c r="J112" s="147" t="s">
        <v>1516</v>
      </c>
      <c r="K112" s="147" t="s">
        <v>139</v>
      </c>
      <c r="L112" s="7" t="s">
        <v>3785</v>
      </c>
    </row>
    <row r="113">
      <c r="A113" s="146">
        <v>48.0</v>
      </c>
      <c r="B113" s="147" t="s">
        <v>6</v>
      </c>
      <c r="C113" s="147" t="s">
        <v>1517</v>
      </c>
      <c r="D113" s="147" t="s">
        <v>187</v>
      </c>
      <c r="E113" s="147" t="s">
        <v>136</v>
      </c>
      <c r="F113" s="147" t="s">
        <v>136</v>
      </c>
      <c r="G113" s="147" t="s">
        <v>1490</v>
      </c>
      <c r="H113" s="148"/>
      <c r="I113" s="147" t="s">
        <v>136</v>
      </c>
      <c r="J113" s="147" t="s">
        <v>1518</v>
      </c>
      <c r="K113" s="147" t="s">
        <v>139</v>
      </c>
      <c r="L113" s="7" t="s">
        <v>3785</v>
      </c>
    </row>
    <row r="114">
      <c r="A114" s="146">
        <v>10.0</v>
      </c>
      <c r="B114" s="147" t="s">
        <v>6</v>
      </c>
      <c r="C114" s="147" t="s">
        <v>1519</v>
      </c>
      <c r="D114" s="147" t="s">
        <v>202</v>
      </c>
      <c r="E114" s="147" t="s">
        <v>136</v>
      </c>
      <c r="F114" s="147" t="s">
        <v>136</v>
      </c>
      <c r="G114" s="149" t="s">
        <v>1520</v>
      </c>
      <c r="H114" s="148"/>
      <c r="I114" s="147" t="s">
        <v>136</v>
      </c>
      <c r="J114" s="147" t="s">
        <v>1521</v>
      </c>
      <c r="K114" s="147" t="s">
        <v>139</v>
      </c>
      <c r="L114" s="7" t="s">
        <v>3785</v>
      </c>
    </row>
    <row r="115">
      <c r="A115" s="146">
        <v>3.0</v>
      </c>
      <c r="B115" s="147" t="s">
        <v>6</v>
      </c>
      <c r="C115" s="147" t="s">
        <v>633</v>
      </c>
      <c r="D115" s="147" t="s">
        <v>164</v>
      </c>
      <c r="E115" s="147" t="s">
        <v>136</v>
      </c>
      <c r="F115" s="147" t="s">
        <v>136</v>
      </c>
      <c r="G115" s="147" t="s">
        <v>1522</v>
      </c>
      <c r="H115" s="148"/>
      <c r="I115" s="147" t="s">
        <v>136</v>
      </c>
      <c r="J115" s="147" t="s">
        <v>1523</v>
      </c>
      <c r="K115" s="147" t="s">
        <v>139</v>
      </c>
      <c r="L115" s="7" t="s">
        <v>3785</v>
      </c>
    </row>
    <row r="116">
      <c r="A116" s="146">
        <v>92.0</v>
      </c>
      <c r="B116" s="147" t="s">
        <v>6</v>
      </c>
      <c r="C116" s="147" t="s">
        <v>1524</v>
      </c>
      <c r="D116" s="147" t="s">
        <v>159</v>
      </c>
      <c r="E116" s="147" t="s">
        <v>136</v>
      </c>
      <c r="F116" s="147" t="s">
        <v>136</v>
      </c>
      <c r="G116" s="147" t="s">
        <v>1525</v>
      </c>
      <c r="H116" s="148"/>
      <c r="I116" s="147" t="s">
        <v>136</v>
      </c>
      <c r="J116" s="150">
        <v>45535.92152777778</v>
      </c>
      <c r="K116" s="147" t="s">
        <v>139</v>
      </c>
      <c r="L116" s="7" t="s">
        <v>3785</v>
      </c>
    </row>
    <row r="117">
      <c r="A117" s="146">
        <v>82.0</v>
      </c>
      <c r="B117" s="147" t="s">
        <v>1491</v>
      </c>
      <c r="C117" s="147" t="s">
        <v>315</v>
      </c>
      <c r="D117" s="147" t="s">
        <v>164</v>
      </c>
      <c r="E117" s="147" t="s">
        <v>136</v>
      </c>
      <c r="F117" s="147" t="s">
        <v>136</v>
      </c>
      <c r="G117" s="147" t="s">
        <v>1526</v>
      </c>
      <c r="H117" s="148"/>
      <c r="I117" s="147" t="s">
        <v>136</v>
      </c>
      <c r="J117" s="150">
        <v>45533.525</v>
      </c>
      <c r="K117" s="147" t="s">
        <v>139</v>
      </c>
      <c r="L117" s="7" t="s">
        <v>3785</v>
      </c>
    </row>
    <row r="118">
      <c r="A118" s="146">
        <v>68.0</v>
      </c>
      <c r="B118" s="147" t="s">
        <v>6</v>
      </c>
      <c r="C118" s="147" t="s">
        <v>1527</v>
      </c>
      <c r="D118" s="147" t="s">
        <v>164</v>
      </c>
      <c r="E118" s="147" t="s">
        <v>136</v>
      </c>
      <c r="F118" s="147" t="s">
        <v>136</v>
      </c>
      <c r="G118" s="149" t="s">
        <v>1528</v>
      </c>
      <c r="H118" s="148"/>
      <c r="I118" s="147" t="s">
        <v>136</v>
      </c>
      <c r="J118" s="150">
        <v>45530.32361111111</v>
      </c>
      <c r="K118" s="147" t="s">
        <v>139</v>
      </c>
      <c r="L118" s="7" t="s">
        <v>3785</v>
      </c>
    </row>
    <row r="119">
      <c r="A119" s="146">
        <v>32.0</v>
      </c>
      <c r="B119" s="147" t="s">
        <v>1491</v>
      </c>
      <c r="C119" s="147" t="s">
        <v>1513</v>
      </c>
      <c r="D119" s="147" t="s">
        <v>263</v>
      </c>
      <c r="E119" s="147" t="s">
        <v>136</v>
      </c>
      <c r="F119" s="147" t="s">
        <v>136</v>
      </c>
      <c r="G119" s="147" t="s">
        <v>1529</v>
      </c>
      <c r="H119" s="148"/>
      <c r="I119" s="147" t="s">
        <v>136</v>
      </c>
      <c r="J119" s="147" t="s">
        <v>1530</v>
      </c>
      <c r="K119" s="147" t="s">
        <v>139</v>
      </c>
      <c r="L119" s="7" t="s">
        <v>3785</v>
      </c>
    </row>
    <row r="120">
      <c r="A120" s="146">
        <v>80.0</v>
      </c>
      <c r="B120" s="147" t="s">
        <v>6</v>
      </c>
      <c r="C120" s="147" t="s">
        <v>315</v>
      </c>
      <c r="D120" s="147" t="s">
        <v>164</v>
      </c>
      <c r="E120" s="147" t="s">
        <v>136</v>
      </c>
      <c r="F120" s="147" t="s">
        <v>136</v>
      </c>
      <c r="G120" s="149" t="s">
        <v>1531</v>
      </c>
      <c r="H120" s="148"/>
      <c r="I120" s="147" t="s">
        <v>136</v>
      </c>
      <c r="J120" s="150">
        <v>45532.501388888886</v>
      </c>
      <c r="K120" s="147" t="s">
        <v>139</v>
      </c>
      <c r="L120" s="7" t="s">
        <v>3785</v>
      </c>
    </row>
    <row r="121">
      <c r="A121" s="146">
        <v>89.0</v>
      </c>
      <c r="B121" s="147" t="s">
        <v>6</v>
      </c>
      <c r="C121" s="147" t="s">
        <v>1532</v>
      </c>
      <c r="D121" s="147" t="s">
        <v>358</v>
      </c>
      <c r="E121" s="147" t="s">
        <v>136</v>
      </c>
      <c r="F121" s="147" t="s">
        <v>136</v>
      </c>
      <c r="G121" s="147" t="s">
        <v>137</v>
      </c>
      <c r="H121" s="148"/>
      <c r="I121" s="147" t="s">
        <v>136</v>
      </c>
      <c r="J121" s="150">
        <v>45534.94097222222</v>
      </c>
      <c r="K121" s="147" t="s">
        <v>139</v>
      </c>
      <c r="L121" s="7" t="s">
        <v>3785</v>
      </c>
    </row>
    <row r="122">
      <c r="A122" s="146">
        <v>47.0</v>
      </c>
      <c r="B122" s="147" t="s">
        <v>1533</v>
      </c>
      <c r="C122" s="147" t="s">
        <v>1492</v>
      </c>
      <c r="D122" s="147" t="s">
        <v>143</v>
      </c>
      <c r="E122" s="147" t="s">
        <v>135</v>
      </c>
      <c r="F122" s="147" t="s">
        <v>136</v>
      </c>
      <c r="G122" s="147" t="s">
        <v>1534</v>
      </c>
      <c r="H122" s="148"/>
      <c r="I122" s="147" t="s">
        <v>136</v>
      </c>
      <c r="J122" s="147" t="s">
        <v>1535</v>
      </c>
      <c r="K122" s="147" t="s">
        <v>139</v>
      </c>
      <c r="L122" s="7" t="s">
        <v>3785</v>
      </c>
    </row>
    <row r="123">
      <c r="A123" s="146">
        <v>45.0</v>
      </c>
      <c r="B123" s="147" t="s">
        <v>6</v>
      </c>
      <c r="C123" s="147" t="s">
        <v>1536</v>
      </c>
      <c r="D123" s="147" t="s">
        <v>134</v>
      </c>
      <c r="E123" s="147" t="s">
        <v>136</v>
      </c>
      <c r="F123" s="147" t="s">
        <v>136</v>
      </c>
      <c r="G123" s="147" t="s">
        <v>1537</v>
      </c>
      <c r="H123" s="148"/>
      <c r="I123" s="147" t="s">
        <v>136</v>
      </c>
      <c r="J123" s="147" t="s">
        <v>1538</v>
      </c>
      <c r="K123" s="147" t="s">
        <v>139</v>
      </c>
      <c r="L123" s="7" t="s">
        <v>3785</v>
      </c>
    </row>
    <row r="124">
      <c r="A124" s="146">
        <v>37.0</v>
      </c>
      <c r="B124" s="147" t="s">
        <v>6</v>
      </c>
      <c r="C124" s="147" t="s">
        <v>560</v>
      </c>
      <c r="D124" s="147" t="s">
        <v>213</v>
      </c>
      <c r="E124" s="147" t="s">
        <v>135</v>
      </c>
      <c r="F124" s="147" t="s">
        <v>136</v>
      </c>
      <c r="G124" s="149" t="s">
        <v>1539</v>
      </c>
      <c r="H124" s="148"/>
      <c r="I124" s="147" t="s">
        <v>135</v>
      </c>
      <c r="J124" s="147" t="s">
        <v>1540</v>
      </c>
      <c r="K124" s="147" t="s">
        <v>139</v>
      </c>
      <c r="L124" s="7" t="s">
        <v>3785</v>
      </c>
    </row>
    <row r="125">
      <c r="A125" s="146">
        <v>73.0</v>
      </c>
      <c r="B125" s="147" t="s">
        <v>6</v>
      </c>
      <c r="C125" s="147" t="s">
        <v>1541</v>
      </c>
      <c r="D125" s="147" t="s">
        <v>203</v>
      </c>
      <c r="E125" s="147" t="s">
        <v>136</v>
      </c>
      <c r="F125" s="147" t="s">
        <v>136</v>
      </c>
      <c r="G125" s="149" t="s">
        <v>1542</v>
      </c>
      <c r="H125" s="148"/>
      <c r="I125" s="147" t="s">
        <v>136</v>
      </c>
      <c r="J125" s="150">
        <v>45531.57083333333</v>
      </c>
      <c r="K125" s="147" t="s">
        <v>139</v>
      </c>
      <c r="L125" s="7" t="s">
        <v>3785</v>
      </c>
    </row>
    <row r="126">
      <c r="A126" s="146">
        <v>76.0</v>
      </c>
      <c r="B126" s="147" t="s">
        <v>7</v>
      </c>
      <c r="C126" s="147" t="s">
        <v>315</v>
      </c>
      <c r="D126" s="147" t="s">
        <v>164</v>
      </c>
      <c r="E126" s="147" t="s">
        <v>135</v>
      </c>
      <c r="F126" s="147" t="s">
        <v>136</v>
      </c>
      <c r="G126" s="147" t="s">
        <v>137</v>
      </c>
      <c r="H126" s="148"/>
      <c r="I126" s="147" t="s">
        <v>136</v>
      </c>
      <c r="J126" s="150">
        <v>45531.606944444444</v>
      </c>
      <c r="K126" s="147" t="s">
        <v>139</v>
      </c>
      <c r="L126" s="7" t="s">
        <v>3785</v>
      </c>
    </row>
    <row r="127">
      <c r="A127" s="146">
        <v>51.0</v>
      </c>
      <c r="B127" s="147" t="s">
        <v>6</v>
      </c>
      <c r="C127" s="147" t="s">
        <v>1515</v>
      </c>
      <c r="D127" s="147" t="s">
        <v>209</v>
      </c>
      <c r="E127" s="147" t="s">
        <v>135</v>
      </c>
      <c r="F127" s="147" t="s">
        <v>136</v>
      </c>
      <c r="G127" s="147" t="s">
        <v>1543</v>
      </c>
      <c r="H127" s="148"/>
      <c r="I127" s="147" t="s">
        <v>136</v>
      </c>
      <c r="J127" s="147" t="s">
        <v>1544</v>
      </c>
      <c r="K127" s="147" t="s">
        <v>139</v>
      </c>
      <c r="L127" s="7" t="s">
        <v>3785</v>
      </c>
    </row>
    <row r="128">
      <c r="A128" s="146">
        <v>69.0</v>
      </c>
      <c r="B128" s="147" t="s">
        <v>6</v>
      </c>
      <c r="C128" s="147" t="s">
        <v>1545</v>
      </c>
      <c r="D128" s="147" t="s">
        <v>296</v>
      </c>
      <c r="E128" s="147" t="s">
        <v>135</v>
      </c>
      <c r="F128" s="147" t="s">
        <v>136</v>
      </c>
      <c r="G128" s="149" t="s">
        <v>1546</v>
      </c>
      <c r="H128" s="148"/>
      <c r="I128" s="147" t="s">
        <v>136</v>
      </c>
      <c r="J128" s="150">
        <v>45531.39375</v>
      </c>
      <c r="K128" s="147" t="s">
        <v>139</v>
      </c>
      <c r="L128" s="7" t="s">
        <v>3785</v>
      </c>
    </row>
    <row r="129">
      <c r="A129" s="146">
        <v>24.0</v>
      </c>
      <c r="B129" s="147" t="s">
        <v>6</v>
      </c>
      <c r="C129" s="147" t="s">
        <v>270</v>
      </c>
      <c r="D129" s="147" t="s">
        <v>134</v>
      </c>
      <c r="E129" s="147" t="s">
        <v>135</v>
      </c>
      <c r="F129" s="147" t="s">
        <v>136</v>
      </c>
      <c r="G129" s="147" t="s">
        <v>1547</v>
      </c>
      <c r="H129" s="148"/>
      <c r="I129" s="147" t="s">
        <v>136</v>
      </c>
      <c r="J129" s="147" t="s">
        <v>1548</v>
      </c>
      <c r="K129" s="147" t="s">
        <v>139</v>
      </c>
      <c r="L129" s="7" t="s">
        <v>3785</v>
      </c>
    </row>
    <row r="130">
      <c r="A130" s="146">
        <v>85.0</v>
      </c>
      <c r="B130" s="147" t="s">
        <v>7</v>
      </c>
      <c r="C130" s="147" t="s">
        <v>315</v>
      </c>
      <c r="D130" s="147" t="s">
        <v>164</v>
      </c>
      <c r="E130" s="147" t="s">
        <v>136</v>
      </c>
      <c r="F130" s="147" t="s">
        <v>136</v>
      </c>
      <c r="G130" s="147" t="s">
        <v>1549</v>
      </c>
      <c r="H130" s="148"/>
      <c r="I130" s="147" t="s">
        <v>136</v>
      </c>
      <c r="J130" s="150">
        <v>45533.76875</v>
      </c>
      <c r="K130" s="147" t="s">
        <v>139</v>
      </c>
      <c r="L130" s="7" t="s">
        <v>3785</v>
      </c>
    </row>
    <row r="131">
      <c r="A131" s="146">
        <v>27.0</v>
      </c>
      <c r="B131" s="147" t="s">
        <v>1491</v>
      </c>
      <c r="C131" s="147" t="s">
        <v>1550</v>
      </c>
      <c r="D131" s="147" t="s">
        <v>143</v>
      </c>
      <c r="E131" s="147" t="s">
        <v>135</v>
      </c>
      <c r="F131" s="147" t="s">
        <v>136</v>
      </c>
      <c r="G131" s="147" t="s">
        <v>1551</v>
      </c>
      <c r="H131" s="148"/>
      <c r="I131" s="147" t="s">
        <v>136</v>
      </c>
      <c r="J131" s="147" t="s">
        <v>1552</v>
      </c>
      <c r="K131" s="147" t="s">
        <v>139</v>
      </c>
      <c r="L131" s="7" t="s">
        <v>3785</v>
      </c>
    </row>
    <row r="132">
      <c r="A132" s="146">
        <v>74.0</v>
      </c>
      <c r="B132" s="147" t="s">
        <v>6</v>
      </c>
      <c r="C132" s="147" t="s">
        <v>1553</v>
      </c>
      <c r="D132" s="147" t="s">
        <v>203</v>
      </c>
      <c r="E132" s="147" t="s">
        <v>136</v>
      </c>
      <c r="F132" s="147" t="s">
        <v>136</v>
      </c>
      <c r="G132" s="147" t="s">
        <v>1554</v>
      </c>
      <c r="H132" s="148"/>
      <c r="I132" s="147" t="s">
        <v>136</v>
      </c>
      <c r="J132" s="150">
        <v>45531.57152777778</v>
      </c>
      <c r="K132" s="147" t="s">
        <v>139</v>
      </c>
      <c r="L132" s="7" t="s">
        <v>3785</v>
      </c>
    </row>
    <row r="133">
      <c r="A133" s="146">
        <v>93.0</v>
      </c>
      <c r="B133" s="147" t="s">
        <v>1491</v>
      </c>
      <c r="C133" s="147" t="s">
        <v>1555</v>
      </c>
      <c r="D133" s="147" t="s">
        <v>263</v>
      </c>
      <c r="E133" s="147" t="s">
        <v>136</v>
      </c>
      <c r="F133" s="147" t="s">
        <v>136</v>
      </c>
      <c r="G133" s="149" t="s">
        <v>1556</v>
      </c>
      <c r="H133" s="148"/>
      <c r="I133" s="147" t="s">
        <v>135</v>
      </c>
      <c r="J133" s="147" t="s">
        <v>1557</v>
      </c>
      <c r="K133" s="147" t="s">
        <v>139</v>
      </c>
      <c r="L133" s="7" t="s">
        <v>3785</v>
      </c>
    </row>
    <row r="134">
      <c r="A134" s="146">
        <v>23.0</v>
      </c>
      <c r="B134" s="147" t="s">
        <v>6</v>
      </c>
      <c r="C134" s="147" t="s">
        <v>1558</v>
      </c>
      <c r="D134" s="147" t="s">
        <v>383</v>
      </c>
      <c r="E134" s="147" t="s">
        <v>136</v>
      </c>
      <c r="F134" s="147" t="s">
        <v>136</v>
      </c>
      <c r="G134" s="147" t="s">
        <v>1559</v>
      </c>
      <c r="H134" s="148"/>
      <c r="I134" s="147" t="s">
        <v>136</v>
      </c>
      <c r="J134" s="147" t="s">
        <v>1560</v>
      </c>
      <c r="K134" s="147" t="s">
        <v>139</v>
      </c>
      <c r="L134" s="7" t="s">
        <v>3785</v>
      </c>
    </row>
    <row r="135">
      <c r="A135" s="146">
        <v>57.0</v>
      </c>
      <c r="B135" s="147" t="s">
        <v>6</v>
      </c>
      <c r="C135" s="147" t="s">
        <v>1561</v>
      </c>
      <c r="D135" s="147" t="s">
        <v>134</v>
      </c>
      <c r="E135" s="147" t="s">
        <v>135</v>
      </c>
      <c r="F135" s="147" t="s">
        <v>136</v>
      </c>
      <c r="G135" s="147" t="s">
        <v>1562</v>
      </c>
      <c r="H135" s="148"/>
      <c r="I135" s="147" t="s">
        <v>136</v>
      </c>
      <c r="J135" s="150">
        <v>45509.62152777778</v>
      </c>
      <c r="K135" s="147" t="s">
        <v>139</v>
      </c>
      <c r="L135" s="7" t="s">
        <v>3785</v>
      </c>
    </row>
    <row r="136">
      <c r="A136" s="146">
        <v>61.0</v>
      </c>
      <c r="B136" s="147" t="s">
        <v>1491</v>
      </c>
      <c r="C136" s="147" t="s">
        <v>1563</v>
      </c>
      <c r="D136" s="147" t="s">
        <v>134</v>
      </c>
      <c r="E136" s="147" t="s">
        <v>136</v>
      </c>
      <c r="F136" s="147" t="s">
        <v>136</v>
      </c>
      <c r="G136" s="147" t="s">
        <v>1564</v>
      </c>
      <c r="H136" s="148"/>
      <c r="I136" s="147" t="s">
        <v>136</v>
      </c>
      <c r="J136" s="150">
        <v>45525.50486111111</v>
      </c>
      <c r="K136" s="147" t="s">
        <v>139</v>
      </c>
      <c r="L136" s="7" t="s">
        <v>3785</v>
      </c>
    </row>
    <row r="137">
      <c r="A137" s="146">
        <v>53.0</v>
      </c>
      <c r="B137" s="147" t="s">
        <v>1491</v>
      </c>
      <c r="C137" s="147" t="s">
        <v>1565</v>
      </c>
      <c r="D137" s="147" t="s">
        <v>296</v>
      </c>
      <c r="E137" s="147" t="s">
        <v>135</v>
      </c>
      <c r="F137" s="147" t="s">
        <v>136</v>
      </c>
      <c r="G137" s="147" t="s">
        <v>1566</v>
      </c>
      <c r="H137" s="148"/>
      <c r="I137" s="147" t="s">
        <v>136</v>
      </c>
      <c r="J137" s="147" t="s">
        <v>1567</v>
      </c>
      <c r="K137" s="147" t="s">
        <v>139</v>
      </c>
      <c r="L137" s="7" t="s">
        <v>3785</v>
      </c>
    </row>
    <row r="138">
      <c r="A138" s="146">
        <v>55.0</v>
      </c>
      <c r="B138" s="147" t="s">
        <v>6</v>
      </c>
      <c r="C138" s="147" t="s">
        <v>1500</v>
      </c>
      <c r="D138" s="147" t="s">
        <v>259</v>
      </c>
      <c r="E138" s="147" t="s">
        <v>135</v>
      </c>
      <c r="F138" s="147" t="s">
        <v>135</v>
      </c>
      <c r="G138" s="147" t="s">
        <v>1568</v>
      </c>
      <c r="H138" s="148"/>
      <c r="I138" s="147" t="s">
        <v>136</v>
      </c>
      <c r="J138" s="150">
        <v>45509.36388888889</v>
      </c>
      <c r="K138" s="147" t="s">
        <v>139</v>
      </c>
      <c r="L138" s="7" t="s">
        <v>3785</v>
      </c>
    </row>
    <row r="139">
      <c r="A139" s="146">
        <v>100.0</v>
      </c>
      <c r="B139" s="147" t="s">
        <v>1569</v>
      </c>
      <c r="C139" s="147" t="s">
        <v>1570</v>
      </c>
      <c r="D139" s="147" t="s">
        <v>203</v>
      </c>
      <c r="E139" s="147" t="s">
        <v>136</v>
      </c>
      <c r="F139" s="147" t="s">
        <v>136</v>
      </c>
      <c r="G139" s="147" t="s">
        <v>1571</v>
      </c>
      <c r="H139" s="148"/>
      <c r="I139" s="147" t="s">
        <v>136</v>
      </c>
      <c r="J139" s="147" t="s">
        <v>1572</v>
      </c>
      <c r="K139" s="147" t="s">
        <v>139</v>
      </c>
      <c r="L139" s="7" t="s">
        <v>3785</v>
      </c>
    </row>
    <row r="140">
      <c r="A140" s="146">
        <v>67.0</v>
      </c>
      <c r="B140" s="147" t="s">
        <v>6</v>
      </c>
      <c r="C140" s="147" t="s">
        <v>235</v>
      </c>
      <c r="D140" s="147" t="s">
        <v>164</v>
      </c>
      <c r="E140" s="147" t="s">
        <v>136</v>
      </c>
      <c r="F140" s="147" t="s">
        <v>136</v>
      </c>
      <c r="G140" s="149" t="s">
        <v>1573</v>
      </c>
      <c r="H140" s="148"/>
      <c r="I140" s="147" t="s">
        <v>136</v>
      </c>
      <c r="J140" s="150">
        <v>45530.31875</v>
      </c>
      <c r="K140" s="147" t="s">
        <v>139</v>
      </c>
      <c r="L140" s="7" t="s">
        <v>3785</v>
      </c>
    </row>
    <row r="141">
      <c r="A141" s="146">
        <v>99.0</v>
      </c>
      <c r="B141" s="147" t="s">
        <v>6</v>
      </c>
      <c r="C141" s="147" t="s">
        <v>1515</v>
      </c>
      <c r="D141" s="147" t="s">
        <v>209</v>
      </c>
      <c r="E141" s="147" t="s">
        <v>135</v>
      </c>
      <c r="F141" s="147" t="s">
        <v>136</v>
      </c>
      <c r="G141" s="147" t="s">
        <v>1574</v>
      </c>
      <c r="H141" s="148"/>
      <c r="I141" s="147" t="s">
        <v>136</v>
      </c>
      <c r="J141" s="147" t="s">
        <v>1575</v>
      </c>
      <c r="K141" s="147" t="s">
        <v>139</v>
      </c>
      <c r="L141" s="7" t="s">
        <v>3785</v>
      </c>
    </row>
    <row r="142">
      <c r="A142" s="146">
        <v>20.0</v>
      </c>
      <c r="B142" s="147" t="s">
        <v>1576</v>
      </c>
      <c r="C142" s="147" t="s">
        <v>1577</v>
      </c>
      <c r="D142" s="147" t="s">
        <v>202</v>
      </c>
      <c r="E142" s="147" t="s">
        <v>135</v>
      </c>
      <c r="F142" s="147" t="s">
        <v>136</v>
      </c>
      <c r="G142" s="147" t="s">
        <v>1578</v>
      </c>
      <c r="H142" s="148"/>
      <c r="I142" s="147" t="s">
        <v>136</v>
      </c>
      <c r="J142" s="147" t="s">
        <v>1579</v>
      </c>
      <c r="K142" s="147" t="s">
        <v>139</v>
      </c>
      <c r="L142" s="7" t="s">
        <v>3785</v>
      </c>
    </row>
    <row r="143">
      <c r="A143" s="146">
        <v>50.0</v>
      </c>
      <c r="B143" s="147" t="s">
        <v>6</v>
      </c>
      <c r="C143" s="147" t="s">
        <v>1563</v>
      </c>
      <c r="D143" s="147" t="s">
        <v>134</v>
      </c>
      <c r="E143" s="147" t="s">
        <v>136</v>
      </c>
      <c r="F143" s="147" t="s">
        <v>136</v>
      </c>
      <c r="G143" s="147" t="s">
        <v>1580</v>
      </c>
      <c r="H143" s="148"/>
      <c r="I143" s="147" t="s">
        <v>136</v>
      </c>
      <c r="J143" s="147" t="s">
        <v>1581</v>
      </c>
      <c r="K143" s="147" t="s">
        <v>139</v>
      </c>
      <c r="L143" s="7" t="s">
        <v>3785</v>
      </c>
    </row>
    <row r="144">
      <c r="A144" s="146">
        <v>72.0</v>
      </c>
      <c r="B144" s="147" t="s">
        <v>6</v>
      </c>
      <c r="C144" s="147" t="s">
        <v>1541</v>
      </c>
      <c r="D144" s="147" t="s">
        <v>203</v>
      </c>
      <c r="E144" s="147" t="s">
        <v>135</v>
      </c>
      <c r="F144" s="147" t="s">
        <v>136</v>
      </c>
      <c r="G144" s="147" t="s">
        <v>647</v>
      </c>
      <c r="H144" s="148"/>
      <c r="I144" s="147" t="s">
        <v>136</v>
      </c>
      <c r="J144" s="150">
        <v>45531.56458333333</v>
      </c>
      <c r="K144" s="147" t="s">
        <v>139</v>
      </c>
      <c r="L144" s="7" t="s">
        <v>3785</v>
      </c>
    </row>
    <row r="145">
      <c r="A145" s="146">
        <v>11.0</v>
      </c>
      <c r="B145" s="147" t="s">
        <v>6</v>
      </c>
      <c r="C145" s="147" t="s">
        <v>1582</v>
      </c>
      <c r="D145" s="147" t="s">
        <v>255</v>
      </c>
      <c r="E145" s="147" t="s">
        <v>135</v>
      </c>
      <c r="F145" s="147" t="s">
        <v>136</v>
      </c>
      <c r="G145" s="147" t="s">
        <v>1583</v>
      </c>
      <c r="H145" s="148"/>
      <c r="I145" s="147" t="s">
        <v>136</v>
      </c>
      <c r="J145" s="147" t="s">
        <v>1584</v>
      </c>
      <c r="K145" s="147" t="s">
        <v>139</v>
      </c>
      <c r="L145" s="7" t="s">
        <v>3785</v>
      </c>
    </row>
    <row r="146">
      <c r="A146" s="146">
        <v>19.0</v>
      </c>
      <c r="B146" s="147" t="s">
        <v>7</v>
      </c>
      <c r="C146" s="147" t="s">
        <v>1585</v>
      </c>
      <c r="D146" s="147" t="s">
        <v>263</v>
      </c>
      <c r="E146" s="147" t="s">
        <v>135</v>
      </c>
      <c r="F146" s="147" t="s">
        <v>136</v>
      </c>
      <c r="G146" s="147" t="s">
        <v>1586</v>
      </c>
      <c r="H146" s="148"/>
      <c r="I146" s="147" t="s">
        <v>136</v>
      </c>
      <c r="J146" s="147" t="s">
        <v>1587</v>
      </c>
      <c r="K146" s="147" t="s">
        <v>139</v>
      </c>
      <c r="L146" s="7" t="s">
        <v>3785</v>
      </c>
    </row>
    <row r="147">
      <c r="A147" s="146">
        <v>71.0</v>
      </c>
      <c r="B147" s="147" t="s">
        <v>7</v>
      </c>
      <c r="C147" s="147" t="s">
        <v>1588</v>
      </c>
      <c r="D147" s="147" t="s">
        <v>143</v>
      </c>
      <c r="E147" s="147" t="s">
        <v>135</v>
      </c>
      <c r="F147" s="147" t="s">
        <v>136</v>
      </c>
      <c r="G147" s="147" t="s">
        <v>455</v>
      </c>
      <c r="H147" s="148"/>
      <c r="I147" s="147" t="s">
        <v>136</v>
      </c>
      <c r="J147" s="150">
        <v>45531.447222222225</v>
      </c>
      <c r="K147" s="147" t="s">
        <v>139</v>
      </c>
      <c r="L147" s="7" t="s">
        <v>3785</v>
      </c>
    </row>
    <row r="148">
      <c r="A148" s="146">
        <v>75.0</v>
      </c>
      <c r="B148" s="147" t="s">
        <v>6</v>
      </c>
      <c r="C148" s="147" t="s">
        <v>1589</v>
      </c>
      <c r="D148" s="147" t="s">
        <v>383</v>
      </c>
      <c r="E148" s="147" t="s">
        <v>135</v>
      </c>
      <c r="F148" s="147" t="s">
        <v>136</v>
      </c>
      <c r="G148" s="147" t="s">
        <v>1590</v>
      </c>
      <c r="H148" s="148"/>
      <c r="I148" s="147" t="s">
        <v>136</v>
      </c>
      <c r="J148" s="150">
        <v>45531.604166666664</v>
      </c>
      <c r="K148" s="147" t="s">
        <v>139</v>
      </c>
      <c r="L148" s="7" t="s">
        <v>3785</v>
      </c>
    </row>
    <row r="149">
      <c r="A149" s="146">
        <v>65.0</v>
      </c>
      <c r="B149" s="147" t="s">
        <v>6</v>
      </c>
      <c r="C149" s="147" t="s">
        <v>1591</v>
      </c>
      <c r="D149" s="147" t="s">
        <v>164</v>
      </c>
      <c r="E149" s="147" t="s">
        <v>136</v>
      </c>
      <c r="F149" s="147" t="s">
        <v>136</v>
      </c>
      <c r="G149" s="147" t="s">
        <v>1592</v>
      </c>
      <c r="H149" s="148"/>
      <c r="I149" s="147" t="s">
        <v>136</v>
      </c>
      <c r="J149" s="150">
        <v>45527.65833333333</v>
      </c>
      <c r="K149" s="147" t="s">
        <v>139</v>
      </c>
      <c r="L149" s="7" t="s">
        <v>3785</v>
      </c>
    </row>
    <row r="150">
      <c r="A150" s="146">
        <v>58.0</v>
      </c>
      <c r="B150" s="147" t="s">
        <v>6</v>
      </c>
      <c r="C150" s="147" t="s">
        <v>1501</v>
      </c>
      <c r="D150" s="147" t="s">
        <v>187</v>
      </c>
      <c r="E150" s="147" t="s">
        <v>135</v>
      </c>
      <c r="F150" s="147" t="s">
        <v>136</v>
      </c>
      <c r="G150" s="147" t="s">
        <v>1593</v>
      </c>
      <c r="H150" s="148"/>
      <c r="I150" s="147" t="s">
        <v>135</v>
      </c>
      <c r="J150" s="150">
        <v>45510.44583333333</v>
      </c>
      <c r="K150" s="147" t="s">
        <v>1594</v>
      </c>
      <c r="L150" s="7" t="s">
        <v>3785</v>
      </c>
    </row>
    <row r="151">
      <c r="A151" s="146">
        <v>83.0</v>
      </c>
      <c r="B151" s="147" t="s">
        <v>7</v>
      </c>
      <c r="C151" s="147" t="s">
        <v>1595</v>
      </c>
      <c r="D151" s="147" t="s">
        <v>166</v>
      </c>
      <c r="E151" s="147" t="s">
        <v>135</v>
      </c>
      <c r="F151" s="147" t="s">
        <v>136</v>
      </c>
      <c r="G151" s="147" t="s">
        <v>1596</v>
      </c>
      <c r="H151" s="148"/>
      <c r="I151" s="147" t="s">
        <v>136</v>
      </c>
      <c r="J151" s="150">
        <v>45533.55694444444</v>
      </c>
      <c r="K151" s="147" t="s">
        <v>139</v>
      </c>
      <c r="L151" s="7" t="s">
        <v>3785</v>
      </c>
    </row>
    <row r="152">
      <c r="A152" s="146">
        <v>90.0</v>
      </c>
      <c r="B152" s="147" t="s">
        <v>7</v>
      </c>
      <c r="C152" s="147" t="s">
        <v>315</v>
      </c>
      <c r="D152" s="147" t="s">
        <v>164</v>
      </c>
      <c r="E152" s="147" t="s">
        <v>135</v>
      </c>
      <c r="F152" s="147" t="s">
        <v>136</v>
      </c>
      <c r="G152" s="147" t="s">
        <v>137</v>
      </c>
      <c r="H152" s="148"/>
      <c r="I152" s="147" t="s">
        <v>135</v>
      </c>
      <c r="J152" s="150">
        <v>45535.709027777775</v>
      </c>
      <c r="K152" s="147" t="s">
        <v>139</v>
      </c>
      <c r="L152" s="7" t="s">
        <v>3785</v>
      </c>
    </row>
    <row r="153">
      <c r="A153" s="146">
        <v>63.0</v>
      </c>
      <c r="B153" s="147" t="s">
        <v>1491</v>
      </c>
      <c r="C153" s="147" t="s">
        <v>1563</v>
      </c>
      <c r="D153" s="147" t="s">
        <v>134</v>
      </c>
      <c r="E153" s="147" t="s">
        <v>136</v>
      </c>
      <c r="F153" s="147" t="s">
        <v>136</v>
      </c>
      <c r="G153" s="147" t="s">
        <v>1597</v>
      </c>
      <c r="H153" s="148"/>
      <c r="I153" s="147" t="s">
        <v>136</v>
      </c>
      <c r="J153" s="150">
        <v>45526.66458333333</v>
      </c>
      <c r="K153" s="147" t="s">
        <v>139</v>
      </c>
      <c r="L153" s="7" t="s">
        <v>3785</v>
      </c>
    </row>
    <row r="154">
      <c r="A154" s="146">
        <v>86.0</v>
      </c>
      <c r="B154" s="147" t="s">
        <v>6</v>
      </c>
      <c r="C154" s="147" t="s">
        <v>921</v>
      </c>
      <c r="D154" s="147" t="s">
        <v>358</v>
      </c>
      <c r="E154" s="147" t="s">
        <v>135</v>
      </c>
      <c r="F154" s="147" t="s">
        <v>136</v>
      </c>
      <c r="G154" s="147" t="s">
        <v>1598</v>
      </c>
      <c r="H154" s="148"/>
      <c r="I154" s="147" t="s">
        <v>136</v>
      </c>
      <c r="J154" s="150">
        <v>45534.62013888889</v>
      </c>
      <c r="K154" s="147" t="s">
        <v>139</v>
      </c>
      <c r="L154" s="7" t="s">
        <v>3785</v>
      </c>
    </row>
    <row r="155">
      <c r="A155" s="146">
        <v>13.0</v>
      </c>
      <c r="B155" s="147" t="s">
        <v>6</v>
      </c>
      <c r="C155" s="147" t="s">
        <v>1599</v>
      </c>
      <c r="D155" s="147" t="s">
        <v>164</v>
      </c>
      <c r="E155" s="147" t="s">
        <v>135</v>
      </c>
      <c r="F155" s="147" t="s">
        <v>136</v>
      </c>
      <c r="G155" s="147" t="s">
        <v>1600</v>
      </c>
      <c r="H155" s="148"/>
      <c r="I155" s="147" t="s">
        <v>136</v>
      </c>
      <c r="J155" s="147" t="s">
        <v>1601</v>
      </c>
      <c r="K155" s="147" t="s">
        <v>139</v>
      </c>
      <c r="L155" s="7" t="s">
        <v>3785</v>
      </c>
    </row>
    <row r="156">
      <c r="A156" s="146">
        <v>5.0</v>
      </c>
      <c r="B156" s="147" t="s">
        <v>6</v>
      </c>
      <c r="C156" s="147" t="s">
        <v>315</v>
      </c>
      <c r="D156" s="147" t="s">
        <v>164</v>
      </c>
      <c r="E156" s="147" t="s">
        <v>135</v>
      </c>
      <c r="F156" s="147" t="s">
        <v>136</v>
      </c>
      <c r="G156" s="147" t="s">
        <v>1602</v>
      </c>
      <c r="H156" s="148"/>
      <c r="I156" s="147" t="s">
        <v>136</v>
      </c>
      <c r="J156" s="147" t="s">
        <v>1603</v>
      </c>
      <c r="K156" s="147" t="s">
        <v>139</v>
      </c>
      <c r="L156" s="7" t="s">
        <v>3785</v>
      </c>
    </row>
    <row r="157">
      <c r="A157" s="146">
        <v>36.0</v>
      </c>
      <c r="B157" s="147" t="s">
        <v>7</v>
      </c>
      <c r="C157" s="147" t="s">
        <v>1513</v>
      </c>
      <c r="D157" s="147" t="s">
        <v>263</v>
      </c>
      <c r="E157" s="147" t="s">
        <v>135</v>
      </c>
      <c r="F157" s="147" t="s">
        <v>136</v>
      </c>
      <c r="G157" s="147" t="s">
        <v>1604</v>
      </c>
      <c r="H157" s="148"/>
      <c r="I157" s="147" t="s">
        <v>136</v>
      </c>
      <c r="J157" s="147" t="s">
        <v>1605</v>
      </c>
      <c r="K157" s="147" t="s">
        <v>139</v>
      </c>
      <c r="L157" s="7" t="s">
        <v>3785</v>
      </c>
    </row>
    <row r="158">
      <c r="A158" s="146">
        <v>6.0</v>
      </c>
      <c r="B158" s="147" t="s">
        <v>7</v>
      </c>
      <c r="C158" s="147" t="s">
        <v>315</v>
      </c>
      <c r="D158" s="147" t="s">
        <v>164</v>
      </c>
      <c r="E158" s="147" t="s">
        <v>135</v>
      </c>
      <c r="F158" s="147" t="s">
        <v>136</v>
      </c>
      <c r="G158" s="147" t="s">
        <v>1606</v>
      </c>
      <c r="H158" s="148"/>
      <c r="I158" s="147" t="s">
        <v>135</v>
      </c>
      <c r="J158" s="147" t="s">
        <v>1607</v>
      </c>
      <c r="K158" s="147" t="s">
        <v>139</v>
      </c>
      <c r="L158" s="7" t="s">
        <v>3785</v>
      </c>
    </row>
    <row r="159">
      <c r="A159" s="146">
        <v>60.0</v>
      </c>
      <c r="B159" s="147" t="s">
        <v>6</v>
      </c>
      <c r="C159" s="147" t="s">
        <v>1608</v>
      </c>
      <c r="D159" s="147" t="s">
        <v>358</v>
      </c>
      <c r="E159" s="147" t="s">
        <v>136</v>
      </c>
      <c r="F159" s="147" t="s">
        <v>136</v>
      </c>
      <c r="G159" s="147" t="s">
        <v>1609</v>
      </c>
      <c r="H159" s="148"/>
      <c r="I159" s="147" t="s">
        <v>136</v>
      </c>
      <c r="J159" s="150">
        <v>45525.34097222222</v>
      </c>
      <c r="K159" s="147" t="s">
        <v>139</v>
      </c>
      <c r="L159" s="7" t="s">
        <v>3785</v>
      </c>
    </row>
    <row r="160">
      <c r="A160" s="146">
        <v>77.0</v>
      </c>
      <c r="B160" s="147" t="s">
        <v>7</v>
      </c>
      <c r="C160" s="147" t="s">
        <v>1610</v>
      </c>
      <c r="D160" s="147" t="s">
        <v>263</v>
      </c>
      <c r="E160" s="147" t="s">
        <v>136</v>
      </c>
      <c r="F160" s="147" t="s">
        <v>135</v>
      </c>
      <c r="G160" s="147" t="s">
        <v>1611</v>
      </c>
      <c r="H160" s="148"/>
      <c r="I160" s="147" t="s">
        <v>136</v>
      </c>
      <c r="J160" s="150">
        <v>45531.67222222222</v>
      </c>
      <c r="K160" s="147" t="s">
        <v>139</v>
      </c>
      <c r="L160" s="7" t="s">
        <v>3785</v>
      </c>
    </row>
    <row r="161">
      <c r="A161" s="146">
        <v>49.0</v>
      </c>
      <c r="B161" s="147" t="s">
        <v>6</v>
      </c>
      <c r="C161" s="147" t="s">
        <v>366</v>
      </c>
      <c r="D161" s="147" t="s">
        <v>218</v>
      </c>
      <c r="E161" s="147" t="s">
        <v>136</v>
      </c>
      <c r="F161" s="147" t="s">
        <v>136</v>
      </c>
      <c r="G161" s="147" t="s">
        <v>1612</v>
      </c>
      <c r="H161" s="148"/>
      <c r="I161" s="147" t="s">
        <v>135</v>
      </c>
      <c r="J161" s="147" t="s">
        <v>1613</v>
      </c>
      <c r="K161" s="147" t="s">
        <v>139</v>
      </c>
      <c r="L161" s="7" t="s">
        <v>3785</v>
      </c>
    </row>
    <row r="162">
      <c r="A162" s="146">
        <v>44.0</v>
      </c>
      <c r="B162" s="147" t="s">
        <v>6</v>
      </c>
      <c r="C162" s="147" t="s">
        <v>1614</v>
      </c>
      <c r="D162" s="147" t="s">
        <v>143</v>
      </c>
      <c r="E162" s="147" t="s">
        <v>135</v>
      </c>
      <c r="F162" s="147" t="s">
        <v>136</v>
      </c>
      <c r="G162" s="147" t="s">
        <v>1615</v>
      </c>
      <c r="H162" s="148"/>
      <c r="I162" s="147" t="s">
        <v>135</v>
      </c>
      <c r="J162" s="147" t="s">
        <v>1616</v>
      </c>
      <c r="K162" s="147" t="s">
        <v>139</v>
      </c>
      <c r="L162" s="7" t="s">
        <v>3785</v>
      </c>
    </row>
    <row r="163">
      <c r="A163" s="146">
        <v>28.0</v>
      </c>
      <c r="B163" s="147" t="s">
        <v>7</v>
      </c>
      <c r="C163" s="147" t="s">
        <v>1617</v>
      </c>
      <c r="D163" s="147" t="s">
        <v>143</v>
      </c>
      <c r="E163" s="147" t="s">
        <v>136</v>
      </c>
      <c r="F163" s="147" t="s">
        <v>136</v>
      </c>
      <c r="G163" s="147" t="s">
        <v>1618</v>
      </c>
      <c r="H163" s="148"/>
      <c r="I163" s="147" t="s">
        <v>136</v>
      </c>
      <c r="J163" s="147" t="s">
        <v>1619</v>
      </c>
      <c r="K163" s="147" t="s">
        <v>139</v>
      </c>
      <c r="L163" s="7" t="s">
        <v>3785</v>
      </c>
    </row>
    <row r="164">
      <c r="A164" s="146">
        <v>42.0</v>
      </c>
      <c r="B164" s="147" t="s">
        <v>6</v>
      </c>
      <c r="C164" s="147" t="s">
        <v>1620</v>
      </c>
      <c r="D164" s="147" t="s">
        <v>143</v>
      </c>
      <c r="E164" s="147" t="s">
        <v>135</v>
      </c>
      <c r="F164" s="147" t="s">
        <v>136</v>
      </c>
      <c r="G164" s="147" t="s">
        <v>1621</v>
      </c>
      <c r="H164" s="148"/>
      <c r="I164" s="147" t="s">
        <v>136</v>
      </c>
      <c r="J164" s="147" t="s">
        <v>1622</v>
      </c>
      <c r="K164" s="147" t="s">
        <v>139</v>
      </c>
      <c r="L164" s="7" t="s">
        <v>3785</v>
      </c>
    </row>
    <row r="165">
      <c r="A165" s="146">
        <v>70.0</v>
      </c>
      <c r="B165" s="147" t="s">
        <v>7</v>
      </c>
      <c r="C165" s="147" t="s">
        <v>1492</v>
      </c>
      <c r="D165" s="147" t="s">
        <v>143</v>
      </c>
      <c r="E165" s="147" t="s">
        <v>136</v>
      </c>
      <c r="F165" s="147" t="s">
        <v>136</v>
      </c>
      <c r="G165" s="147" t="s">
        <v>1623</v>
      </c>
      <c r="H165" s="148"/>
      <c r="I165" s="147" t="s">
        <v>136</v>
      </c>
      <c r="J165" s="150">
        <v>45531.40277777778</v>
      </c>
      <c r="K165" s="147" t="s">
        <v>139</v>
      </c>
      <c r="L165" s="7" t="s">
        <v>3785</v>
      </c>
    </row>
    <row r="166">
      <c r="A166" s="146">
        <v>46.0</v>
      </c>
      <c r="B166" s="147" t="s">
        <v>7</v>
      </c>
      <c r="C166" s="147" t="s">
        <v>787</v>
      </c>
      <c r="D166" s="147" t="s">
        <v>164</v>
      </c>
      <c r="E166" s="147" t="s">
        <v>135</v>
      </c>
      <c r="F166" s="147" t="s">
        <v>136</v>
      </c>
      <c r="G166" s="147" t="s">
        <v>1624</v>
      </c>
      <c r="H166" s="148"/>
      <c r="I166" s="147" t="s">
        <v>136</v>
      </c>
      <c r="J166" s="147" t="s">
        <v>1625</v>
      </c>
      <c r="K166" s="147" t="s">
        <v>139</v>
      </c>
      <c r="L166" s="7" t="s">
        <v>3785</v>
      </c>
    </row>
    <row r="167">
      <c r="A167" s="146">
        <v>95.0</v>
      </c>
      <c r="B167" s="147" t="s">
        <v>7</v>
      </c>
      <c r="C167" s="147" t="s">
        <v>1626</v>
      </c>
      <c r="D167" s="147" t="s">
        <v>164</v>
      </c>
      <c r="E167" s="147" t="s">
        <v>135</v>
      </c>
      <c r="F167" s="147" t="s">
        <v>136</v>
      </c>
      <c r="G167" s="147" t="s">
        <v>1627</v>
      </c>
      <c r="H167" s="148"/>
      <c r="I167" s="147" t="s">
        <v>136</v>
      </c>
      <c r="J167" s="147" t="s">
        <v>1628</v>
      </c>
      <c r="K167" s="147" t="s">
        <v>139</v>
      </c>
      <c r="L167" s="7" t="s">
        <v>3785</v>
      </c>
    </row>
    <row r="168">
      <c r="A168" s="146">
        <v>54.0</v>
      </c>
      <c r="B168" s="147" t="s">
        <v>7</v>
      </c>
      <c r="C168" s="147" t="s">
        <v>1489</v>
      </c>
      <c r="D168" s="147" t="s">
        <v>263</v>
      </c>
      <c r="E168" s="147" t="s">
        <v>136</v>
      </c>
      <c r="F168" s="147" t="s">
        <v>136</v>
      </c>
      <c r="G168" s="147" t="s">
        <v>1629</v>
      </c>
      <c r="H168" s="148"/>
      <c r="I168" s="147" t="s">
        <v>136</v>
      </c>
      <c r="J168" s="147" t="s">
        <v>1630</v>
      </c>
      <c r="K168" s="147" t="s">
        <v>139</v>
      </c>
      <c r="L168" s="7" t="s">
        <v>3785</v>
      </c>
    </row>
    <row r="169">
      <c r="A169" s="146">
        <v>98.0</v>
      </c>
      <c r="B169" s="147" t="s">
        <v>6</v>
      </c>
      <c r="C169" s="147" t="s">
        <v>1631</v>
      </c>
      <c r="D169" s="147" t="s">
        <v>369</v>
      </c>
      <c r="E169" s="147" t="s">
        <v>136</v>
      </c>
      <c r="F169" s="147" t="s">
        <v>136</v>
      </c>
      <c r="G169" s="147" t="s">
        <v>1632</v>
      </c>
      <c r="H169" s="148"/>
      <c r="I169" s="147" t="s">
        <v>136</v>
      </c>
      <c r="J169" s="147" t="s">
        <v>1633</v>
      </c>
      <c r="K169" s="147" t="s">
        <v>139</v>
      </c>
      <c r="L169" s="7" t="s">
        <v>3785</v>
      </c>
    </row>
    <row r="170">
      <c r="A170" s="146">
        <v>21.0</v>
      </c>
      <c r="B170" s="147" t="s">
        <v>6</v>
      </c>
      <c r="C170" s="147" t="s">
        <v>1411</v>
      </c>
      <c r="D170" s="147" t="s">
        <v>202</v>
      </c>
      <c r="E170" s="147" t="s">
        <v>136</v>
      </c>
      <c r="F170" s="147" t="s">
        <v>136</v>
      </c>
      <c r="G170" s="147" t="s">
        <v>1634</v>
      </c>
      <c r="H170" s="148"/>
      <c r="I170" s="147" t="s">
        <v>136</v>
      </c>
      <c r="J170" s="147" t="s">
        <v>1635</v>
      </c>
      <c r="K170" s="147" t="s">
        <v>139</v>
      </c>
      <c r="L170" s="7" t="s">
        <v>3785</v>
      </c>
    </row>
    <row r="171">
      <c r="A171" s="146">
        <v>38.0</v>
      </c>
      <c r="B171" s="147" t="s">
        <v>6</v>
      </c>
      <c r="C171" s="147" t="s">
        <v>719</v>
      </c>
      <c r="D171" s="147" t="s">
        <v>143</v>
      </c>
      <c r="E171" s="147" t="s">
        <v>135</v>
      </c>
      <c r="F171" s="147" t="s">
        <v>136</v>
      </c>
      <c r="G171" s="147" t="s">
        <v>1636</v>
      </c>
      <c r="H171" s="148"/>
      <c r="I171" s="147" t="s">
        <v>136</v>
      </c>
      <c r="J171" s="147" t="s">
        <v>1637</v>
      </c>
      <c r="K171" s="147" t="s">
        <v>139</v>
      </c>
      <c r="L171" s="7" t="s">
        <v>3785</v>
      </c>
    </row>
    <row r="172">
      <c r="A172" s="146">
        <v>84.0</v>
      </c>
      <c r="B172" s="147" t="s">
        <v>7</v>
      </c>
      <c r="C172" s="147" t="s">
        <v>1638</v>
      </c>
      <c r="D172" s="147" t="s">
        <v>164</v>
      </c>
      <c r="E172" s="147" t="s">
        <v>136</v>
      </c>
      <c r="F172" s="147" t="s">
        <v>136</v>
      </c>
      <c r="G172" s="147" t="s">
        <v>1639</v>
      </c>
      <c r="H172" s="148"/>
      <c r="I172" s="147" t="s">
        <v>136</v>
      </c>
      <c r="J172" s="150">
        <v>45533.58888888889</v>
      </c>
      <c r="K172" s="147" t="s">
        <v>139</v>
      </c>
      <c r="L172" s="7" t="s">
        <v>3785</v>
      </c>
    </row>
    <row r="173">
      <c r="A173" s="146">
        <v>18.0</v>
      </c>
      <c r="B173" s="147" t="s">
        <v>7</v>
      </c>
      <c r="C173" s="147" t="s">
        <v>1640</v>
      </c>
      <c r="D173" s="147" t="s">
        <v>134</v>
      </c>
      <c r="E173" s="147" t="s">
        <v>135</v>
      </c>
      <c r="F173" s="147" t="s">
        <v>136</v>
      </c>
      <c r="G173" s="147" t="s">
        <v>1641</v>
      </c>
      <c r="H173" s="148"/>
      <c r="I173" s="147" t="s">
        <v>136</v>
      </c>
      <c r="J173" s="147" t="s">
        <v>1642</v>
      </c>
      <c r="K173" s="147" t="s">
        <v>139</v>
      </c>
      <c r="L173" s="7" t="s">
        <v>3785</v>
      </c>
    </row>
    <row r="174">
      <c r="A174" s="146">
        <v>4.0</v>
      </c>
      <c r="B174" s="147" t="s">
        <v>7</v>
      </c>
      <c r="C174" s="147" t="s">
        <v>338</v>
      </c>
      <c r="D174" s="147" t="s">
        <v>143</v>
      </c>
      <c r="E174" s="147" t="s">
        <v>136</v>
      </c>
      <c r="F174" s="147" t="s">
        <v>136</v>
      </c>
      <c r="G174" s="147" t="s">
        <v>1643</v>
      </c>
      <c r="H174" s="148"/>
      <c r="I174" s="147" t="s">
        <v>136</v>
      </c>
      <c r="J174" s="147" t="s">
        <v>1431</v>
      </c>
      <c r="K174" s="147" t="s">
        <v>139</v>
      </c>
      <c r="L174" s="7" t="s">
        <v>3785</v>
      </c>
    </row>
    <row r="175">
      <c r="A175" s="146">
        <v>78.0</v>
      </c>
      <c r="B175" s="147" t="s">
        <v>6</v>
      </c>
      <c r="C175" s="147" t="s">
        <v>1644</v>
      </c>
      <c r="D175" s="147" t="s">
        <v>143</v>
      </c>
      <c r="E175" s="147" t="s">
        <v>135</v>
      </c>
      <c r="F175" s="147" t="s">
        <v>136</v>
      </c>
      <c r="G175" s="147" t="s">
        <v>1645</v>
      </c>
      <c r="H175" s="148"/>
      <c r="I175" s="147" t="s">
        <v>135</v>
      </c>
      <c r="J175" s="150">
        <v>45531.88125</v>
      </c>
      <c r="K175" s="147" t="s">
        <v>139</v>
      </c>
      <c r="L175" s="7" t="s">
        <v>3785</v>
      </c>
    </row>
    <row r="176">
      <c r="A176" s="146">
        <v>40.0</v>
      </c>
      <c r="B176" s="147" t="s">
        <v>6</v>
      </c>
      <c r="C176" s="147" t="s">
        <v>235</v>
      </c>
      <c r="D176" s="147" t="s">
        <v>164</v>
      </c>
      <c r="E176" s="147" t="s">
        <v>135</v>
      </c>
      <c r="F176" s="147" t="s">
        <v>136</v>
      </c>
      <c r="G176" s="147" t="s">
        <v>1646</v>
      </c>
      <c r="H176" s="148"/>
      <c r="I176" s="147" t="s">
        <v>136</v>
      </c>
      <c r="J176" s="147" t="s">
        <v>1647</v>
      </c>
      <c r="K176" s="147" t="s">
        <v>139</v>
      </c>
      <c r="L176" s="7" t="s">
        <v>3785</v>
      </c>
    </row>
    <row r="177">
      <c r="A177" s="146">
        <v>59.0</v>
      </c>
      <c r="B177" s="147" t="s">
        <v>6</v>
      </c>
      <c r="C177" s="147" t="s">
        <v>315</v>
      </c>
      <c r="D177" s="147" t="s">
        <v>164</v>
      </c>
      <c r="E177" s="147" t="s">
        <v>136</v>
      </c>
      <c r="F177" s="147" t="s">
        <v>136</v>
      </c>
      <c r="G177" s="147" t="s">
        <v>1648</v>
      </c>
      <c r="H177" s="148"/>
      <c r="I177" s="147" t="s">
        <v>135</v>
      </c>
      <c r="J177" s="150">
        <v>45524.44861111111</v>
      </c>
      <c r="K177" s="147" t="s">
        <v>139</v>
      </c>
      <c r="L177" s="7" t="s">
        <v>3785</v>
      </c>
    </row>
    <row r="178">
      <c r="A178" s="146">
        <v>96.0</v>
      </c>
      <c r="B178" s="147" t="s">
        <v>6</v>
      </c>
      <c r="C178" s="147" t="s">
        <v>1649</v>
      </c>
      <c r="D178" s="147" t="s">
        <v>134</v>
      </c>
      <c r="E178" s="147" t="s">
        <v>135</v>
      </c>
      <c r="F178" s="147" t="s">
        <v>136</v>
      </c>
      <c r="G178" s="147" t="s">
        <v>1650</v>
      </c>
      <c r="H178" s="148"/>
      <c r="I178" s="147" t="s">
        <v>136</v>
      </c>
      <c r="J178" s="147" t="s">
        <v>1651</v>
      </c>
      <c r="K178" s="147" t="s">
        <v>139</v>
      </c>
      <c r="L178" s="7" t="s">
        <v>3785</v>
      </c>
    </row>
    <row r="179">
      <c r="A179" s="146">
        <v>33.0</v>
      </c>
      <c r="B179" s="147" t="s">
        <v>6</v>
      </c>
      <c r="C179" s="147" t="s">
        <v>1051</v>
      </c>
      <c r="D179" s="147" t="s">
        <v>214</v>
      </c>
      <c r="E179" s="147" t="s">
        <v>135</v>
      </c>
      <c r="F179" s="147" t="s">
        <v>136</v>
      </c>
      <c r="G179" s="147" t="s">
        <v>1652</v>
      </c>
      <c r="H179" s="148"/>
      <c r="I179" s="147" t="s">
        <v>136</v>
      </c>
      <c r="J179" s="147" t="s">
        <v>1653</v>
      </c>
      <c r="K179" s="147" t="s">
        <v>139</v>
      </c>
      <c r="L179" s="7" t="s">
        <v>3785</v>
      </c>
    </row>
    <row r="180">
      <c r="A180" s="146">
        <v>91.0</v>
      </c>
      <c r="B180" s="147" t="s">
        <v>7</v>
      </c>
      <c r="C180" s="147" t="s">
        <v>1654</v>
      </c>
      <c r="D180" s="147" t="s">
        <v>263</v>
      </c>
      <c r="E180" s="147" t="s">
        <v>136</v>
      </c>
      <c r="F180" s="147" t="s">
        <v>136</v>
      </c>
      <c r="G180" s="147" t="s">
        <v>1655</v>
      </c>
      <c r="H180" s="148"/>
      <c r="I180" s="147" t="s">
        <v>136</v>
      </c>
      <c r="J180" s="150">
        <v>45535.78680555556</v>
      </c>
      <c r="K180" s="147" t="s">
        <v>139</v>
      </c>
      <c r="L180" s="7" t="s">
        <v>3785</v>
      </c>
    </row>
    <row r="181">
      <c r="A181" s="146">
        <v>9.0</v>
      </c>
      <c r="B181" s="147" t="s">
        <v>7</v>
      </c>
      <c r="C181" s="147" t="s">
        <v>1656</v>
      </c>
      <c r="D181" s="147" t="s">
        <v>153</v>
      </c>
      <c r="E181" s="147" t="s">
        <v>135</v>
      </c>
      <c r="F181" s="147" t="s">
        <v>136</v>
      </c>
      <c r="G181" s="147" t="s">
        <v>1657</v>
      </c>
      <c r="H181" s="148"/>
      <c r="I181" s="147" t="s">
        <v>136</v>
      </c>
      <c r="J181" s="147" t="s">
        <v>1658</v>
      </c>
      <c r="K181" s="147" t="s">
        <v>139</v>
      </c>
      <c r="L181" s="7" t="s">
        <v>3785</v>
      </c>
    </row>
    <row r="182">
      <c r="A182" s="146">
        <v>17.0</v>
      </c>
      <c r="B182" s="147" t="s">
        <v>6</v>
      </c>
      <c r="C182" s="147" t="s">
        <v>315</v>
      </c>
      <c r="D182" s="147" t="s">
        <v>164</v>
      </c>
      <c r="E182" s="147" t="s">
        <v>135</v>
      </c>
      <c r="F182" s="147" t="s">
        <v>136</v>
      </c>
      <c r="G182" s="149" t="s">
        <v>1659</v>
      </c>
      <c r="H182" s="148"/>
      <c r="I182" s="147" t="s">
        <v>135</v>
      </c>
      <c r="J182" s="147" t="s">
        <v>1660</v>
      </c>
      <c r="K182" s="147" t="s">
        <v>139</v>
      </c>
      <c r="L182" s="7" t="s">
        <v>3785</v>
      </c>
    </row>
    <row r="183">
      <c r="A183" s="146">
        <v>41.0</v>
      </c>
      <c r="B183" s="147" t="s">
        <v>7</v>
      </c>
      <c r="C183" s="147" t="s">
        <v>1661</v>
      </c>
      <c r="D183" s="147" t="s">
        <v>143</v>
      </c>
      <c r="E183" s="147" t="s">
        <v>136</v>
      </c>
      <c r="F183" s="147" t="s">
        <v>136</v>
      </c>
      <c r="G183" s="147" t="s">
        <v>1662</v>
      </c>
      <c r="H183" s="148"/>
      <c r="I183" s="147" t="s">
        <v>136</v>
      </c>
      <c r="J183" s="147" t="s">
        <v>1663</v>
      </c>
      <c r="K183" s="147" t="s">
        <v>139</v>
      </c>
      <c r="L183" s="7" t="s">
        <v>3785</v>
      </c>
    </row>
    <row r="184">
      <c r="A184" s="146">
        <v>31.0</v>
      </c>
      <c r="B184" s="147" t="s">
        <v>7</v>
      </c>
      <c r="C184" s="147" t="s">
        <v>1664</v>
      </c>
      <c r="D184" s="147" t="s">
        <v>164</v>
      </c>
      <c r="E184" s="147" t="s">
        <v>135</v>
      </c>
      <c r="F184" s="147" t="s">
        <v>136</v>
      </c>
      <c r="G184" s="147" t="s">
        <v>1665</v>
      </c>
      <c r="H184" s="148"/>
      <c r="I184" s="147" t="s">
        <v>136</v>
      </c>
      <c r="J184" s="147" t="s">
        <v>1666</v>
      </c>
      <c r="K184" s="147" t="s">
        <v>139</v>
      </c>
      <c r="L184" s="7" t="s">
        <v>3785</v>
      </c>
    </row>
    <row r="185">
      <c r="A185" s="146">
        <v>25.0</v>
      </c>
      <c r="B185" s="147" t="s">
        <v>6</v>
      </c>
      <c r="C185" s="147" t="s">
        <v>973</v>
      </c>
      <c r="D185" s="147" t="s">
        <v>164</v>
      </c>
      <c r="E185" s="147" t="s">
        <v>135</v>
      </c>
      <c r="F185" s="147" t="s">
        <v>136</v>
      </c>
      <c r="G185" s="147" t="s">
        <v>1667</v>
      </c>
      <c r="H185" s="148"/>
      <c r="I185" s="147" t="s">
        <v>136</v>
      </c>
      <c r="J185" s="147" t="s">
        <v>1668</v>
      </c>
      <c r="K185" s="147" t="s">
        <v>139</v>
      </c>
      <c r="L185" s="7" t="s">
        <v>3785</v>
      </c>
    </row>
    <row r="186">
      <c r="A186" s="146">
        <v>79.0</v>
      </c>
      <c r="B186" s="147" t="s">
        <v>7</v>
      </c>
      <c r="C186" s="147" t="s">
        <v>1669</v>
      </c>
      <c r="D186" s="151" t="s">
        <v>203</v>
      </c>
      <c r="E186" s="147" t="s">
        <v>135</v>
      </c>
      <c r="F186" s="147" t="s">
        <v>136</v>
      </c>
      <c r="G186" s="147" t="s">
        <v>1609</v>
      </c>
      <c r="H186" s="148"/>
      <c r="I186" s="147" t="s">
        <v>136</v>
      </c>
      <c r="J186" s="150">
        <v>45532.169444444444</v>
      </c>
      <c r="K186" s="147" t="s">
        <v>139</v>
      </c>
      <c r="L186" s="7" t="s">
        <v>3785</v>
      </c>
    </row>
    <row r="187">
      <c r="A187" s="146">
        <v>66.0</v>
      </c>
      <c r="B187" s="147" t="s">
        <v>6</v>
      </c>
      <c r="C187" s="147" t="s">
        <v>315</v>
      </c>
      <c r="D187" s="147" t="s">
        <v>164</v>
      </c>
      <c r="E187" s="147" t="s">
        <v>135</v>
      </c>
      <c r="F187" s="147" t="s">
        <v>136</v>
      </c>
      <c r="G187" s="147" t="s">
        <v>1670</v>
      </c>
      <c r="H187" s="148"/>
      <c r="I187" s="147" t="s">
        <v>136</v>
      </c>
      <c r="J187" s="150">
        <v>45529.509722222225</v>
      </c>
      <c r="K187" s="147" t="s">
        <v>139</v>
      </c>
      <c r="L187" s="7" t="s">
        <v>3785</v>
      </c>
    </row>
    <row r="188">
      <c r="A188" s="146">
        <v>22.0</v>
      </c>
      <c r="B188" s="147" t="s">
        <v>6</v>
      </c>
      <c r="C188" s="147" t="s">
        <v>1671</v>
      </c>
      <c r="D188" s="147" t="s">
        <v>203</v>
      </c>
      <c r="E188" s="147" t="s">
        <v>136</v>
      </c>
      <c r="F188" s="147" t="s">
        <v>136</v>
      </c>
      <c r="G188" s="147" t="s">
        <v>1672</v>
      </c>
      <c r="H188" s="148"/>
      <c r="I188" s="147" t="s">
        <v>136</v>
      </c>
      <c r="J188" s="147" t="s">
        <v>1673</v>
      </c>
      <c r="K188" s="147" t="s">
        <v>139</v>
      </c>
      <c r="L188" s="7" t="s">
        <v>3785</v>
      </c>
    </row>
    <row r="189">
      <c r="A189" s="146">
        <v>94.0</v>
      </c>
      <c r="B189" s="147" t="s">
        <v>6</v>
      </c>
      <c r="C189" s="147" t="s">
        <v>1674</v>
      </c>
      <c r="D189" s="147" t="s">
        <v>134</v>
      </c>
      <c r="E189" s="147" t="s">
        <v>135</v>
      </c>
      <c r="F189" s="147" t="s">
        <v>136</v>
      </c>
      <c r="G189" s="147" t="s">
        <v>1675</v>
      </c>
      <c r="H189" s="148"/>
      <c r="I189" s="147" t="s">
        <v>136</v>
      </c>
      <c r="J189" s="147" t="s">
        <v>1676</v>
      </c>
      <c r="K189" s="147" t="s">
        <v>139</v>
      </c>
      <c r="L189" s="7" t="s">
        <v>3785</v>
      </c>
    </row>
    <row r="190">
      <c r="A190" s="146">
        <v>29.0</v>
      </c>
      <c r="B190" s="147" t="s">
        <v>7</v>
      </c>
      <c r="C190" s="147" t="s">
        <v>633</v>
      </c>
      <c r="D190" s="147" t="s">
        <v>164</v>
      </c>
      <c r="E190" s="147" t="s">
        <v>135</v>
      </c>
      <c r="F190" s="147" t="s">
        <v>136</v>
      </c>
      <c r="G190" s="147" t="s">
        <v>1677</v>
      </c>
      <c r="H190" s="148"/>
      <c r="I190" s="147" t="s">
        <v>135</v>
      </c>
      <c r="J190" s="147" t="s">
        <v>1678</v>
      </c>
      <c r="K190" s="147" t="s">
        <v>139</v>
      </c>
      <c r="L190" s="7" t="s">
        <v>3785</v>
      </c>
    </row>
    <row r="191">
      <c r="A191" s="146">
        <v>2.0</v>
      </c>
      <c r="B191" s="147" t="s">
        <v>6</v>
      </c>
      <c r="C191" s="147" t="s">
        <v>315</v>
      </c>
      <c r="D191" s="147" t="s">
        <v>164</v>
      </c>
      <c r="E191" s="147" t="s">
        <v>136</v>
      </c>
      <c r="F191" s="147" t="s">
        <v>136</v>
      </c>
      <c r="G191" s="147" t="s">
        <v>1679</v>
      </c>
      <c r="H191" s="148"/>
      <c r="I191" s="147" t="s">
        <v>135</v>
      </c>
      <c r="J191" s="147" t="s">
        <v>1680</v>
      </c>
      <c r="K191" s="147" t="s">
        <v>139</v>
      </c>
      <c r="L191" s="7" t="s">
        <v>3785</v>
      </c>
    </row>
    <row r="192">
      <c r="A192" s="146">
        <v>8.0</v>
      </c>
      <c r="B192" s="147" t="s">
        <v>7</v>
      </c>
      <c r="C192" s="147" t="s">
        <v>379</v>
      </c>
      <c r="D192" s="147" t="s">
        <v>202</v>
      </c>
      <c r="E192" s="147" t="s">
        <v>136</v>
      </c>
      <c r="F192" s="147" t="s">
        <v>136</v>
      </c>
      <c r="G192" s="147" t="s">
        <v>1681</v>
      </c>
      <c r="H192" s="148"/>
      <c r="I192" s="147" t="s">
        <v>136</v>
      </c>
      <c r="J192" s="147" t="s">
        <v>1682</v>
      </c>
      <c r="K192" s="147" t="s">
        <v>139</v>
      </c>
      <c r="L192" s="7" t="s">
        <v>3785</v>
      </c>
    </row>
    <row r="193">
      <c r="A193" s="146">
        <v>52.0</v>
      </c>
      <c r="B193" s="147" t="s">
        <v>7</v>
      </c>
      <c r="C193" s="147" t="s">
        <v>1683</v>
      </c>
      <c r="D193" s="147" t="s">
        <v>134</v>
      </c>
      <c r="E193" s="147" t="s">
        <v>136</v>
      </c>
      <c r="F193" s="147" t="s">
        <v>135</v>
      </c>
      <c r="G193" s="147" t="s">
        <v>1684</v>
      </c>
      <c r="H193" s="148"/>
      <c r="I193" s="147" t="s">
        <v>136</v>
      </c>
      <c r="J193" s="147" t="s">
        <v>1685</v>
      </c>
      <c r="K193" s="147" t="s">
        <v>139</v>
      </c>
      <c r="L193" s="7" t="s">
        <v>3785</v>
      </c>
    </row>
    <row r="194">
      <c r="A194" s="144">
        <v>10.0</v>
      </c>
      <c r="B194" s="144" t="s">
        <v>7</v>
      </c>
      <c r="C194" s="144" t="s">
        <v>1807</v>
      </c>
      <c r="D194" s="144" t="s">
        <v>347</v>
      </c>
      <c r="E194" s="144" t="s">
        <v>136</v>
      </c>
      <c r="F194" s="144" t="s">
        <v>136</v>
      </c>
      <c r="G194" s="145" t="s">
        <v>1808</v>
      </c>
      <c r="H194" s="144"/>
      <c r="I194" s="144" t="s">
        <v>136</v>
      </c>
      <c r="J194" s="144" t="s">
        <v>1809</v>
      </c>
      <c r="K194" s="144" t="s">
        <v>139</v>
      </c>
      <c r="L194" s="7" t="s">
        <v>51</v>
      </c>
    </row>
    <row r="195">
      <c r="A195" s="144">
        <v>5.0</v>
      </c>
      <c r="B195" s="144" t="s">
        <v>6</v>
      </c>
      <c r="C195" s="144" t="s">
        <v>1329</v>
      </c>
      <c r="D195" s="144" t="s">
        <v>214</v>
      </c>
      <c r="E195" s="144" t="s">
        <v>135</v>
      </c>
      <c r="F195" s="144" t="s">
        <v>136</v>
      </c>
      <c r="G195" s="145" t="s">
        <v>150</v>
      </c>
      <c r="H195" s="144"/>
      <c r="I195" s="144" t="s">
        <v>136</v>
      </c>
      <c r="J195" s="144" t="s">
        <v>1810</v>
      </c>
      <c r="K195" s="144" t="s">
        <v>139</v>
      </c>
      <c r="L195" s="7" t="s">
        <v>51</v>
      </c>
    </row>
    <row r="196">
      <c r="A196" s="144">
        <v>4.0</v>
      </c>
      <c r="B196" s="144" t="s">
        <v>7</v>
      </c>
      <c r="C196" s="144" t="s">
        <v>1811</v>
      </c>
      <c r="D196" s="144" t="s">
        <v>233</v>
      </c>
      <c r="E196" s="144" t="s">
        <v>135</v>
      </c>
      <c r="F196" s="144" t="s">
        <v>136</v>
      </c>
      <c r="G196" s="144" t="s">
        <v>767</v>
      </c>
      <c r="H196" s="144"/>
      <c r="I196" s="144"/>
      <c r="J196" s="144" t="s">
        <v>1812</v>
      </c>
      <c r="K196" s="144" t="s">
        <v>139</v>
      </c>
      <c r="L196" s="7" t="s">
        <v>51</v>
      </c>
    </row>
    <row r="197">
      <c r="A197" s="144">
        <v>6.0</v>
      </c>
      <c r="B197" s="144" t="s">
        <v>6</v>
      </c>
      <c r="C197" s="144" t="s">
        <v>1813</v>
      </c>
      <c r="D197" s="144" t="s">
        <v>313</v>
      </c>
      <c r="E197" s="144" t="s">
        <v>135</v>
      </c>
      <c r="F197" s="144" t="s">
        <v>136</v>
      </c>
      <c r="G197" s="145" t="s">
        <v>3786</v>
      </c>
      <c r="H197" s="144"/>
      <c r="I197" s="144" t="s">
        <v>136</v>
      </c>
      <c r="J197" s="144" t="s">
        <v>1815</v>
      </c>
      <c r="K197" s="144" t="s">
        <v>139</v>
      </c>
      <c r="L197" s="7" t="s">
        <v>51</v>
      </c>
    </row>
    <row r="198">
      <c r="A198" s="144">
        <v>9.0</v>
      </c>
      <c r="B198" s="144" t="s">
        <v>6</v>
      </c>
      <c r="C198" s="144" t="s">
        <v>1816</v>
      </c>
      <c r="D198" s="144" t="s">
        <v>347</v>
      </c>
      <c r="E198" s="144" t="s">
        <v>135</v>
      </c>
      <c r="F198" s="144" t="s">
        <v>136</v>
      </c>
      <c r="G198" s="144" t="s">
        <v>767</v>
      </c>
      <c r="H198" s="144" t="s">
        <v>1817</v>
      </c>
      <c r="I198" s="144" t="s">
        <v>135</v>
      </c>
      <c r="J198" s="144" t="s">
        <v>1818</v>
      </c>
      <c r="K198" s="144" t="s">
        <v>139</v>
      </c>
      <c r="L198" s="7" t="s">
        <v>51</v>
      </c>
    </row>
    <row r="199">
      <c r="A199" s="144">
        <v>1.0</v>
      </c>
      <c r="B199" s="144" t="s">
        <v>6</v>
      </c>
      <c r="C199" s="144" t="s">
        <v>1819</v>
      </c>
      <c r="D199" s="144" t="s">
        <v>268</v>
      </c>
      <c r="E199" s="144" t="s">
        <v>135</v>
      </c>
      <c r="F199" s="144" t="s">
        <v>136</v>
      </c>
      <c r="G199" s="144" t="s">
        <v>467</v>
      </c>
      <c r="H199" s="144"/>
      <c r="I199" s="144"/>
      <c r="J199" s="144" t="s">
        <v>1820</v>
      </c>
      <c r="K199" s="144" t="s">
        <v>139</v>
      </c>
      <c r="L199" s="7" t="s">
        <v>51</v>
      </c>
    </row>
    <row r="200">
      <c r="A200" s="144">
        <v>8.0</v>
      </c>
      <c r="B200" s="144" t="s">
        <v>6</v>
      </c>
      <c r="C200" s="144" t="s">
        <v>824</v>
      </c>
      <c r="D200" s="144" t="s">
        <v>347</v>
      </c>
      <c r="E200" s="144" t="s">
        <v>136</v>
      </c>
      <c r="F200" s="144" t="s">
        <v>136</v>
      </c>
      <c r="G200" s="144" t="s">
        <v>1401</v>
      </c>
      <c r="H200" s="144" t="s">
        <v>1821</v>
      </c>
      <c r="I200" s="144" t="s">
        <v>135</v>
      </c>
      <c r="J200" s="144" t="s">
        <v>1822</v>
      </c>
      <c r="K200" s="144" t="s">
        <v>139</v>
      </c>
      <c r="L200" s="7" t="s">
        <v>51</v>
      </c>
    </row>
    <row r="201">
      <c r="A201" s="144">
        <v>3.0</v>
      </c>
      <c r="B201" s="144" t="s">
        <v>7</v>
      </c>
      <c r="C201" s="144" t="s">
        <v>338</v>
      </c>
      <c r="D201" s="144" t="s">
        <v>143</v>
      </c>
      <c r="E201" s="144" t="s">
        <v>135</v>
      </c>
      <c r="F201" s="144" t="s">
        <v>136</v>
      </c>
      <c r="G201" s="144" t="s">
        <v>1823</v>
      </c>
      <c r="H201" s="144"/>
      <c r="I201" s="144"/>
      <c r="J201" s="144" t="s">
        <v>1824</v>
      </c>
      <c r="K201" s="144" t="s">
        <v>139</v>
      </c>
      <c r="L201" s="7" t="s">
        <v>51</v>
      </c>
    </row>
    <row r="202">
      <c r="A202" s="144">
        <v>11.0</v>
      </c>
      <c r="B202" s="144" t="s">
        <v>6</v>
      </c>
      <c r="C202" s="144" t="s">
        <v>1825</v>
      </c>
      <c r="D202" s="144" t="s">
        <v>347</v>
      </c>
      <c r="E202" s="144" t="s">
        <v>135</v>
      </c>
      <c r="F202" s="144" t="s">
        <v>136</v>
      </c>
      <c r="G202" s="144" t="s">
        <v>767</v>
      </c>
      <c r="H202" s="144" t="s">
        <v>1826</v>
      </c>
      <c r="I202" s="144" t="s">
        <v>136</v>
      </c>
      <c r="J202" s="144" t="s">
        <v>1827</v>
      </c>
      <c r="K202" s="144" t="s">
        <v>139</v>
      </c>
      <c r="L202" s="7" t="s">
        <v>51</v>
      </c>
    </row>
    <row r="203">
      <c r="A203" s="144">
        <v>7.0</v>
      </c>
      <c r="B203" s="144" t="s">
        <v>6</v>
      </c>
      <c r="C203" s="144" t="s">
        <v>1828</v>
      </c>
      <c r="D203" s="144" t="s">
        <v>143</v>
      </c>
      <c r="E203" s="144" t="s">
        <v>135</v>
      </c>
      <c r="F203" s="144" t="s">
        <v>136</v>
      </c>
      <c r="G203" s="144" t="s">
        <v>1829</v>
      </c>
      <c r="H203" s="144" t="s">
        <v>455</v>
      </c>
      <c r="I203" s="144" t="s">
        <v>136</v>
      </c>
      <c r="J203" s="144" t="s">
        <v>1830</v>
      </c>
      <c r="K203" s="144" t="s">
        <v>139</v>
      </c>
      <c r="L203" s="7" t="s">
        <v>51</v>
      </c>
    </row>
    <row r="204">
      <c r="A204" s="144">
        <v>2.0</v>
      </c>
      <c r="B204" s="144" t="s">
        <v>7</v>
      </c>
      <c r="C204" s="144" t="s">
        <v>1831</v>
      </c>
      <c r="D204" s="144" t="s">
        <v>214</v>
      </c>
      <c r="E204" s="144" t="s">
        <v>136</v>
      </c>
      <c r="F204" s="144" t="s">
        <v>136</v>
      </c>
      <c r="G204" s="144" t="s">
        <v>1225</v>
      </c>
      <c r="H204" s="144"/>
      <c r="I204" s="144"/>
      <c r="J204" s="144" t="s">
        <v>1832</v>
      </c>
      <c r="K204" s="144" t="s">
        <v>139</v>
      </c>
      <c r="L204" s="7" t="s">
        <v>51</v>
      </c>
    </row>
    <row r="205">
      <c r="A205" s="146">
        <v>18.0</v>
      </c>
      <c r="B205" s="147" t="s">
        <v>7</v>
      </c>
      <c r="C205" s="147" t="s">
        <v>195</v>
      </c>
      <c r="D205" s="147" t="s">
        <v>164</v>
      </c>
      <c r="E205" s="147" t="s">
        <v>135</v>
      </c>
      <c r="F205" s="147" t="s">
        <v>136</v>
      </c>
      <c r="G205" s="147" t="s">
        <v>297</v>
      </c>
      <c r="H205" s="148"/>
      <c r="I205" s="147" t="s">
        <v>136</v>
      </c>
      <c r="J205" s="147" t="s">
        <v>1833</v>
      </c>
      <c r="K205" s="147" t="s">
        <v>139</v>
      </c>
      <c r="L205" s="7" t="s">
        <v>51</v>
      </c>
    </row>
    <row r="206">
      <c r="A206" s="146">
        <v>17.0</v>
      </c>
      <c r="B206" s="147" t="s">
        <v>6</v>
      </c>
      <c r="C206" s="147" t="s">
        <v>1834</v>
      </c>
      <c r="D206" s="147" t="s">
        <v>296</v>
      </c>
      <c r="E206" s="147" t="s">
        <v>135</v>
      </c>
      <c r="F206" s="147" t="s">
        <v>136</v>
      </c>
      <c r="G206" s="149" t="s">
        <v>3787</v>
      </c>
      <c r="H206" s="147" t="s">
        <v>137</v>
      </c>
      <c r="I206" s="147" t="s">
        <v>136</v>
      </c>
      <c r="J206" s="147" t="s">
        <v>1836</v>
      </c>
      <c r="K206" s="147" t="s">
        <v>139</v>
      </c>
      <c r="L206" s="7" t="s">
        <v>51</v>
      </c>
    </row>
    <row r="207">
      <c r="A207" s="146">
        <v>16.0</v>
      </c>
      <c r="B207" s="147" t="s">
        <v>6</v>
      </c>
      <c r="C207" s="147" t="s">
        <v>1837</v>
      </c>
      <c r="D207" s="147" t="s">
        <v>164</v>
      </c>
      <c r="E207" s="147" t="s">
        <v>135</v>
      </c>
      <c r="F207" s="147" t="s">
        <v>136</v>
      </c>
      <c r="G207" s="147" t="s">
        <v>618</v>
      </c>
      <c r="H207" s="148"/>
      <c r="I207" s="147" t="s">
        <v>136</v>
      </c>
      <c r="J207" s="147" t="s">
        <v>1838</v>
      </c>
      <c r="K207" s="147" t="s">
        <v>139</v>
      </c>
      <c r="L207" s="7" t="s">
        <v>51</v>
      </c>
    </row>
    <row r="208">
      <c r="A208" s="146">
        <v>12.0</v>
      </c>
      <c r="B208" s="147" t="s">
        <v>6</v>
      </c>
      <c r="C208" s="147" t="s">
        <v>1839</v>
      </c>
      <c r="D208" s="147" t="s">
        <v>347</v>
      </c>
      <c r="E208" s="147" t="s">
        <v>136</v>
      </c>
      <c r="F208" s="147" t="s">
        <v>136</v>
      </c>
      <c r="G208" s="147" t="s">
        <v>150</v>
      </c>
      <c r="H208" s="148"/>
      <c r="I208" s="147" t="s">
        <v>136</v>
      </c>
      <c r="J208" s="150">
        <v>45516.79861111111</v>
      </c>
      <c r="K208" s="147" t="s">
        <v>139</v>
      </c>
      <c r="L208" s="7" t="s">
        <v>51</v>
      </c>
    </row>
    <row r="209">
      <c r="A209" s="146">
        <v>15.0</v>
      </c>
      <c r="B209" s="147" t="s">
        <v>6</v>
      </c>
      <c r="C209" s="147" t="s">
        <v>1840</v>
      </c>
      <c r="D209" s="147" t="s">
        <v>352</v>
      </c>
      <c r="E209" s="147" t="s">
        <v>135</v>
      </c>
      <c r="F209" s="147" t="s">
        <v>136</v>
      </c>
      <c r="G209" s="149" t="s">
        <v>3788</v>
      </c>
      <c r="H209" s="148"/>
      <c r="I209" s="147" t="s">
        <v>136</v>
      </c>
      <c r="J209" s="147" t="s">
        <v>1842</v>
      </c>
      <c r="K209" s="147" t="s">
        <v>139</v>
      </c>
      <c r="L209" s="7" t="s">
        <v>51</v>
      </c>
    </row>
    <row r="210">
      <c r="A210" s="146">
        <v>14.0</v>
      </c>
      <c r="B210" s="147" t="s">
        <v>6</v>
      </c>
      <c r="C210" s="147" t="s">
        <v>1843</v>
      </c>
      <c r="D210" s="147" t="s">
        <v>147</v>
      </c>
      <c r="E210" s="147" t="s">
        <v>135</v>
      </c>
      <c r="F210" s="147" t="s">
        <v>136</v>
      </c>
      <c r="G210" s="147" t="s">
        <v>1225</v>
      </c>
      <c r="H210" s="148"/>
      <c r="I210" s="147" t="s">
        <v>136</v>
      </c>
      <c r="J210" s="150">
        <v>45525.63055555556</v>
      </c>
      <c r="K210" s="147" t="s">
        <v>139</v>
      </c>
      <c r="L210" s="7" t="s">
        <v>51</v>
      </c>
    </row>
    <row r="211">
      <c r="A211" s="146">
        <v>13.0</v>
      </c>
      <c r="B211" s="147" t="s">
        <v>6</v>
      </c>
      <c r="C211" s="147" t="s">
        <v>1844</v>
      </c>
      <c r="D211" s="147" t="s">
        <v>258</v>
      </c>
      <c r="E211" s="147" t="s">
        <v>136</v>
      </c>
      <c r="F211" s="147" t="s">
        <v>135</v>
      </c>
      <c r="G211" s="147" t="s">
        <v>767</v>
      </c>
      <c r="H211" s="147" t="s">
        <v>1845</v>
      </c>
      <c r="I211" s="147" t="s">
        <v>136</v>
      </c>
      <c r="J211" s="150">
        <v>45516.972916666666</v>
      </c>
      <c r="K211" s="147" t="s">
        <v>139</v>
      </c>
      <c r="L211" s="7" t="s">
        <v>51</v>
      </c>
    </row>
    <row r="212">
      <c r="A212" s="153">
        <v>36.0</v>
      </c>
      <c r="B212" s="154" t="s">
        <v>7</v>
      </c>
      <c r="C212" s="154" t="s">
        <v>338</v>
      </c>
      <c r="D212" s="154" t="s">
        <v>143</v>
      </c>
      <c r="E212" s="154" t="s">
        <v>135</v>
      </c>
      <c r="F212" s="154" t="s">
        <v>136</v>
      </c>
      <c r="G212" s="154" t="s">
        <v>349</v>
      </c>
      <c r="H212" s="155"/>
      <c r="I212" s="154" t="s">
        <v>135</v>
      </c>
      <c r="J212" s="154" t="s">
        <v>1846</v>
      </c>
      <c r="K212" s="154" t="s">
        <v>139</v>
      </c>
      <c r="L212" s="156" t="s">
        <v>71</v>
      </c>
    </row>
    <row r="213">
      <c r="A213" s="153">
        <v>51.0</v>
      </c>
      <c r="B213" s="154" t="s">
        <v>6</v>
      </c>
      <c r="C213" s="154" t="s">
        <v>1847</v>
      </c>
      <c r="D213" s="154" t="s">
        <v>143</v>
      </c>
      <c r="E213" s="154" t="s">
        <v>135</v>
      </c>
      <c r="F213" s="154" t="s">
        <v>135</v>
      </c>
      <c r="G213" s="154" t="s">
        <v>1848</v>
      </c>
      <c r="H213" s="154" t="s">
        <v>1849</v>
      </c>
      <c r="I213" s="154" t="s">
        <v>136</v>
      </c>
      <c r="J213" s="154" t="s">
        <v>1850</v>
      </c>
      <c r="K213" s="154" t="s">
        <v>139</v>
      </c>
      <c r="L213" s="156" t="s">
        <v>71</v>
      </c>
    </row>
    <row r="214">
      <c r="A214" s="153">
        <v>60.0</v>
      </c>
      <c r="B214" s="154" t="s">
        <v>7</v>
      </c>
      <c r="C214" s="154" t="s">
        <v>973</v>
      </c>
      <c r="D214" s="154" t="s">
        <v>164</v>
      </c>
      <c r="E214" s="154" t="s">
        <v>135</v>
      </c>
      <c r="F214" s="154" t="s">
        <v>136</v>
      </c>
      <c r="G214" s="154" t="s">
        <v>137</v>
      </c>
      <c r="H214" s="155"/>
      <c r="I214" s="154" t="s">
        <v>135</v>
      </c>
      <c r="J214" s="154" t="s">
        <v>1851</v>
      </c>
      <c r="K214" s="154" t="s">
        <v>139</v>
      </c>
      <c r="L214" s="156" t="s">
        <v>71</v>
      </c>
    </row>
    <row r="215">
      <c r="A215" s="153">
        <v>55.0</v>
      </c>
      <c r="B215" s="154" t="s">
        <v>7</v>
      </c>
      <c r="C215" s="154" t="s">
        <v>1852</v>
      </c>
      <c r="D215" s="154" t="s">
        <v>143</v>
      </c>
      <c r="E215" s="154" t="s">
        <v>135</v>
      </c>
      <c r="F215" s="154" t="s">
        <v>136</v>
      </c>
      <c r="G215" s="154" t="s">
        <v>137</v>
      </c>
      <c r="H215" s="155"/>
      <c r="I215" s="154" t="s">
        <v>136</v>
      </c>
      <c r="J215" s="154" t="s">
        <v>1853</v>
      </c>
      <c r="K215" s="154" t="s">
        <v>139</v>
      </c>
      <c r="L215" s="156" t="s">
        <v>71</v>
      </c>
    </row>
    <row r="216">
      <c r="A216" s="153">
        <v>63.0</v>
      </c>
      <c r="B216" s="154" t="s">
        <v>6</v>
      </c>
      <c r="C216" s="154" t="s">
        <v>1329</v>
      </c>
      <c r="D216" s="154" t="s">
        <v>214</v>
      </c>
      <c r="E216" s="154" t="s">
        <v>135</v>
      </c>
      <c r="F216" s="154" t="s">
        <v>136</v>
      </c>
      <c r="G216" s="154" t="s">
        <v>150</v>
      </c>
      <c r="H216" s="155"/>
      <c r="I216" s="154" t="s">
        <v>136</v>
      </c>
      <c r="J216" s="154" t="s">
        <v>1854</v>
      </c>
      <c r="K216" s="154" t="s">
        <v>139</v>
      </c>
      <c r="L216" s="156" t="s">
        <v>71</v>
      </c>
    </row>
    <row r="217">
      <c r="A217" s="153">
        <v>6.0</v>
      </c>
      <c r="B217" s="154" t="s">
        <v>6</v>
      </c>
      <c r="C217" s="154" t="s">
        <v>1497</v>
      </c>
      <c r="D217" s="154" t="s">
        <v>165</v>
      </c>
      <c r="E217" s="154" t="s">
        <v>135</v>
      </c>
      <c r="F217" s="154" t="s">
        <v>135</v>
      </c>
      <c r="G217" s="154" t="s">
        <v>271</v>
      </c>
      <c r="H217" s="155"/>
      <c r="I217" s="154" t="s">
        <v>135</v>
      </c>
      <c r="J217" s="154" t="s">
        <v>1855</v>
      </c>
      <c r="K217" s="154" t="s">
        <v>139</v>
      </c>
      <c r="L217" s="156" t="s">
        <v>71</v>
      </c>
    </row>
    <row r="218">
      <c r="A218" s="153">
        <v>61.0</v>
      </c>
      <c r="B218" s="154" t="s">
        <v>6</v>
      </c>
      <c r="C218" s="154" t="s">
        <v>1497</v>
      </c>
      <c r="D218" s="154" t="s">
        <v>165</v>
      </c>
      <c r="E218" s="154" t="s">
        <v>135</v>
      </c>
      <c r="F218" s="154" t="s">
        <v>135</v>
      </c>
      <c r="G218" s="154" t="s">
        <v>1856</v>
      </c>
      <c r="H218" s="154" t="s">
        <v>1857</v>
      </c>
      <c r="I218" s="154" t="s">
        <v>135</v>
      </c>
      <c r="J218" s="154" t="s">
        <v>1858</v>
      </c>
      <c r="K218" s="154" t="s">
        <v>139</v>
      </c>
      <c r="L218" s="156" t="s">
        <v>71</v>
      </c>
    </row>
    <row r="219">
      <c r="A219" s="153">
        <v>23.0</v>
      </c>
      <c r="B219" s="154" t="s">
        <v>6</v>
      </c>
      <c r="C219" s="154" t="s">
        <v>1859</v>
      </c>
      <c r="D219" s="154" t="s">
        <v>187</v>
      </c>
      <c r="E219" s="154" t="s">
        <v>135</v>
      </c>
      <c r="F219" s="154" t="s">
        <v>136</v>
      </c>
      <c r="G219" s="154" t="s">
        <v>191</v>
      </c>
      <c r="H219" s="155"/>
      <c r="I219" s="154" t="s">
        <v>135</v>
      </c>
      <c r="J219" s="154" t="s">
        <v>1860</v>
      </c>
      <c r="K219" s="154" t="s">
        <v>139</v>
      </c>
      <c r="L219" s="156" t="s">
        <v>71</v>
      </c>
    </row>
    <row r="220">
      <c r="A220" s="153">
        <v>13.0</v>
      </c>
      <c r="B220" s="154" t="s">
        <v>6</v>
      </c>
      <c r="C220" s="154" t="s">
        <v>1861</v>
      </c>
      <c r="D220" s="154" t="s">
        <v>177</v>
      </c>
      <c r="E220" s="154" t="s">
        <v>135</v>
      </c>
      <c r="F220" s="154" t="s">
        <v>136</v>
      </c>
      <c r="G220" s="154" t="s">
        <v>1862</v>
      </c>
      <c r="H220" s="154" t="s">
        <v>1863</v>
      </c>
      <c r="I220" s="154" t="s">
        <v>135</v>
      </c>
      <c r="J220" s="154" t="s">
        <v>1864</v>
      </c>
      <c r="K220" s="154" t="s">
        <v>139</v>
      </c>
      <c r="L220" s="156" t="s">
        <v>71</v>
      </c>
    </row>
    <row r="221">
      <c r="A221" s="153">
        <v>37.0</v>
      </c>
      <c r="B221" s="154" t="s">
        <v>7</v>
      </c>
      <c r="C221" s="154" t="s">
        <v>338</v>
      </c>
      <c r="D221" s="154" t="s">
        <v>143</v>
      </c>
      <c r="E221" s="154" t="s">
        <v>136</v>
      </c>
      <c r="F221" s="154" t="s">
        <v>136</v>
      </c>
      <c r="G221" s="154" t="s">
        <v>137</v>
      </c>
      <c r="H221" s="155"/>
      <c r="I221" s="154" t="s">
        <v>135</v>
      </c>
      <c r="J221" s="154" t="s">
        <v>1865</v>
      </c>
      <c r="K221" s="154" t="s">
        <v>139</v>
      </c>
      <c r="L221" s="156" t="s">
        <v>71</v>
      </c>
    </row>
    <row r="222">
      <c r="A222" s="153">
        <v>52.0</v>
      </c>
      <c r="B222" s="154" t="s">
        <v>7</v>
      </c>
      <c r="C222" s="154" t="s">
        <v>913</v>
      </c>
      <c r="D222" s="154" t="s">
        <v>153</v>
      </c>
      <c r="E222" s="154" t="s">
        <v>136</v>
      </c>
      <c r="F222" s="154" t="s">
        <v>135</v>
      </c>
      <c r="G222" s="154" t="s">
        <v>1866</v>
      </c>
      <c r="H222" s="154" t="s">
        <v>1867</v>
      </c>
      <c r="I222" s="154" t="s">
        <v>135</v>
      </c>
      <c r="J222" s="154" t="s">
        <v>1868</v>
      </c>
      <c r="K222" s="154" t="s">
        <v>139</v>
      </c>
      <c r="L222" s="156" t="s">
        <v>71</v>
      </c>
    </row>
    <row r="223">
      <c r="A223" s="153">
        <v>43.0</v>
      </c>
      <c r="B223" s="154" t="s">
        <v>6</v>
      </c>
      <c r="C223" s="154" t="s">
        <v>887</v>
      </c>
      <c r="D223" s="154" t="s">
        <v>153</v>
      </c>
      <c r="E223" s="154" t="s">
        <v>135</v>
      </c>
      <c r="F223" s="154" t="s">
        <v>136</v>
      </c>
      <c r="G223" s="154" t="s">
        <v>316</v>
      </c>
      <c r="H223" s="155"/>
      <c r="I223" s="154" t="s">
        <v>136</v>
      </c>
      <c r="J223" s="154" t="s">
        <v>1869</v>
      </c>
      <c r="K223" s="154" t="s">
        <v>139</v>
      </c>
      <c r="L223" s="156" t="s">
        <v>71</v>
      </c>
    </row>
    <row r="224">
      <c r="A224" s="153">
        <v>75.0</v>
      </c>
      <c r="B224" s="154" t="s">
        <v>7</v>
      </c>
      <c r="C224" s="154" t="s">
        <v>1870</v>
      </c>
      <c r="D224" s="154" t="s">
        <v>202</v>
      </c>
      <c r="E224" s="154" t="s">
        <v>135</v>
      </c>
      <c r="F224" s="154" t="s">
        <v>136</v>
      </c>
      <c r="G224" s="154" t="s">
        <v>137</v>
      </c>
      <c r="H224" s="155"/>
      <c r="I224" s="154" t="s">
        <v>136</v>
      </c>
      <c r="J224" s="154" t="s">
        <v>1871</v>
      </c>
      <c r="K224" s="154" t="s">
        <v>139</v>
      </c>
      <c r="L224" s="156" t="s">
        <v>71</v>
      </c>
    </row>
    <row r="225">
      <c r="A225" s="153">
        <v>3.0</v>
      </c>
      <c r="B225" s="154" t="s">
        <v>6</v>
      </c>
      <c r="C225" s="154" t="s">
        <v>486</v>
      </c>
      <c r="D225" s="154" t="s">
        <v>219</v>
      </c>
      <c r="E225" s="154" t="s">
        <v>135</v>
      </c>
      <c r="F225" s="154" t="s">
        <v>136</v>
      </c>
      <c r="G225" s="154" t="s">
        <v>1872</v>
      </c>
      <c r="H225" s="155"/>
      <c r="I225" s="154" t="s">
        <v>136</v>
      </c>
      <c r="J225" s="154" t="s">
        <v>1873</v>
      </c>
      <c r="K225" s="154" t="s">
        <v>139</v>
      </c>
      <c r="L225" s="156" t="s">
        <v>71</v>
      </c>
    </row>
    <row r="226">
      <c r="A226" s="153">
        <v>26.0</v>
      </c>
      <c r="B226" s="154" t="s">
        <v>6</v>
      </c>
      <c r="C226" s="154" t="s">
        <v>1874</v>
      </c>
      <c r="D226" s="154" t="s">
        <v>143</v>
      </c>
      <c r="E226" s="154" t="s">
        <v>136</v>
      </c>
      <c r="F226" s="154" t="s">
        <v>136</v>
      </c>
      <c r="G226" s="154" t="s">
        <v>650</v>
      </c>
      <c r="H226" s="154" t="s">
        <v>349</v>
      </c>
      <c r="I226" s="154" t="s">
        <v>136</v>
      </c>
      <c r="J226" s="154" t="s">
        <v>1875</v>
      </c>
      <c r="K226" s="154" t="s">
        <v>139</v>
      </c>
      <c r="L226" s="156" t="s">
        <v>71</v>
      </c>
    </row>
    <row r="227">
      <c r="A227" s="153">
        <v>50.0</v>
      </c>
      <c r="B227" s="154" t="s">
        <v>6</v>
      </c>
      <c r="C227" s="154" t="s">
        <v>338</v>
      </c>
      <c r="D227" s="154" t="s">
        <v>143</v>
      </c>
      <c r="E227" s="154" t="s">
        <v>136</v>
      </c>
      <c r="F227" s="154" t="s">
        <v>136</v>
      </c>
      <c r="G227" s="154" t="s">
        <v>137</v>
      </c>
      <c r="H227" s="155"/>
      <c r="I227" s="154" t="s">
        <v>136</v>
      </c>
      <c r="J227" s="154" t="s">
        <v>1876</v>
      </c>
      <c r="K227" s="154" t="s">
        <v>139</v>
      </c>
      <c r="L227" s="156" t="s">
        <v>71</v>
      </c>
    </row>
    <row r="228">
      <c r="A228" s="153">
        <v>45.0</v>
      </c>
      <c r="B228" s="154" t="s">
        <v>6</v>
      </c>
      <c r="C228" s="154" t="s">
        <v>338</v>
      </c>
      <c r="D228" s="154" t="s">
        <v>143</v>
      </c>
      <c r="E228" s="154" t="s">
        <v>136</v>
      </c>
      <c r="F228" s="154" t="s">
        <v>136</v>
      </c>
      <c r="G228" s="154" t="s">
        <v>221</v>
      </c>
      <c r="H228" s="154" t="s">
        <v>1877</v>
      </c>
      <c r="I228" s="154" t="s">
        <v>135</v>
      </c>
      <c r="J228" s="154" t="s">
        <v>1878</v>
      </c>
      <c r="K228" s="154" t="s">
        <v>139</v>
      </c>
      <c r="L228" s="156" t="s">
        <v>71</v>
      </c>
    </row>
    <row r="229">
      <c r="A229" s="153">
        <v>8.0</v>
      </c>
      <c r="B229" s="154" t="s">
        <v>7</v>
      </c>
      <c r="C229" s="154" t="s">
        <v>338</v>
      </c>
      <c r="D229" s="154" t="s">
        <v>143</v>
      </c>
      <c r="E229" s="154" t="s">
        <v>135</v>
      </c>
      <c r="F229" s="154" t="s">
        <v>136</v>
      </c>
      <c r="G229" s="154" t="s">
        <v>180</v>
      </c>
      <c r="H229" s="155"/>
      <c r="I229" s="154" t="s">
        <v>135</v>
      </c>
      <c r="J229" s="154" t="s">
        <v>1879</v>
      </c>
      <c r="K229" s="154" t="s">
        <v>139</v>
      </c>
      <c r="L229" s="156" t="s">
        <v>71</v>
      </c>
    </row>
    <row r="230">
      <c r="A230" s="153">
        <v>35.0</v>
      </c>
      <c r="B230" s="154" t="s">
        <v>7</v>
      </c>
      <c r="C230" s="154" t="s">
        <v>315</v>
      </c>
      <c r="D230" s="154" t="s">
        <v>164</v>
      </c>
      <c r="E230" s="154" t="s">
        <v>135</v>
      </c>
      <c r="F230" s="154" t="s">
        <v>136</v>
      </c>
      <c r="G230" s="154" t="s">
        <v>168</v>
      </c>
      <c r="H230" s="155"/>
      <c r="I230" s="154" t="s">
        <v>136</v>
      </c>
      <c r="J230" s="154" t="s">
        <v>1880</v>
      </c>
      <c r="K230" s="154" t="s">
        <v>139</v>
      </c>
      <c r="L230" s="156" t="s">
        <v>71</v>
      </c>
    </row>
    <row r="231">
      <c r="A231" s="153">
        <v>72.0</v>
      </c>
      <c r="B231" s="154" t="s">
        <v>6</v>
      </c>
      <c r="C231" s="154" t="s">
        <v>1698</v>
      </c>
      <c r="D231" s="154" t="s">
        <v>202</v>
      </c>
      <c r="E231" s="154" t="s">
        <v>136</v>
      </c>
      <c r="F231" s="154" t="s">
        <v>136</v>
      </c>
      <c r="G231" s="154" t="s">
        <v>221</v>
      </c>
      <c r="H231" s="155"/>
      <c r="I231" s="154" t="s">
        <v>136</v>
      </c>
      <c r="J231" s="154" t="s">
        <v>1881</v>
      </c>
      <c r="K231" s="154" t="s">
        <v>139</v>
      </c>
      <c r="L231" s="156" t="s">
        <v>71</v>
      </c>
    </row>
    <row r="232">
      <c r="A232" s="153">
        <v>58.0</v>
      </c>
      <c r="B232" s="154" t="s">
        <v>6</v>
      </c>
      <c r="C232" s="154" t="s">
        <v>1882</v>
      </c>
      <c r="D232" s="154" t="s">
        <v>134</v>
      </c>
      <c r="E232" s="154" t="s">
        <v>135</v>
      </c>
      <c r="F232" s="154" t="s">
        <v>135</v>
      </c>
      <c r="G232" s="154" t="s">
        <v>1789</v>
      </c>
      <c r="H232" s="155"/>
      <c r="I232" s="154" t="s">
        <v>136</v>
      </c>
      <c r="J232" s="154" t="s">
        <v>1883</v>
      </c>
      <c r="K232" s="154" t="s">
        <v>139</v>
      </c>
      <c r="L232" s="156" t="s">
        <v>71</v>
      </c>
    </row>
    <row r="233">
      <c r="A233" s="153">
        <v>1.0</v>
      </c>
      <c r="B233" s="154" t="s">
        <v>7</v>
      </c>
      <c r="C233" s="154" t="s">
        <v>195</v>
      </c>
      <c r="D233" s="154" t="s">
        <v>164</v>
      </c>
      <c r="E233" s="154" t="s">
        <v>136</v>
      </c>
      <c r="F233" s="154" t="s">
        <v>136</v>
      </c>
      <c r="G233" s="154" t="s">
        <v>174</v>
      </c>
      <c r="H233" s="155"/>
      <c r="I233" s="154" t="s">
        <v>135</v>
      </c>
      <c r="J233" s="154" t="s">
        <v>1884</v>
      </c>
      <c r="K233" s="154" t="s">
        <v>139</v>
      </c>
      <c r="L233" s="156" t="s">
        <v>71</v>
      </c>
    </row>
    <row r="234">
      <c r="A234" s="153">
        <v>73.0</v>
      </c>
      <c r="B234" s="154" t="s">
        <v>7</v>
      </c>
      <c r="C234" s="154" t="s">
        <v>668</v>
      </c>
      <c r="D234" s="154" t="s">
        <v>143</v>
      </c>
      <c r="E234" s="154" t="s">
        <v>136</v>
      </c>
      <c r="F234" s="154" t="s">
        <v>136</v>
      </c>
      <c r="G234" s="154" t="s">
        <v>137</v>
      </c>
      <c r="H234" s="154" t="s">
        <v>1885</v>
      </c>
      <c r="I234" s="154" t="s">
        <v>135</v>
      </c>
      <c r="J234" s="154" t="s">
        <v>1886</v>
      </c>
      <c r="K234" s="154" t="s">
        <v>139</v>
      </c>
      <c r="L234" s="156" t="s">
        <v>71</v>
      </c>
    </row>
    <row r="235">
      <c r="A235" s="153">
        <v>56.0</v>
      </c>
      <c r="B235" s="154" t="s">
        <v>6</v>
      </c>
      <c r="C235" s="154" t="s">
        <v>1887</v>
      </c>
      <c r="D235" s="154" t="s">
        <v>143</v>
      </c>
      <c r="E235" s="154" t="s">
        <v>135</v>
      </c>
      <c r="F235" s="154" t="s">
        <v>135</v>
      </c>
      <c r="G235" s="154" t="s">
        <v>1888</v>
      </c>
      <c r="H235" s="155"/>
      <c r="I235" s="154" t="s">
        <v>136</v>
      </c>
      <c r="J235" s="154" t="s">
        <v>1889</v>
      </c>
      <c r="K235" s="154" t="s">
        <v>139</v>
      </c>
      <c r="L235" s="156" t="s">
        <v>71</v>
      </c>
    </row>
    <row r="236">
      <c r="A236" s="153">
        <v>77.0</v>
      </c>
      <c r="B236" s="154" t="s">
        <v>6</v>
      </c>
      <c r="C236" s="154" t="s">
        <v>280</v>
      </c>
      <c r="D236" s="154" t="s">
        <v>202</v>
      </c>
      <c r="E236" s="154" t="s">
        <v>136</v>
      </c>
      <c r="F236" s="154" t="s">
        <v>136</v>
      </c>
      <c r="G236" s="154" t="s">
        <v>1042</v>
      </c>
      <c r="H236" s="155"/>
      <c r="I236" s="154" t="s">
        <v>136</v>
      </c>
      <c r="J236" s="157">
        <v>45597.59930555556</v>
      </c>
      <c r="K236" s="154" t="s">
        <v>139</v>
      </c>
      <c r="L236" s="156" t="s">
        <v>71</v>
      </c>
    </row>
    <row r="237">
      <c r="A237" s="153">
        <v>33.0</v>
      </c>
      <c r="B237" s="154" t="s">
        <v>7</v>
      </c>
      <c r="C237" s="154" t="s">
        <v>1890</v>
      </c>
      <c r="D237" s="154" t="s">
        <v>143</v>
      </c>
      <c r="E237" s="154" t="s">
        <v>135</v>
      </c>
      <c r="F237" s="154" t="s">
        <v>136</v>
      </c>
      <c r="G237" s="154" t="s">
        <v>401</v>
      </c>
      <c r="H237" s="155"/>
      <c r="I237" s="154" t="s">
        <v>136</v>
      </c>
      <c r="J237" s="154" t="s">
        <v>1891</v>
      </c>
      <c r="K237" s="154" t="s">
        <v>139</v>
      </c>
      <c r="L237" s="156" t="s">
        <v>71</v>
      </c>
    </row>
    <row r="238">
      <c r="A238" s="153">
        <v>49.0</v>
      </c>
      <c r="B238" s="154" t="s">
        <v>6</v>
      </c>
      <c r="C238" s="154" t="s">
        <v>1892</v>
      </c>
      <c r="D238" s="154" t="s">
        <v>143</v>
      </c>
      <c r="E238" s="154" t="s">
        <v>135</v>
      </c>
      <c r="F238" s="154" t="s">
        <v>136</v>
      </c>
      <c r="G238" s="154" t="s">
        <v>150</v>
      </c>
      <c r="H238" s="155"/>
      <c r="I238" s="154" t="s">
        <v>136</v>
      </c>
      <c r="J238" s="154" t="s">
        <v>1893</v>
      </c>
      <c r="K238" s="154" t="s">
        <v>139</v>
      </c>
      <c r="L238" s="156" t="s">
        <v>71</v>
      </c>
    </row>
    <row r="239">
      <c r="A239" s="153">
        <v>78.0</v>
      </c>
      <c r="B239" s="154" t="s">
        <v>6</v>
      </c>
      <c r="C239" s="154" t="s">
        <v>668</v>
      </c>
      <c r="D239" s="154" t="s">
        <v>143</v>
      </c>
      <c r="E239" s="154" t="s">
        <v>135</v>
      </c>
      <c r="F239" s="154" t="s">
        <v>136</v>
      </c>
      <c r="G239" s="154" t="s">
        <v>594</v>
      </c>
      <c r="H239" s="155"/>
      <c r="I239" s="154" t="s">
        <v>135</v>
      </c>
      <c r="J239" s="157">
        <v>45598.69861111111</v>
      </c>
      <c r="K239" s="154" t="s">
        <v>139</v>
      </c>
      <c r="L239" s="156" t="s">
        <v>71</v>
      </c>
    </row>
    <row r="240">
      <c r="A240" s="153">
        <v>70.0</v>
      </c>
      <c r="B240" s="154" t="s">
        <v>7</v>
      </c>
      <c r="C240" s="154" t="s">
        <v>1894</v>
      </c>
      <c r="D240" s="154" t="s">
        <v>327</v>
      </c>
      <c r="E240" s="154" t="s">
        <v>136</v>
      </c>
      <c r="F240" s="154" t="s">
        <v>135</v>
      </c>
      <c r="G240" s="154" t="s">
        <v>150</v>
      </c>
      <c r="H240" s="155"/>
      <c r="I240" s="154" t="s">
        <v>136</v>
      </c>
      <c r="J240" s="154" t="s">
        <v>1895</v>
      </c>
      <c r="K240" s="154" t="s">
        <v>139</v>
      </c>
      <c r="L240" s="156" t="s">
        <v>71</v>
      </c>
    </row>
    <row r="241">
      <c r="A241" s="153">
        <v>31.0</v>
      </c>
      <c r="B241" s="154" t="s">
        <v>6</v>
      </c>
      <c r="C241" s="154" t="s">
        <v>1896</v>
      </c>
      <c r="D241" s="154" t="s">
        <v>177</v>
      </c>
      <c r="E241" s="154" t="s">
        <v>135</v>
      </c>
      <c r="F241" s="154" t="s">
        <v>135</v>
      </c>
      <c r="G241" s="154" t="s">
        <v>221</v>
      </c>
      <c r="H241" s="155"/>
      <c r="I241" s="154" t="s">
        <v>135</v>
      </c>
      <c r="J241" s="154" t="s">
        <v>1897</v>
      </c>
      <c r="K241" s="154" t="s">
        <v>139</v>
      </c>
      <c r="L241" s="156" t="s">
        <v>71</v>
      </c>
    </row>
    <row r="242">
      <c r="A242" s="153">
        <v>18.0</v>
      </c>
      <c r="B242" s="154" t="s">
        <v>6</v>
      </c>
      <c r="C242" s="154" t="s">
        <v>1398</v>
      </c>
      <c r="D242" s="154" t="s">
        <v>213</v>
      </c>
      <c r="E242" s="154" t="s">
        <v>136</v>
      </c>
      <c r="F242" s="154" t="s">
        <v>136</v>
      </c>
      <c r="G242" s="154" t="s">
        <v>335</v>
      </c>
      <c r="H242" s="155"/>
      <c r="I242" s="154" t="s">
        <v>135</v>
      </c>
      <c r="J242" s="154" t="s">
        <v>1898</v>
      </c>
      <c r="K242" s="154" t="s">
        <v>139</v>
      </c>
      <c r="L242" s="156" t="s">
        <v>71</v>
      </c>
    </row>
    <row r="243">
      <c r="A243" s="153">
        <v>41.0</v>
      </c>
      <c r="B243" s="154" t="s">
        <v>7</v>
      </c>
      <c r="C243" s="154" t="s">
        <v>153</v>
      </c>
      <c r="D243" s="154" t="s">
        <v>153</v>
      </c>
      <c r="E243" s="154" t="s">
        <v>135</v>
      </c>
      <c r="F243" s="154" t="s">
        <v>135</v>
      </c>
      <c r="G243" s="154" t="s">
        <v>472</v>
      </c>
      <c r="H243" s="154" t="s">
        <v>1899</v>
      </c>
      <c r="I243" s="154" t="s">
        <v>136</v>
      </c>
      <c r="J243" s="154" t="s">
        <v>1900</v>
      </c>
      <c r="K243" s="154" t="s">
        <v>139</v>
      </c>
      <c r="L243" s="156" t="s">
        <v>71</v>
      </c>
    </row>
    <row r="244">
      <c r="A244" s="153">
        <v>22.0</v>
      </c>
      <c r="B244" s="154" t="s">
        <v>6</v>
      </c>
      <c r="C244" s="154" t="s">
        <v>1901</v>
      </c>
      <c r="D244" s="154" t="s">
        <v>143</v>
      </c>
      <c r="E244" s="154" t="s">
        <v>135</v>
      </c>
      <c r="F244" s="154" t="s">
        <v>136</v>
      </c>
      <c r="G244" s="154" t="s">
        <v>401</v>
      </c>
      <c r="H244" s="155"/>
      <c r="I244" s="154" t="s">
        <v>136</v>
      </c>
      <c r="J244" s="154" t="s">
        <v>1902</v>
      </c>
      <c r="K244" s="154" t="s">
        <v>139</v>
      </c>
      <c r="L244" s="156" t="s">
        <v>71</v>
      </c>
    </row>
    <row r="245">
      <c r="A245" s="153">
        <v>5.0</v>
      </c>
      <c r="B245" s="154" t="s">
        <v>7</v>
      </c>
      <c r="C245" s="154" t="s">
        <v>315</v>
      </c>
      <c r="D245" s="154" t="s">
        <v>164</v>
      </c>
      <c r="E245" s="154" t="s">
        <v>136</v>
      </c>
      <c r="F245" s="154" t="s">
        <v>136</v>
      </c>
      <c r="G245" s="154" t="s">
        <v>335</v>
      </c>
      <c r="H245" s="155"/>
      <c r="I245" s="154" t="s">
        <v>136</v>
      </c>
      <c r="J245" s="154" t="s">
        <v>1903</v>
      </c>
      <c r="K245" s="154" t="s">
        <v>139</v>
      </c>
      <c r="L245" s="156" t="s">
        <v>71</v>
      </c>
    </row>
    <row r="246">
      <c r="A246" s="153">
        <v>39.0</v>
      </c>
      <c r="B246" s="154" t="s">
        <v>7</v>
      </c>
      <c r="C246" s="154" t="s">
        <v>1398</v>
      </c>
      <c r="D246" s="154" t="s">
        <v>213</v>
      </c>
      <c r="E246" s="154" t="s">
        <v>135</v>
      </c>
      <c r="F246" s="154" t="s">
        <v>136</v>
      </c>
      <c r="G246" s="154" t="s">
        <v>137</v>
      </c>
      <c r="H246" s="155"/>
      <c r="I246" s="154" t="s">
        <v>135</v>
      </c>
      <c r="J246" s="154" t="s">
        <v>1904</v>
      </c>
      <c r="K246" s="154" t="s">
        <v>139</v>
      </c>
      <c r="L246" s="156" t="s">
        <v>71</v>
      </c>
    </row>
    <row r="247">
      <c r="A247" s="153">
        <v>65.0</v>
      </c>
      <c r="B247" s="154" t="s">
        <v>7</v>
      </c>
      <c r="C247" s="154" t="s">
        <v>1087</v>
      </c>
      <c r="D247" s="154" t="s">
        <v>202</v>
      </c>
      <c r="E247" s="154" t="s">
        <v>136</v>
      </c>
      <c r="F247" s="154" t="s">
        <v>136</v>
      </c>
      <c r="G247" s="154" t="s">
        <v>180</v>
      </c>
      <c r="H247" s="155"/>
      <c r="I247" s="154" t="s">
        <v>135</v>
      </c>
      <c r="J247" s="154" t="s">
        <v>1905</v>
      </c>
      <c r="K247" s="154" t="s">
        <v>139</v>
      </c>
      <c r="L247" s="156" t="s">
        <v>71</v>
      </c>
    </row>
    <row r="248">
      <c r="A248" s="153">
        <v>40.0</v>
      </c>
      <c r="B248" s="154" t="s">
        <v>6</v>
      </c>
      <c r="C248" s="154" t="s">
        <v>1906</v>
      </c>
      <c r="D248" s="154" t="s">
        <v>143</v>
      </c>
      <c r="E248" s="154" t="s">
        <v>135</v>
      </c>
      <c r="F248" s="154" t="s">
        <v>135</v>
      </c>
      <c r="G248" s="154" t="s">
        <v>1907</v>
      </c>
      <c r="H248" s="154" t="s">
        <v>1908</v>
      </c>
      <c r="I248" s="154" t="s">
        <v>136</v>
      </c>
      <c r="J248" s="154" t="s">
        <v>1909</v>
      </c>
      <c r="K248" s="154" t="s">
        <v>139</v>
      </c>
      <c r="L248" s="156" t="s">
        <v>71</v>
      </c>
    </row>
    <row r="249">
      <c r="A249" s="153">
        <v>68.0</v>
      </c>
      <c r="B249" s="154" t="s">
        <v>6</v>
      </c>
      <c r="C249" s="154" t="s">
        <v>1910</v>
      </c>
      <c r="D249" s="154" t="s">
        <v>143</v>
      </c>
      <c r="E249" s="154" t="s">
        <v>135</v>
      </c>
      <c r="F249" s="154" t="s">
        <v>136</v>
      </c>
      <c r="G249" s="154" t="s">
        <v>457</v>
      </c>
      <c r="H249" s="155"/>
      <c r="I249" s="154" t="s">
        <v>136</v>
      </c>
      <c r="J249" s="154" t="s">
        <v>1911</v>
      </c>
      <c r="K249" s="154" t="s">
        <v>139</v>
      </c>
      <c r="L249" s="156" t="s">
        <v>71</v>
      </c>
    </row>
    <row r="250">
      <c r="A250" s="153">
        <v>9.0</v>
      </c>
      <c r="B250" s="154" t="s">
        <v>6</v>
      </c>
      <c r="C250" s="154" t="s">
        <v>1398</v>
      </c>
      <c r="D250" s="154" t="s">
        <v>213</v>
      </c>
      <c r="E250" s="154" t="s">
        <v>136</v>
      </c>
      <c r="F250" s="154" t="s">
        <v>136</v>
      </c>
      <c r="G250" s="154" t="s">
        <v>367</v>
      </c>
      <c r="H250" s="154" t="s">
        <v>1912</v>
      </c>
      <c r="I250" s="154" t="s">
        <v>136</v>
      </c>
      <c r="J250" s="154" t="s">
        <v>1913</v>
      </c>
      <c r="K250" s="154" t="s">
        <v>139</v>
      </c>
      <c r="L250" s="156" t="s">
        <v>71</v>
      </c>
    </row>
    <row r="251">
      <c r="A251" s="153">
        <v>84.0</v>
      </c>
      <c r="B251" s="154" t="s">
        <v>6</v>
      </c>
      <c r="C251" s="154" t="s">
        <v>1087</v>
      </c>
      <c r="D251" s="154" t="s">
        <v>202</v>
      </c>
      <c r="E251" s="154" t="s">
        <v>136</v>
      </c>
      <c r="F251" s="154" t="s">
        <v>135</v>
      </c>
      <c r="G251" s="154" t="s">
        <v>271</v>
      </c>
      <c r="H251" s="155"/>
      <c r="I251" s="154" t="s">
        <v>136</v>
      </c>
      <c r="J251" s="157">
        <v>45600.381944444445</v>
      </c>
      <c r="K251" s="154" t="s">
        <v>139</v>
      </c>
      <c r="L251" s="156" t="s">
        <v>71</v>
      </c>
    </row>
    <row r="252">
      <c r="A252" s="153">
        <v>19.0</v>
      </c>
      <c r="B252" s="154" t="s">
        <v>6</v>
      </c>
      <c r="C252" s="154" t="s">
        <v>1914</v>
      </c>
      <c r="D252" s="154" t="s">
        <v>143</v>
      </c>
      <c r="E252" s="154" t="s">
        <v>136</v>
      </c>
      <c r="F252" s="154" t="s">
        <v>135</v>
      </c>
      <c r="G252" s="154" t="s">
        <v>1915</v>
      </c>
      <c r="H252" s="154" t="s">
        <v>1916</v>
      </c>
      <c r="I252" s="154" t="s">
        <v>136</v>
      </c>
      <c r="J252" s="154" t="s">
        <v>1917</v>
      </c>
      <c r="K252" s="154" t="s">
        <v>139</v>
      </c>
      <c r="L252" s="156" t="s">
        <v>71</v>
      </c>
    </row>
    <row r="253">
      <c r="A253" s="153">
        <v>28.0</v>
      </c>
      <c r="B253" s="154" t="s">
        <v>6</v>
      </c>
      <c r="C253" s="154" t="s">
        <v>342</v>
      </c>
      <c r="D253" s="154" t="s">
        <v>218</v>
      </c>
      <c r="E253" s="154" t="s">
        <v>136</v>
      </c>
      <c r="F253" s="154" t="s">
        <v>136</v>
      </c>
      <c r="G253" s="154" t="s">
        <v>650</v>
      </c>
      <c r="H253" s="155"/>
      <c r="I253" s="154" t="s">
        <v>135</v>
      </c>
      <c r="J253" s="154" t="s">
        <v>1918</v>
      </c>
      <c r="K253" s="154" t="s">
        <v>139</v>
      </c>
      <c r="L253" s="156" t="s">
        <v>71</v>
      </c>
    </row>
    <row r="254">
      <c r="A254" s="153">
        <v>4.0</v>
      </c>
      <c r="B254" s="154" t="s">
        <v>6</v>
      </c>
      <c r="C254" s="154" t="s">
        <v>1819</v>
      </c>
      <c r="D254" s="154" t="s">
        <v>268</v>
      </c>
      <c r="E254" s="154" t="s">
        <v>135</v>
      </c>
      <c r="F254" s="154" t="s">
        <v>136</v>
      </c>
      <c r="G254" s="154" t="s">
        <v>271</v>
      </c>
      <c r="H254" s="155"/>
      <c r="I254" s="154" t="s">
        <v>135</v>
      </c>
      <c r="J254" s="154" t="s">
        <v>1919</v>
      </c>
      <c r="K254" s="154" t="s">
        <v>139</v>
      </c>
      <c r="L254" s="156" t="s">
        <v>71</v>
      </c>
    </row>
    <row r="255">
      <c r="A255" s="153">
        <v>46.0</v>
      </c>
      <c r="B255" s="154" t="s">
        <v>6</v>
      </c>
      <c r="C255" s="154" t="s">
        <v>564</v>
      </c>
      <c r="D255" s="154" t="s">
        <v>268</v>
      </c>
      <c r="E255" s="154" t="s">
        <v>135</v>
      </c>
      <c r="F255" s="154" t="s">
        <v>136</v>
      </c>
      <c r="G255" s="154" t="s">
        <v>271</v>
      </c>
      <c r="H255" s="155"/>
      <c r="I255" s="154" t="s">
        <v>135</v>
      </c>
      <c r="J255" s="154" t="s">
        <v>1920</v>
      </c>
      <c r="K255" s="154" t="s">
        <v>139</v>
      </c>
      <c r="L255" s="156" t="s">
        <v>71</v>
      </c>
    </row>
    <row r="256">
      <c r="A256" s="153">
        <v>79.0</v>
      </c>
      <c r="B256" s="154" t="s">
        <v>7</v>
      </c>
      <c r="C256" s="154" t="s">
        <v>1921</v>
      </c>
      <c r="D256" s="154" t="s">
        <v>213</v>
      </c>
      <c r="E256" s="154" t="s">
        <v>135</v>
      </c>
      <c r="F256" s="154" t="s">
        <v>136</v>
      </c>
      <c r="G256" s="154" t="s">
        <v>137</v>
      </c>
      <c r="H256" s="155"/>
      <c r="I256" s="154" t="s">
        <v>136</v>
      </c>
      <c r="J256" s="157">
        <v>45598.72083333333</v>
      </c>
      <c r="K256" s="154" t="s">
        <v>139</v>
      </c>
      <c r="L256" s="156" t="s">
        <v>71</v>
      </c>
    </row>
    <row r="257">
      <c r="A257" s="153">
        <v>21.0</v>
      </c>
      <c r="B257" s="154" t="s">
        <v>6</v>
      </c>
      <c r="C257" s="154" t="s">
        <v>539</v>
      </c>
      <c r="D257" s="154" t="s">
        <v>290</v>
      </c>
      <c r="E257" s="154" t="s">
        <v>136</v>
      </c>
      <c r="F257" s="154" t="s">
        <v>136</v>
      </c>
      <c r="G257" s="154" t="s">
        <v>137</v>
      </c>
      <c r="H257" s="154" t="s">
        <v>1922</v>
      </c>
      <c r="I257" s="154" t="s">
        <v>136</v>
      </c>
      <c r="J257" s="154" t="s">
        <v>1923</v>
      </c>
      <c r="K257" s="154" t="s">
        <v>139</v>
      </c>
      <c r="L257" s="156" t="s">
        <v>71</v>
      </c>
    </row>
    <row r="258">
      <c r="A258" s="153">
        <v>16.0</v>
      </c>
      <c r="B258" s="154" t="s">
        <v>6</v>
      </c>
      <c r="C258" s="154" t="s">
        <v>1007</v>
      </c>
      <c r="D258" s="154" t="s">
        <v>369</v>
      </c>
      <c r="E258" s="154" t="s">
        <v>135</v>
      </c>
      <c r="F258" s="154" t="s">
        <v>136</v>
      </c>
      <c r="G258" s="154" t="s">
        <v>1924</v>
      </c>
      <c r="H258" s="155"/>
      <c r="I258" s="154" t="s">
        <v>136</v>
      </c>
      <c r="J258" s="154" t="s">
        <v>1925</v>
      </c>
      <c r="K258" s="154" t="s">
        <v>139</v>
      </c>
      <c r="L258" s="156" t="s">
        <v>71</v>
      </c>
    </row>
    <row r="259">
      <c r="A259" s="153">
        <v>71.0</v>
      </c>
      <c r="B259" s="154" t="s">
        <v>6</v>
      </c>
      <c r="C259" s="154" t="s">
        <v>1926</v>
      </c>
      <c r="D259" s="154" t="s">
        <v>400</v>
      </c>
      <c r="E259" s="154" t="s">
        <v>135</v>
      </c>
      <c r="F259" s="154" t="s">
        <v>135</v>
      </c>
      <c r="G259" s="154" t="s">
        <v>157</v>
      </c>
      <c r="H259" s="155"/>
      <c r="I259" s="154" t="s">
        <v>136</v>
      </c>
      <c r="J259" s="154" t="s">
        <v>1927</v>
      </c>
      <c r="K259" s="154" t="s">
        <v>139</v>
      </c>
      <c r="L259" s="156" t="s">
        <v>71</v>
      </c>
    </row>
    <row r="260">
      <c r="A260" s="153">
        <v>69.0</v>
      </c>
      <c r="B260" s="154" t="s">
        <v>7</v>
      </c>
      <c r="C260" s="154" t="s">
        <v>1448</v>
      </c>
      <c r="D260" s="154" t="s">
        <v>202</v>
      </c>
      <c r="E260" s="154" t="s">
        <v>135</v>
      </c>
      <c r="F260" s="154" t="s">
        <v>136</v>
      </c>
      <c r="G260" s="154" t="s">
        <v>367</v>
      </c>
      <c r="H260" s="155"/>
      <c r="I260" s="154" t="s">
        <v>135</v>
      </c>
      <c r="J260" s="154" t="s">
        <v>1928</v>
      </c>
      <c r="K260" s="154" t="s">
        <v>139</v>
      </c>
      <c r="L260" s="156" t="s">
        <v>71</v>
      </c>
    </row>
    <row r="261">
      <c r="A261" s="153">
        <v>85.0</v>
      </c>
      <c r="B261" s="154" t="s">
        <v>6</v>
      </c>
      <c r="C261" s="154" t="s">
        <v>1929</v>
      </c>
      <c r="D261" s="154" t="s">
        <v>143</v>
      </c>
      <c r="E261" s="154" t="s">
        <v>135</v>
      </c>
      <c r="F261" s="154" t="s">
        <v>136</v>
      </c>
      <c r="G261" s="154" t="s">
        <v>137</v>
      </c>
      <c r="H261" s="155"/>
      <c r="I261" s="154" t="s">
        <v>135</v>
      </c>
      <c r="J261" s="157">
        <v>45600.42361111111</v>
      </c>
      <c r="K261" s="154" t="s">
        <v>139</v>
      </c>
      <c r="L261" s="156" t="s">
        <v>71</v>
      </c>
    </row>
    <row r="262">
      <c r="A262" s="153">
        <v>11.0</v>
      </c>
      <c r="B262" s="154" t="s">
        <v>6</v>
      </c>
      <c r="C262" s="154" t="s">
        <v>1033</v>
      </c>
      <c r="D262" s="154" t="s">
        <v>143</v>
      </c>
      <c r="E262" s="154" t="s">
        <v>135</v>
      </c>
      <c r="F262" s="154" t="s">
        <v>136</v>
      </c>
      <c r="G262" s="154" t="s">
        <v>606</v>
      </c>
      <c r="H262" s="155"/>
      <c r="I262" s="154" t="s">
        <v>135</v>
      </c>
      <c r="J262" s="154" t="s">
        <v>1930</v>
      </c>
      <c r="K262" s="154" t="s">
        <v>139</v>
      </c>
      <c r="L262" s="156" t="s">
        <v>71</v>
      </c>
    </row>
    <row r="263">
      <c r="A263" s="153">
        <v>29.0</v>
      </c>
      <c r="B263" s="154" t="s">
        <v>6</v>
      </c>
      <c r="C263" s="154" t="s">
        <v>1931</v>
      </c>
      <c r="D263" s="154" t="s">
        <v>352</v>
      </c>
      <c r="E263" s="154" t="s">
        <v>135</v>
      </c>
      <c r="F263" s="154" t="s">
        <v>136</v>
      </c>
      <c r="G263" s="154" t="s">
        <v>460</v>
      </c>
      <c r="H263" s="155"/>
      <c r="I263" s="154" t="s">
        <v>135</v>
      </c>
      <c r="J263" s="154" t="s">
        <v>1932</v>
      </c>
      <c r="K263" s="154" t="s">
        <v>139</v>
      </c>
      <c r="L263" s="156" t="s">
        <v>71</v>
      </c>
    </row>
    <row r="264">
      <c r="A264" s="153">
        <v>15.0</v>
      </c>
      <c r="B264" s="154" t="s">
        <v>6</v>
      </c>
      <c r="C264" s="154" t="s">
        <v>1933</v>
      </c>
      <c r="D264" s="154" t="s">
        <v>290</v>
      </c>
      <c r="E264" s="154" t="s">
        <v>135</v>
      </c>
      <c r="F264" s="154" t="s">
        <v>136</v>
      </c>
      <c r="G264" s="154" t="s">
        <v>191</v>
      </c>
      <c r="H264" s="155"/>
      <c r="I264" s="154" t="s">
        <v>135</v>
      </c>
      <c r="J264" s="154" t="s">
        <v>1934</v>
      </c>
      <c r="K264" s="154" t="s">
        <v>139</v>
      </c>
      <c r="L264" s="156" t="s">
        <v>71</v>
      </c>
    </row>
    <row r="265">
      <c r="A265" s="153">
        <v>48.0</v>
      </c>
      <c r="B265" s="154" t="s">
        <v>7</v>
      </c>
      <c r="C265" s="154" t="s">
        <v>1935</v>
      </c>
      <c r="D265" s="154" t="s">
        <v>159</v>
      </c>
      <c r="E265" s="154" t="s">
        <v>135</v>
      </c>
      <c r="F265" s="154" t="s">
        <v>136</v>
      </c>
      <c r="G265" s="154" t="s">
        <v>401</v>
      </c>
      <c r="H265" s="154" t="s">
        <v>1936</v>
      </c>
      <c r="I265" s="154" t="s">
        <v>135</v>
      </c>
      <c r="J265" s="154" t="s">
        <v>1937</v>
      </c>
      <c r="K265" s="154" t="s">
        <v>139</v>
      </c>
      <c r="L265" s="156" t="s">
        <v>71</v>
      </c>
    </row>
    <row r="266">
      <c r="A266" s="153">
        <v>2.0</v>
      </c>
      <c r="B266" s="154" t="s">
        <v>6</v>
      </c>
      <c r="C266" s="154" t="s">
        <v>1938</v>
      </c>
      <c r="D266" s="154" t="s">
        <v>164</v>
      </c>
      <c r="E266" s="154" t="s">
        <v>135</v>
      </c>
      <c r="F266" s="154" t="s">
        <v>136</v>
      </c>
      <c r="G266" s="154" t="s">
        <v>1939</v>
      </c>
      <c r="H266" s="155"/>
      <c r="I266" s="154" t="s">
        <v>136</v>
      </c>
      <c r="J266" s="154" t="s">
        <v>1940</v>
      </c>
      <c r="K266" s="154" t="s">
        <v>139</v>
      </c>
      <c r="L266" s="156" t="s">
        <v>71</v>
      </c>
    </row>
    <row r="267">
      <c r="A267" s="153">
        <v>54.0</v>
      </c>
      <c r="B267" s="154" t="s">
        <v>7</v>
      </c>
      <c r="C267" s="154" t="s">
        <v>1941</v>
      </c>
      <c r="D267" s="154" t="s">
        <v>143</v>
      </c>
      <c r="E267" s="154" t="s">
        <v>135</v>
      </c>
      <c r="F267" s="154" t="s">
        <v>136</v>
      </c>
      <c r="G267" s="154" t="s">
        <v>367</v>
      </c>
      <c r="H267" s="155"/>
      <c r="I267" s="154" t="s">
        <v>136</v>
      </c>
      <c r="J267" s="154" t="s">
        <v>1942</v>
      </c>
      <c r="K267" s="154" t="s">
        <v>139</v>
      </c>
      <c r="L267" s="156" t="s">
        <v>71</v>
      </c>
    </row>
    <row r="268">
      <c r="A268" s="153">
        <v>64.0</v>
      </c>
      <c r="B268" s="154" t="s">
        <v>6</v>
      </c>
      <c r="C268" s="154" t="s">
        <v>334</v>
      </c>
      <c r="D268" s="154" t="s">
        <v>228</v>
      </c>
      <c r="E268" s="154" t="s">
        <v>136</v>
      </c>
      <c r="F268" s="154" t="s">
        <v>136</v>
      </c>
      <c r="G268" s="154" t="s">
        <v>320</v>
      </c>
      <c r="H268" s="155"/>
      <c r="I268" s="154" t="s">
        <v>135</v>
      </c>
      <c r="J268" s="154" t="s">
        <v>1943</v>
      </c>
      <c r="K268" s="154" t="s">
        <v>139</v>
      </c>
      <c r="L268" s="156" t="s">
        <v>71</v>
      </c>
    </row>
    <row r="269">
      <c r="A269" s="153">
        <v>62.0</v>
      </c>
      <c r="B269" s="154" t="s">
        <v>6</v>
      </c>
      <c r="C269" s="154" t="s">
        <v>471</v>
      </c>
      <c r="D269" s="154" t="s">
        <v>243</v>
      </c>
      <c r="E269" s="154" t="s">
        <v>135</v>
      </c>
      <c r="F269" s="154" t="s">
        <v>135</v>
      </c>
      <c r="G269" s="154" t="s">
        <v>191</v>
      </c>
      <c r="H269" s="155"/>
      <c r="I269" s="154" t="s">
        <v>135</v>
      </c>
      <c r="J269" s="154" t="s">
        <v>1944</v>
      </c>
      <c r="K269" s="154" t="s">
        <v>139</v>
      </c>
      <c r="L269" s="156" t="s">
        <v>71</v>
      </c>
    </row>
    <row r="270">
      <c r="A270" s="153">
        <v>24.0</v>
      </c>
      <c r="B270" s="154" t="s">
        <v>7</v>
      </c>
      <c r="C270" s="154" t="s">
        <v>469</v>
      </c>
      <c r="D270" s="154" t="s">
        <v>202</v>
      </c>
      <c r="E270" s="154" t="s">
        <v>136</v>
      </c>
      <c r="F270" s="154" t="s">
        <v>136</v>
      </c>
      <c r="G270" s="154" t="s">
        <v>320</v>
      </c>
      <c r="H270" s="155"/>
      <c r="I270" s="154" t="s">
        <v>135</v>
      </c>
      <c r="J270" s="154" t="s">
        <v>1945</v>
      </c>
      <c r="K270" s="154" t="s">
        <v>139</v>
      </c>
      <c r="L270" s="156" t="s">
        <v>71</v>
      </c>
    </row>
    <row r="271">
      <c r="A271" s="153">
        <v>74.0</v>
      </c>
      <c r="B271" s="154" t="s">
        <v>7</v>
      </c>
      <c r="C271" s="154" t="s">
        <v>1946</v>
      </c>
      <c r="D271" s="154" t="s">
        <v>143</v>
      </c>
      <c r="E271" s="154" t="s">
        <v>136</v>
      </c>
      <c r="F271" s="154" t="s">
        <v>136</v>
      </c>
      <c r="G271" s="154" t="s">
        <v>1225</v>
      </c>
      <c r="H271" s="155"/>
      <c r="I271" s="154" t="s">
        <v>136</v>
      </c>
      <c r="J271" s="154" t="s">
        <v>1947</v>
      </c>
      <c r="K271" s="154" t="s">
        <v>139</v>
      </c>
      <c r="L271" s="156" t="s">
        <v>71</v>
      </c>
    </row>
    <row r="272">
      <c r="A272" s="153">
        <v>57.0</v>
      </c>
      <c r="B272" s="154" t="s">
        <v>7</v>
      </c>
      <c r="C272" s="154" t="s">
        <v>387</v>
      </c>
      <c r="D272" s="154" t="s">
        <v>143</v>
      </c>
      <c r="E272" s="154" t="s">
        <v>135</v>
      </c>
      <c r="F272" s="154" t="s">
        <v>136</v>
      </c>
      <c r="G272" s="154" t="s">
        <v>137</v>
      </c>
      <c r="H272" s="155"/>
      <c r="I272" s="154" t="s">
        <v>136</v>
      </c>
      <c r="J272" s="154" t="s">
        <v>1948</v>
      </c>
      <c r="K272" s="154" t="s">
        <v>139</v>
      </c>
      <c r="L272" s="156" t="s">
        <v>71</v>
      </c>
    </row>
    <row r="273">
      <c r="A273" s="153">
        <v>87.0</v>
      </c>
      <c r="B273" s="154" t="s">
        <v>6</v>
      </c>
      <c r="C273" s="154" t="s">
        <v>1949</v>
      </c>
      <c r="D273" s="154" t="s">
        <v>218</v>
      </c>
      <c r="E273" s="154" t="s">
        <v>136</v>
      </c>
      <c r="F273" s="154" t="s">
        <v>136</v>
      </c>
      <c r="G273" s="154" t="s">
        <v>401</v>
      </c>
      <c r="H273" s="155"/>
      <c r="I273" s="154" t="s">
        <v>135</v>
      </c>
      <c r="J273" s="157">
        <v>45600.43125</v>
      </c>
      <c r="K273" s="154" t="s">
        <v>139</v>
      </c>
      <c r="L273" s="156" t="s">
        <v>71</v>
      </c>
    </row>
    <row r="274">
      <c r="A274" s="153">
        <v>17.0</v>
      </c>
      <c r="B274" s="154" t="s">
        <v>7</v>
      </c>
      <c r="C274" s="154" t="s">
        <v>946</v>
      </c>
      <c r="D274" s="154" t="s">
        <v>290</v>
      </c>
      <c r="E274" s="154" t="s">
        <v>135</v>
      </c>
      <c r="F274" s="154" t="s">
        <v>136</v>
      </c>
      <c r="G274" s="154" t="s">
        <v>185</v>
      </c>
      <c r="H274" s="154" t="s">
        <v>1950</v>
      </c>
      <c r="I274" s="154" t="s">
        <v>136</v>
      </c>
      <c r="J274" s="154" t="s">
        <v>1951</v>
      </c>
      <c r="K274" s="154" t="s">
        <v>139</v>
      </c>
      <c r="L274" s="156" t="s">
        <v>71</v>
      </c>
    </row>
    <row r="275">
      <c r="A275" s="153">
        <v>32.0</v>
      </c>
      <c r="B275" s="154" t="s">
        <v>6</v>
      </c>
      <c r="C275" s="154" t="s">
        <v>1952</v>
      </c>
      <c r="D275" s="154" t="s">
        <v>177</v>
      </c>
      <c r="E275" s="154" t="s">
        <v>135</v>
      </c>
      <c r="F275" s="154" t="s">
        <v>136</v>
      </c>
      <c r="G275" s="154" t="s">
        <v>310</v>
      </c>
      <c r="H275" s="154" t="s">
        <v>1953</v>
      </c>
      <c r="I275" s="154" t="s">
        <v>136</v>
      </c>
      <c r="J275" s="154" t="s">
        <v>1954</v>
      </c>
      <c r="K275" s="154" t="s">
        <v>139</v>
      </c>
      <c r="L275" s="156" t="s">
        <v>71</v>
      </c>
    </row>
    <row r="276">
      <c r="A276" s="153">
        <v>27.0</v>
      </c>
      <c r="B276" s="154" t="s">
        <v>6</v>
      </c>
      <c r="C276" s="154" t="s">
        <v>1955</v>
      </c>
      <c r="D276" s="154" t="s">
        <v>290</v>
      </c>
      <c r="E276" s="154" t="s">
        <v>135</v>
      </c>
      <c r="F276" s="154" t="s">
        <v>136</v>
      </c>
      <c r="G276" s="154" t="s">
        <v>137</v>
      </c>
      <c r="H276" s="155"/>
      <c r="I276" s="154" t="s">
        <v>136</v>
      </c>
      <c r="J276" s="154" t="s">
        <v>1956</v>
      </c>
      <c r="K276" s="154" t="s">
        <v>139</v>
      </c>
      <c r="L276" s="156" t="s">
        <v>71</v>
      </c>
    </row>
    <row r="277">
      <c r="A277" s="153">
        <v>25.0</v>
      </c>
      <c r="B277" s="154" t="s">
        <v>6</v>
      </c>
      <c r="C277" s="154" t="s">
        <v>1957</v>
      </c>
      <c r="D277" s="154" t="s">
        <v>187</v>
      </c>
      <c r="E277" s="154" t="s">
        <v>135</v>
      </c>
      <c r="F277" s="154" t="s">
        <v>135</v>
      </c>
      <c r="G277" s="154" t="s">
        <v>191</v>
      </c>
      <c r="H277" s="155"/>
      <c r="I277" s="154" t="s">
        <v>136</v>
      </c>
      <c r="J277" s="154" t="s">
        <v>1958</v>
      </c>
      <c r="K277" s="154" t="s">
        <v>139</v>
      </c>
      <c r="L277" s="156" t="s">
        <v>71</v>
      </c>
    </row>
    <row r="278">
      <c r="A278" s="153">
        <v>38.0</v>
      </c>
      <c r="B278" s="154" t="s">
        <v>7</v>
      </c>
      <c r="C278" s="154" t="s">
        <v>513</v>
      </c>
      <c r="D278" s="154" t="s">
        <v>213</v>
      </c>
      <c r="E278" s="154" t="s">
        <v>135</v>
      </c>
      <c r="F278" s="154" t="s">
        <v>136</v>
      </c>
      <c r="G278" s="154" t="s">
        <v>1959</v>
      </c>
      <c r="H278" s="155"/>
      <c r="I278" s="154" t="s">
        <v>135</v>
      </c>
      <c r="J278" s="154" t="s">
        <v>1960</v>
      </c>
      <c r="K278" s="154" t="s">
        <v>139</v>
      </c>
      <c r="L278" s="156" t="s">
        <v>71</v>
      </c>
    </row>
    <row r="279">
      <c r="A279" s="153">
        <v>30.0</v>
      </c>
      <c r="B279" s="154" t="s">
        <v>6</v>
      </c>
      <c r="C279" s="154" t="s">
        <v>1828</v>
      </c>
      <c r="D279" s="154" t="s">
        <v>143</v>
      </c>
      <c r="E279" s="154" t="s">
        <v>135</v>
      </c>
      <c r="F279" s="154" t="s">
        <v>136</v>
      </c>
      <c r="G279" s="154" t="s">
        <v>1961</v>
      </c>
      <c r="H279" s="155"/>
      <c r="I279" s="154" t="s">
        <v>135</v>
      </c>
      <c r="J279" s="154" t="s">
        <v>1962</v>
      </c>
      <c r="K279" s="154" t="s">
        <v>139</v>
      </c>
      <c r="L279" s="156" t="s">
        <v>71</v>
      </c>
    </row>
    <row r="280">
      <c r="A280" s="153">
        <v>67.0</v>
      </c>
      <c r="B280" s="154" t="s">
        <v>6</v>
      </c>
      <c r="C280" s="154" t="s">
        <v>1963</v>
      </c>
      <c r="D280" s="154" t="s">
        <v>202</v>
      </c>
      <c r="E280" s="154" t="s">
        <v>136</v>
      </c>
      <c r="F280" s="154" t="s">
        <v>136</v>
      </c>
      <c r="G280" s="154" t="s">
        <v>1964</v>
      </c>
      <c r="H280" s="155"/>
      <c r="I280" s="154" t="s">
        <v>135</v>
      </c>
      <c r="J280" s="154" t="s">
        <v>1965</v>
      </c>
      <c r="K280" s="154" t="s">
        <v>139</v>
      </c>
      <c r="L280" s="156" t="s">
        <v>71</v>
      </c>
    </row>
    <row r="281">
      <c r="A281" s="153">
        <v>53.0</v>
      </c>
      <c r="B281" s="154" t="s">
        <v>6</v>
      </c>
      <c r="C281" s="154" t="s">
        <v>1966</v>
      </c>
      <c r="D281" s="154" t="s">
        <v>143</v>
      </c>
      <c r="E281" s="154" t="s">
        <v>135</v>
      </c>
      <c r="F281" s="154" t="s">
        <v>136</v>
      </c>
      <c r="G281" s="154" t="s">
        <v>137</v>
      </c>
      <c r="H281" s="155"/>
      <c r="I281" s="154" t="s">
        <v>136</v>
      </c>
      <c r="J281" s="154" t="s">
        <v>1967</v>
      </c>
      <c r="K281" s="154" t="s">
        <v>139</v>
      </c>
      <c r="L281" s="156" t="s">
        <v>71</v>
      </c>
    </row>
    <row r="282">
      <c r="A282" s="153">
        <v>42.0</v>
      </c>
      <c r="B282" s="154" t="s">
        <v>6</v>
      </c>
      <c r="C282" s="154" t="s">
        <v>243</v>
      </c>
      <c r="D282" s="154" t="s">
        <v>243</v>
      </c>
      <c r="E282" s="154" t="s">
        <v>135</v>
      </c>
      <c r="F282" s="154" t="s">
        <v>135</v>
      </c>
      <c r="G282" s="154" t="s">
        <v>1968</v>
      </c>
      <c r="H282" s="154" t="s">
        <v>1969</v>
      </c>
      <c r="I282" s="154" t="s">
        <v>136</v>
      </c>
      <c r="J282" s="154" t="s">
        <v>1970</v>
      </c>
      <c r="K282" s="154" t="s">
        <v>139</v>
      </c>
      <c r="L282" s="156" t="s">
        <v>71</v>
      </c>
    </row>
    <row r="283">
      <c r="A283" s="153">
        <v>10.0</v>
      </c>
      <c r="B283" s="154" t="s">
        <v>6</v>
      </c>
      <c r="C283" s="154" t="s">
        <v>1411</v>
      </c>
      <c r="D283" s="154" t="s">
        <v>202</v>
      </c>
      <c r="E283" s="154" t="s">
        <v>136</v>
      </c>
      <c r="F283" s="154" t="s">
        <v>136</v>
      </c>
      <c r="G283" s="154" t="s">
        <v>297</v>
      </c>
      <c r="H283" s="155"/>
      <c r="I283" s="154" t="s">
        <v>135</v>
      </c>
      <c r="J283" s="154" t="s">
        <v>1971</v>
      </c>
      <c r="K283" s="154" t="s">
        <v>139</v>
      </c>
      <c r="L283" s="156" t="s">
        <v>71</v>
      </c>
    </row>
    <row r="284">
      <c r="A284" s="153">
        <v>66.0</v>
      </c>
      <c r="B284" s="154" t="s">
        <v>6</v>
      </c>
      <c r="C284" s="154" t="s">
        <v>1411</v>
      </c>
      <c r="D284" s="154" t="s">
        <v>202</v>
      </c>
      <c r="E284" s="154" t="s">
        <v>136</v>
      </c>
      <c r="F284" s="154" t="s">
        <v>136</v>
      </c>
      <c r="G284" s="154" t="s">
        <v>1412</v>
      </c>
      <c r="H284" s="154" t="s">
        <v>1413</v>
      </c>
      <c r="I284" s="154" t="s">
        <v>136</v>
      </c>
      <c r="J284" s="154" t="s">
        <v>1972</v>
      </c>
      <c r="K284" s="154" t="s">
        <v>139</v>
      </c>
      <c r="L284" s="156" t="s">
        <v>71</v>
      </c>
    </row>
    <row r="285">
      <c r="A285" s="153">
        <v>34.0</v>
      </c>
      <c r="B285" s="154" t="s">
        <v>7</v>
      </c>
      <c r="C285" s="154" t="s">
        <v>1973</v>
      </c>
      <c r="D285" s="154" t="s">
        <v>177</v>
      </c>
      <c r="E285" s="154" t="s">
        <v>135</v>
      </c>
      <c r="F285" s="154" t="s">
        <v>136</v>
      </c>
      <c r="G285" s="154" t="s">
        <v>185</v>
      </c>
      <c r="H285" s="155"/>
      <c r="I285" s="154" t="s">
        <v>136</v>
      </c>
      <c r="J285" s="154" t="s">
        <v>1974</v>
      </c>
      <c r="K285" s="154" t="s">
        <v>139</v>
      </c>
      <c r="L285" s="156" t="s">
        <v>71</v>
      </c>
    </row>
    <row r="286">
      <c r="A286" s="153">
        <v>59.0</v>
      </c>
      <c r="B286" s="154" t="s">
        <v>6</v>
      </c>
      <c r="C286" s="154" t="s">
        <v>1975</v>
      </c>
      <c r="D286" s="154" t="s">
        <v>243</v>
      </c>
      <c r="E286" s="154" t="s">
        <v>136</v>
      </c>
      <c r="F286" s="154" t="s">
        <v>135</v>
      </c>
      <c r="G286" s="154" t="s">
        <v>1976</v>
      </c>
      <c r="H286" s="155"/>
      <c r="I286" s="154" t="s">
        <v>135</v>
      </c>
      <c r="J286" s="154" t="s">
        <v>1977</v>
      </c>
      <c r="K286" s="154" t="s">
        <v>139</v>
      </c>
      <c r="L286" s="156" t="s">
        <v>71</v>
      </c>
    </row>
    <row r="287">
      <c r="A287" s="153">
        <v>88.0</v>
      </c>
      <c r="B287" s="154" t="s">
        <v>6</v>
      </c>
      <c r="C287" s="154" t="s">
        <v>1978</v>
      </c>
      <c r="D287" s="154" t="s">
        <v>143</v>
      </c>
      <c r="E287" s="154" t="s">
        <v>135</v>
      </c>
      <c r="F287" s="154" t="s">
        <v>136</v>
      </c>
      <c r="G287" s="154" t="s">
        <v>137</v>
      </c>
      <c r="H287" s="155"/>
      <c r="I287" s="154" t="s">
        <v>135</v>
      </c>
      <c r="J287" s="157">
        <v>45600.45277777778</v>
      </c>
      <c r="K287" s="154" t="s">
        <v>139</v>
      </c>
      <c r="L287" s="156" t="s">
        <v>71</v>
      </c>
    </row>
    <row r="288">
      <c r="A288" s="153">
        <v>44.0</v>
      </c>
      <c r="B288" s="154" t="s">
        <v>6</v>
      </c>
      <c r="C288" s="154" t="s">
        <v>1979</v>
      </c>
      <c r="D288" s="154" t="s">
        <v>290</v>
      </c>
      <c r="E288" s="154" t="s">
        <v>136</v>
      </c>
      <c r="F288" s="154" t="s">
        <v>136</v>
      </c>
      <c r="G288" s="154" t="s">
        <v>457</v>
      </c>
      <c r="H288" s="155"/>
      <c r="I288" s="154" t="s">
        <v>135</v>
      </c>
      <c r="J288" s="154" t="s">
        <v>1980</v>
      </c>
      <c r="K288" s="154" t="s">
        <v>139</v>
      </c>
      <c r="L288" s="156" t="s">
        <v>71</v>
      </c>
    </row>
    <row r="289">
      <c r="A289" s="153">
        <v>86.0</v>
      </c>
      <c r="B289" s="154" t="s">
        <v>7</v>
      </c>
      <c r="C289" s="154" t="s">
        <v>1978</v>
      </c>
      <c r="D289" s="154" t="s">
        <v>143</v>
      </c>
      <c r="E289" s="154" t="s">
        <v>136</v>
      </c>
      <c r="F289" s="154" t="s">
        <v>136</v>
      </c>
      <c r="G289" s="154" t="s">
        <v>185</v>
      </c>
      <c r="H289" s="155"/>
      <c r="I289" s="154" t="s">
        <v>135</v>
      </c>
      <c r="J289" s="157">
        <v>45600.424305555556</v>
      </c>
      <c r="K289" s="154" t="s">
        <v>139</v>
      </c>
      <c r="L289" s="156" t="s">
        <v>71</v>
      </c>
    </row>
    <row r="290">
      <c r="A290" s="153">
        <v>89.0</v>
      </c>
      <c r="B290" s="154" t="s">
        <v>6</v>
      </c>
      <c r="C290" s="154" t="s">
        <v>1981</v>
      </c>
      <c r="D290" s="154" t="s">
        <v>143</v>
      </c>
      <c r="E290" s="154" t="s">
        <v>135</v>
      </c>
      <c r="F290" s="154" t="s">
        <v>136</v>
      </c>
      <c r="G290" s="154" t="s">
        <v>137</v>
      </c>
      <c r="H290" s="155"/>
      <c r="I290" s="154" t="s">
        <v>135</v>
      </c>
      <c r="J290" s="157">
        <v>45600.46527777778</v>
      </c>
      <c r="K290" s="154" t="s">
        <v>139</v>
      </c>
      <c r="L290" s="156" t="s">
        <v>71</v>
      </c>
    </row>
    <row r="291">
      <c r="A291" s="153">
        <v>14.0</v>
      </c>
      <c r="B291" s="154" t="s">
        <v>6</v>
      </c>
      <c r="C291" s="154" t="s">
        <v>1563</v>
      </c>
      <c r="D291" s="154" t="s">
        <v>134</v>
      </c>
      <c r="E291" s="154" t="s">
        <v>135</v>
      </c>
      <c r="F291" s="154" t="s">
        <v>136</v>
      </c>
      <c r="G291" s="154" t="s">
        <v>367</v>
      </c>
      <c r="H291" s="155"/>
      <c r="I291" s="154" t="s">
        <v>135</v>
      </c>
      <c r="J291" s="154" t="s">
        <v>1982</v>
      </c>
      <c r="K291" s="154" t="s">
        <v>139</v>
      </c>
      <c r="L291" s="156" t="s">
        <v>71</v>
      </c>
    </row>
    <row r="292">
      <c r="A292" s="153">
        <v>47.0</v>
      </c>
      <c r="B292" s="154" t="s">
        <v>6</v>
      </c>
      <c r="C292" s="154" t="s">
        <v>338</v>
      </c>
      <c r="D292" s="154" t="s">
        <v>143</v>
      </c>
      <c r="E292" s="154" t="s">
        <v>135</v>
      </c>
      <c r="F292" s="154" t="s">
        <v>136</v>
      </c>
      <c r="G292" s="154" t="s">
        <v>221</v>
      </c>
      <c r="H292" s="155"/>
      <c r="I292" s="154" t="s">
        <v>135</v>
      </c>
      <c r="J292" s="154" t="s">
        <v>1983</v>
      </c>
      <c r="K292" s="154" t="s">
        <v>139</v>
      </c>
      <c r="L292" s="156" t="s">
        <v>71</v>
      </c>
    </row>
    <row r="293">
      <c r="A293" s="153">
        <v>81.0</v>
      </c>
      <c r="B293" s="154" t="s">
        <v>7</v>
      </c>
      <c r="C293" s="154" t="s">
        <v>1984</v>
      </c>
      <c r="D293" s="154" t="s">
        <v>213</v>
      </c>
      <c r="E293" s="154" t="s">
        <v>135</v>
      </c>
      <c r="F293" s="154" t="s">
        <v>136</v>
      </c>
      <c r="G293" s="154" t="s">
        <v>137</v>
      </c>
      <c r="H293" s="155"/>
      <c r="I293" s="154" t="s">
        <v>136</v>
      </c>
      <c r="J293" s="157">
        <v>45599.9875</v>
      </c>
      <c r="K293" s="154" t="s">
        <v>139</v>
      </c>
      <c r="L293" s="156" t="s">
        <v>71</v>
      </c>
    </row>
    <row r="294">
      <c r="A294" s="153">
        <v>12.0</v>
      </c>
      <c r="B294" s="154" t="s">
        <v>6</v>
      </c>
      <c r="C294" s="154" t="s">
        <v>1096</v>
      </c>
      <c r="D294" s="154" t="s">
        <v>153</v>
      </c>
      <c r="E294" s="154" t="s">
        <v>135</v>
      </c>
      <c r="F294" s="154" t="s">
        <v>136</v>
      </c>
      <c r="G294" s="154" t="s">
        <v>180</v>
      </c>
      <c r="H294" s="155"/>
      <c r="I294" s="154" t="s">
        <v>136</v>
      </c>
      <c r="J294" s="154" t="s">
        <v>1985</v>
      </c>
      <c r="K294" s="154" t="s">
        <v>139</v>
      </c>
      <c r="L294" s="156" t="s">
        <v>71</v>
      </c>
    </row>
    <row r="295">
      <c r="A295" s="153">
        <v>82.0</v>
      </c>
      <c r="B295" s="154" t="s">
        <v>6</v>
      </c>
      <c r="C295" s="154" t="s">
        <v>338</v>
      </c>
      <c r="D295" s="154" t="s">
        <v>143</v>
      </c>
      <c r="E295" s="154" t="s">
        <v>136</v>
      </c>
      <c r="F295" s="154" t="s">
        <v>136</v>
      </c>
      <c r="G295" s="154" t="s">
        <v>150</v>
      </c>
      <c r="H295" s="155"/>
      <c r="I295" s="154" t="s">
        <v>136</v>
      </c>
      <c r="J295" s="157">
        <v>45600.33541666667</v>
      </c>
      <c r="K295" s="154" t="s">
        <v>139</v>
      </c>
      <c r="L295" s="156" t="s">
        <v>71</v>
      </c>
    </row>
    <row r="296">
      <c r="A296" s="153">
        <v>83.0</v>
      </c>
      <c r="B296" s="154" t="s">
        <v>6</v>
      </c>
      <c r="C296" s="154" t="s">
        <v>787</v>
      </c>
      <c r="D296" s="154" t="s">
        <v>164</v>
      </c>
      <c r="E296" s="154" t="s">
        <v>136</v>
      </c>
      <c r="F296" s="154" t="s">
        <v>136</v>
      </c>
      <c r="G296" s="154" t="s">
        <v>221</v>
      </c>
      <c r="H296" s="155"/>
      <c r="I296" s="154" t="s">
        <v>135</v>
      </c>
      <c r="J296" s="157">
        <v>45600.33888888889</v>
      </c>
      <c r="K296" s="154" t="s">
        <v>139</v>
      </c>
      <c r="L296" s="156" t="s">
        <v>71</v>
      </c>
    </row>
    <row r="297">
      <c r="A297" s="153">
        <v>20.0</v>
      </c>
      <c r="B297" s="154" t="s">
        <v>6</v>
      </c>
      <c r="C297" s="154" t="s">
        <v>1986</v>
      </c>
      <c r="D297" s="154" t="s">
        <v>187</v>
      </c>
      <c r="E297" s="154" t="s">
        <v>136</v>
      </c>
      <c r="F297" s="154" t="s">
        <v>135</v>
      </c>
      <c r="G297" s="154" t="s">
        <v>1789</v>
      </c>
      <c r="H297" s="155"/>
      <c r="I297" s="154" t="s">
        <v>135</v>
      </c>
      <c r="J297" s="154" t="s">
        <v>1987</v>
      </c>
      <c r="K297" s="154" t="s">
        <v>139</v>
      </c>
      <c r="L297" s="156" t="s">
        <v>71</v>
      </c>
    </row>
    <row r="298">
      <c r="A298" s="153">
        <v>7.0</v>
      </c>
      <c r="B298" s="154" t="s">
        <v>7</v>
      </c>
      <c r="C298" s="154" t="s">
        <v>1988</v>
      </c>
      <c r="D298" s="154" t="s">
        <v>255</v>
      </c>
      <c r="E298" s="154" t="s">
        <v>135</v>
      </c>
      <c r="F298" s="154" t="s">
        <v>136</v>
      </c>
      <c r="G298" s="154" t="s">
        <v>1108</v>
      </c>
      <c r="H298" s="155"/>
      <c r="I298" s="154" t="s">
        <v>135</v>
      </c>
      <c r="J298" s="154" t="s">
        <v>1989</v>
      </c>
      <c r="K298" s="154" t="s">
        <v>139</v>
      </c>
      <c r="L298" s="156" t="s">
        <v>71</v>
      </c>
    </row>
    <row r="299">
      <c r="A299" s="153">
        <v>80.0</v>
      </c>
      <c r="B299" s="154" t="s">
        <v>6</v>
      </c>
      <c r="C299" s="154" t="s">
        <v>315</v>
      </c>
      <c r="D299" s="154" t="s">
        <v>164</v>
      </c>
      <c r="E299" s="154" t="s">
        <v>135</v>
      </c>
      <c r="F299" s="154" t="s">
        <v>136</v>
      </c>
      <c r="G299" s="154" t="s">
        <v>157</v>
      </c>
      <c r="H299" s="155"/>
      <c r="I299" s="154" t="s">
        <v>136</v>
      </c>
      <c r="J299" s="157">
        <v>45599.84652777778</v>
      </c>
      <c r="K299" s="154" t="s">
        <v>139</v>
      </c>
      <c r="L299" s="156" t="s">
        <v>71</v>
      </c>
    </row>
    <row r="300">
      <c r="A300" s="153">
        <v>76.0</v>
      </c>
      <c r="B300" s="154" t="s">
        <v>7</v>
      </c>
      <c r="C300" s="154" t="s">
        <v>379</v>
      </c>
      <c r="D300" s="154" t="s">
        <v>202</v>
      </c>
      <c r="E300" s="154" t="s">
        <v>136</v>
      </c>
      <c r="F300" s="154" t="s">
        <v>136</v>
      </c>
      <c r="G300" s="154" t="s">
        <v>606</v>
      </c>
      <c r="H300" s="155"/>
      <c r="I300" s="154" t="s">
        <v>135</v>
      </c>
      <c r="J300" s="157">
        <v>45597.32430555556</v>
      </c>
      <c r="K300" s="154" t="s">
        <v>139</v>
      </c>
      <c r="L300" s="156" t="s">
        <v>71</v>
      </c>
    </row>
    <row r="301">
      <c r="A301" s="153">
        <v>22.0</v>
      </c>
      <c r="B301" s="154" t="s">
        <v>7</v>
      </c>
      <c r="C301" s="154" t="s">
        <v>1329</v>
      </c>
      <c r="D301" s="154" t="s">
        <v>214</v>
      </c>
      <c r="E301" s="154" t="s">
        <v>135</v>
      </c>
      <c r="F301" s="154" t="s">
        <v>136</v>
      </c>
      <c r="G301" s="154" t="s">
        <v>479</v>
      </c>
      <c r="H301" s="155"/>
      <c r="I301" s="154" t="s">
        <v>136</v>
      </c>
      <c r="J301" s="154" t="s">
        <v>2068</v>
      </c>
      <c r="K301" s="154" t="s">
        <v>139</v>
      </c>
      <c r="L301" s="156" t="s">
        <v>70</v>
      </c>
    </row>
    <row r="302">
      <c r="A302" s="153">
        <v>14.0</v>
      </c>
      <c r="B302" s="154" t="s">
        <v>6</v>
      </c>
      <c r="C302" s="154" t="s">
        <v>1497</v>
      </c>
      <c r="D302" s="154" t="s">
        <v>165</v>
      </c>
      <c r="E302" s="154" t="s">
        <v>135</v>
      </c>
      <c r="F302" s="154" t="s">
        <v>135</v>
      </c>
      <c r="G302" s="154" t="s">
        <v>2069</v>
      </c>
      <c r="H302" s="155"/>
      <c r="I302" s="154" t="s">
        <v>135</v>
      </c>
      <c r="J302" s="154" t="s">
        <v>2070</v>
      </c>
      <c r="K302" s="154" t="s">
        <v>139</v>
      </c>
      <c r="L302" s="156" t="s">
        <v>70</v>
      </c>
    </row>
    <row r="303">
      <c r="A303" s="153">
        <v>25.0</v>
      </c>
      <c r="B303" s="154" t="s">
        <v>6</v>
      </c>
      <c r="C303" s="154" t="s">
        <v>2071</v>
      </c>
      <c r="D303" s="154" t="s">
        <v>331</v>
      </c>
      <c r="E303" s="154" t="s">
        <v>135</v>
      </c>
      <c r="F303" s="154" t="s">
        <v>136</v>
      </c>
      <c r="G303" s="154" t="s">
        <v>320</v>
      </c>
      <c r="H303" s="155"/>
      <c r="I303" s="154" t="s">
        <v>135</v>
      </c>
      <c r="J303" s="154" t="s">
        <v>2072</v>
      </c>
      <c r="K303" s="154" t="s">
        <v>139</v>
      </c>
      <c r="L303" s="156" t="s">
        <v>70</v>
      </c>
    </row>
    <row r="304">
      <c r="A304" s="153">
        <v>36.0</v>
      </c>
      <c r="B304" s="154" t="s">
        <v>7</v>
      </c>
      <c r="C304" s="154" t="s">
        <v>2073</v>
      </c>
      <c r="D304" s="154" t="s">
        <v>177</v>
      </c>
      <c r="E304" s="154" t="s">
        <v>135</v>
      </c>
      <c r="F304" s="154" t="s">
        <v>136</v>
      </c>
      <c r="G304" s="154" t="s">
        <v>271</v>
      </c>
      <c r="H304" s="155"/>
      <c r="I304" s="154" t="s">
        <v>135</v>
      </c>
      <c r="J304" s="154" t="s">
        <v>2074</v>
      </c>
      <c r="K304" s="154" t="s">
        <v>139</v>
      </c>
      <c r="L304" s="156" t="s">
        <v>70</v>
      </c>
    </row>
    <row r="305">
      <c r="A305" s="153">
        <v>40.0</v>
      </c>
      <c r="B305" s="154" t="s">
        <v>7</v>
      </c>
      <c r="C305" s="154" t="s">
        <v>2075</v>
      </c>
      <c r="D305" s="154" t="s">
        <v>243</v>
      </c>
      <c r="E305" s="154" t="s">
        <v>135</v>
      </c>
      <c r="F305" s="154" t="s">
        <v>136</v>
      </c>
      <c r="G305" s="154" t="s">
        <v>137</v>
      </c>
      <c r="H305" s="155"/>
      <c r="I305" s="154" t="s">
        <v>135</v>
      </c>
      <c r="J305" s="157">
        <v>45597.305555555555</v>
      </c>
      <c r="K305" s="154" t="s">
        <v>139</v>
      </c>
      <c r="L305" s="156" t="s">
        <v>70</v>
      </c>
    </row>
    <row r="306">
      <c r="A306" s="153">
        <v>20.0</v>
      </c>
      <c r="B306" s="154" t="s">
        <v>6</v>
      </c>
      <c r="C306" s="154" t="s">
        <v>2076</v>
      </c>
      <c r="D306" s="154" t="s">
        <v>369</v>
      </c>
      <c r="E306" s="154" t="s">
        <v>135</v>
      </c>
      <c r="F306" s="154" t="s">
        <v>135</v>
      </c>
      <c r="G306" s="154" t="s">
        <v>479</v>
      </c>
      <c r="H306" s="155"/>
      <c r="I306" s="154" t="s">
        <v>135</v>
      </c>
      <c r="J306" s="154" t="s">
        <v>2077</v>
      </c>
      <c r="K306" s="154" t="s">
        <v>139</v>
      </c>
      <c r="L306" s="156" t="s">
        <v>70</v>
      </c>
    </row>
    <row r="307">
      <c r="A307" s="153">
        <v>29.0</v>
      </c>
      <c r="B307" s="154" t="s">
        <v>6</v>
      </c>
      <c r="C307" s="154" t="s">
        <v>2078</v>
      </c>
      <c r="D307" s="154" t="s">
        <v>134</v>
      </c>
      <c r="E307" s="154" t="s">
        <v>136</v>
      </c>
      <c r="F307" s="154" t="s">
        <v>136</v>
      </c>
      <c r="G307" s="154" t="s">
        <v>221</v>
      </c>
      <c r="H307" s="155"/>
      <c r="I307" s="154" t="s">
        <v>135</v>
      </c>
      <c r="J307" s="154" t="s">
        <v>2079</v>
      </c>
      <c r="K307" s="154" t="s">
        <v>139</v>
      </c>
      <c r="L307" s="156" t="s">
        <v>70</v>
      </c>
    </row>
    <row r="308">
      <c r="A308" s="153">
        <v>46.0</v>
      </c>
      <c r="B308" s="154" t="s">
        <v>6</v>
      </c>
      <c r="C308" s="154" t="s">
        <v>696</v>
      </c>
      <c r="D308" s="154" t="s">
        <v>290</v>
      </c>
      <c r="E308" s="154" t="s">
        <v>136</v>
      </c>
      <c r="F308" s="154" t="s">
        <v>136</v>
      </c>
      <c r="G308" s="154" t="s">
        <v>599</v>
      </c>
      <c r="H308" s="155"/>
      <c r="I308" s="154" t="s">
        <v>135</v>
      </c>
      <c r="J308" s="157">
        <v>45598.638194444444</v>
      </c>
      <c r="K308" s="154" t="s">
        <v>139</v>
      </c>
      <c r="L308" s="156" t="s">
        <v>70</v>
      </c>
    </row>
    <row r="309">
      <c r="A309" s="153">
        <v>33.0</v>
      </c>
      <c r="B309" s="154" t="s">
        <v>8</v>
      </c>
      <c r="C309" s="154" t="s">
        <v>379</v>
      </c>
      <c r="D309" s="154" t="s">
        <v>202</v>
      </c>
      <c r="E309" s="154" t="s">
        <v>136</v>
      </c>
      <c r="F309" s="154" t="s">
        <v>136</v>
      </c>
      <c r="G309" s="154" t="s">
        <v>1257</v>
      </c>
      <c r="H309" s="154" t="s">
        <v>2080</v>
      </c>
      <c r="I309" s="154" t="s">
        <v>135</v>
      </c>
      <c r="J309" s="154" t="s">
        <v>2081</v>
      </c>
      <c r="K309" s="154" t="s">
        <v>139</v>
      </c>
      <c r="L309" s="156" t="s">
        <v>70</v>
      </c>
    </row>
    <row r="310">
      <c r="A310" s="153">
        <v>12.0</v>
      </c>
      <c r="B310" s="154" t="s">
        <v>7</v>
      </c>
      <c r="C310" s="154" t="s">
        <v>2082</v>
      </c>
      <c r="D310" s="154" t="s">
        <v>164</v>
      </c>
      <c r="E310" s="154" t="s">
        <v>135</v>
      </c>
      <c r="F310" s="154" t="s">
        <v>136</v>
      </c>
      <c r="G310" s="154" t="s">
        <v>2083</v>
      </c>
      <c r="H310" s="155"/>
      <c r="I310" s="154" t="s">
        <v>135</v>
      </c>
      <c r="J310" s="154" t="s">
        <v>2084</v>
      </c>
      <c r="K310" s="154" t="s">
        <v>139</v>
      </c>
      <c r="L310" s="156" t="s">
        <v>70</v>
      </c>
    </row>
    <row r="311">
      <c r="A311" s="153">
        <v>35.0</v>
      </c>
      <c r="B311" s="154" t="s">
        <v>6</v>
      </c>
      <c r="C311" s="154" t="s">
        <v>1698</v>
      </c>
      <c r="D311" s="154" t="s">
        <v>202</v>
      </c>
      <c r="E311" s="154" t="s">
        <v>136</v>
      </c>
      <c r="F311" s="154" t="s">
        <v>136</v>
      </c>
      <c r="G311" s="154" t="s">
        <v>221</v>
      </c>
      <c r="H311" s="155"/>
      <c r="I311" s="154" t="s">
        <v>135</v>
      </c>
      <c r="J311" s="154" t="s">
        <v>2085</v>
      </c>
      <c r="K311" s="154" t="s">
        <v>139</v>
      </c>
      <c r="L311" s="156" t="s">
        <v>70</v>
      </c>
    </row>
    <row r="312">
      <c r="A312" s="153">
        <v>8.0</v>
      </c>
      <c r="B312" s="154" t="s">
        <v>6</v>
      </c>
      <c r="C312" s="154" t="s">
        <v>2086</v>
      </c>
      <c r="D312" s="154" t="s">
        <v>213</v>
      </c>
      <c r="E312" s="154" t="s">
        <v>135</v>
      </c>
      <c r="F312" s="154" t="s">
        <v>136</v>
      </c>
      <c r="G312" s="154" t="s">
        <v>479</v>
      </c>
      <c r="H312" s="155"/>
      <c r="I312" s="154" t="s">
        <v>135</v>
      </c>
      <c r="J312" s="154" t="s">
        <v>2087</v>
      </c>
      <c r="K312" s="154" t="s">
        <v>139</v>
      </c>
      <c r="L312" s="156" t="s">
        <v>70</v>
      </c>
    </row>
    <row r="313">
      <c r="A313" s="153">
        <v>1.0</v>
      </c>
      <c r="B313" s="154" t="s">
        <v>7</v>
      </c>
      <c r="C313" s="154" t="s">
        <v>195</v>
      </c>
      <c r="D313" s="154" t="s">
        <v>164</v>
      </c>
      <c r="E313" s="154" t="s">
        <v>136</v>
      </c>
      <c r="F313" s="154" t="s">
        <v>136</v>
      </c>
      <c r="G313" s="154" t="s">
        <v>174</v>
      </c>
      <c r="H313" s="154" t="s">
        <v>1141</v>
      </c>
      <c r="I313" s="154" t="s">
        <v>136</v>
      </c>
      <c r="J313" s="154" t="s">
        <v>2088</v>
      </c>
      <c r="K313" s="154" t="s">
        <v>139</v>
      </c>
      <c r="L313" s="156" t="s">
        <v>70</v>
      </c>
    </row>
    <row r="314">
      <c r="A314" s="153">
        <v>26.0</v>
      </c>
      <c r="B314" s="154" t="s">
        <v>6</v>
      </c>
      <c r="C314" s="154" t="s">
        <v>2089</v>
      </c>
      <c r="D314" s="154" t="s">
        <v>263</v>
      </c>
      <c r="E314" s="154" t="s">
        <v>135</v>
      </c>
      <c r="F314" s="154" t="s">
        <v>135</v>
      </c>
      <c r="G314" s="154" t="s">
        <v>454</v>
      </c>
      <c r="H314" s="155"/>
      <c r="I314" s="154" t="s">
        <v>136</v>
      </c>
      <c r="J314" s="154" t="s">
        <v>2090</v>
      </c>
      <c r="K314" s="154" t="s">
        <v>139</v>
      </c>
      <c r="L314" s="156" t="s">
        <v>70</v>
      </c>
    </row>
    <row r="315">
      <c r="A315" s="153">
        <v>50.0</v>
      </c>
      <c r="B315" s="154" t="s">
        <v>6</v>
      </c>
      <c r="C315" s="154" t="s">
        <v>913</v>
      </c>
      <c r="D315" s="154" t="s">
        <v>153</v>
      </c>
      <c r="E315" s="154" t="s">
        <v>135</v>
      </c>
      <c r="F315" s="154" t="s">
        <v>136</v>
      </c>
      <c r="G315" s="154" t="s">
        <v>157</v>
      </c>
      <c r="H315" s="155"/>
      <c r="I315" s="154" t="s">
        <v>135</v>
      </c>
      <c r="J315" s="157">
        <v>45598.93541666667</v>
      </c>
      <c r="K315" s="154" t="s">
        <v>139</v>
      </c>
      <c r="L315" s="156" t="s">
        <v>70</v>
      </c>
    </row>
    <row r="316">
      <c r="A316" s="153">
        <v>48.0</v>
      </c>
      <c r="B316" s="154" t="s">
        <v>6</v>
      </c>
      <c r="C316" s="154" t="s">
        <v>668</v>
      </c>
      <c r="D316" s="154" t="s">
        <v>143</v>
      </c>
      <c r="E316" s="154" t="s">
        <v>135</v>
      </c>
      <c r="F316" s="154" t="s">
        <v>136</v>
      </c>
      <c r="G316" s="154" t="s">
        <v>594</v>
      </c>
      <c r="H316" s="155"/>
      <c r="I316" s="154" t="s">
        <v>135</v>
      </c>
      <c r="J316" s="157">
        <v>45598.69027777778</v>
      </c>
      <c r="K316" s="154" t="s">
        <v>139</v>
      </c>
      <c r="L316" s="156" t="s">
        <v>70</v>
      </c>
    </row>
    <row r="317">
      <c r="A317" s="153">
        <v>38.0</v>
      </c>
      <c r="B317" s="154" t="s">
        <v>7</v>
      </c>
      <c r="C317" s="154" t="s">
        <v>1894</v>
      </c>
      <c r="D317" s="154" t="s">
        <v>327</v>
      </c>
      <c r="E317" s="154" t="s">
        <v>136</v>
      </c>
      <c r="F317" s="154" t="s">
        <v>135</v>
      </c>
      <c r="G317" s="154" t="s">
        <v>150</v>
      </c>
      <c r="H317" s="155"/>
      <c r="I317" s="154" t="s">
        <v>136</v>
      </c>
      <c r="J317" s="154" t="s">
        <v>2091</v>
      </c>
      <c r="K317" s="154" t="s">
        <v>139</v>
      </c>
      <c r="L317" s="156" t="s">
        <v>70</v>
      </c>
    </row>
    <row r="318">
      <c r="A318" s="153">
        <v>31.0</v>
      </c>
      <c r="B318" s="154" t="s">
        <v>7</v>
      </c>
      <c r="C318" s="154" t="s">
        <v>2092</v>
      </c>
      <c r="D318" s="154" t="s">
        <v>134</v>
      </c>
      <c r="E318" s="154" t="s">
        <v>135</v>
      </c>
      <c r="F318" s="154" t="s">
        <v>136</v>
      </c>
      <c r="G318" s="154" t="s">
        <v>137</v>
      </c>
      <c r="H318" s="154" t="s">
        <v>2093</v>
      </c>
      <c r="I318" s="154" t="s">
        <v>136</v>
      </c>
      <c r="J318" s="154" t="s">
        <v>2094</v>
      </c>
      <c r="K318" s="154" t="s">
        <v>139</v>
      </c>
      <c r="L318" s="156" t="s">
        <v>70</v>
      </c>
    </row>
    <row r="319">
      <c r="A319" s="153">
        <v>16.0</v>
      </c>
      <c r="B319" s="154" t="s">
        <v>6</v>
      </c>
      <c r="C319" s="154" t="s">
        <v>1398</v>
      </c>
      <c r="D319" s="154" t="s">
        <v>213</v>
      </c>
      <c r="E319" s="154" t="s">
        <v>135</v>
      </c>
      <c r="F319" s="154" t="s">
        <v>136</v>
      </c>
      <c r="G319" s="154" t="s">
        <v>137</v>
      </c>
      <c r="H319" s="155"/>
      <c r="I319" s="154" t="s">
        <v>135</v>
      </c>
      <c r="J319" s="154" t="s">
        <v>2095</v>
      </c>
      <c r="K319" s="154" t="s">
        <v>139</v>
      </c>
      <c r="L319" s="156" t="s">
        <v>70</v>
      </c>
    </row>
    <row r="320">
      <c r="A320" s="153">
        <v>47.0</v>
      </c>
      <c r="B320" s="154" t="s">
        <v>7</v>
      </c>
      <c r="C320" s="154" t="s">
        <v>1398</v>
      </c>
      <c r="D320" s="154" t="s">
        <v>213</v>
      </c>
      <c r="E320" s="154" t="s">
        <v>135</v>
      </c>
      <c r="F320" s="154" t="s">
        <v>136</v>
      </c>
      <c r="G320" s="154" t="s">
        <v>221</v>
      </c>
      <c r="H320" s="154" t="s">
        <v>2096</v>
      </c>
      <c r="I320" s="154" t="s">
        <v>135</v>
      </c>
      <c r="J320" s="157">
        <v>45598.683333333334</v>
      </c>
      <c r="K320" s="154" t="s">
        <v>139</v>
      </c>
      <c r="L320" s="156" t="s">
        <v>70</v>
      </c>
    </row>
    <row r="321">
      <c r="A321" s="153">
        <v>9.0</v>
      </c>
      <c r="B321" s="154" t="s">
        <v>7</v>
      </c>
      <c r="C321" s="154" t="s">
        <v>2097</v>
      </c>
      <c r="D321" s="154" t="s">
        <v>243</v>
      </c>
      <c r="E321" s="154" t="s">
        <v>135</v>
      </c>
      <c r="F321" s="154" t="s">
        <v>136</v>
      </c>
      <c r="G321" s="154" t="s">
        <v>606</v>
      </c>
      <c r="H321" s="155"/>
      <c r="I321" s="154" t="s">
        <v>135</v>
      </c>
      <c r="J321" s="154" t="s">
        <v>2098</v>
      </c>
      <c r="K321" s="154" t="s">
        <v>139</v>
      </c>
      <c r="L321" s="156" t="s">
        <v>70</v>
      </c>
    </row>
    <row r="322">
      <c r="A322" s="153">
        <v>13.0</v>
      </c>
      <c r="B322" s="154" t="s">
        <v>6</v>
      </c>
      <c r="C322" s="154" t="s">
        <v>2099</v>
      </c>
      <c r="D322" s="154" t="s">
        <v>290</v>
      </c>
      <c r="E322" s="154" t="s">
        <v>135</v>
      </c>
      <c r="F322" s="154" t="s">
        <v>135</v>
      </c>
      <c r="G322" s="154" t="s">
        <v>271</v>
      </c>
      <c r="H322" s="155"/>
      <c r="I322" s="154" t="s">
        <v>135</v>
      </c>
      <c r="J322" s="154" t="s">
        <v>2100</v>
      </c>
      <c r="K322" s="154" t="s">
        <v>139</v>
      </c>
      <c r="L322" s="156" t="s">
        <v>70</v>
      </c>
    </row>
    <row r="323">
      <c r="A323" s="153">
        <v>17.0</v>
      </c>
      <c r="B323" s="154" t="s">
        <v>6</v>
      </c>
      <c r="C323" s="154" t="s">
        <v>564</v>
      </c>
      <c r="D323" s="154" t="s">
        <v>268</v>
      </c>
      <c r="E323" s="154" t="s">
        <v>135</v>
      </c>
      <c r="F323" s="154" t="s">
        <v>136</v>
      </c>
      <c r="G323" s="154" t="s">
        <v>2101</v>
      </c>
      <c r="H323" s="155"/>
      <c r="I323" s="154" t="s">
        <v>135</v>
      </c>
      <c r="J323" s="154" t="s">
        <v>2102</v>
      </c>
      <c r="K323" s="154" t="s">
        <v>139</v>
      </c>
      <c r="L323" s="156" t="s">
        <v>70</v>
      </c>
    </row>
    <row r="324">
      <c r="A324" s="153">
        <v>44.0</v>
      </c>
      <c r="B324" s="154" t="s">
        <v>7</v>
      </c>
      <c r="C324" s="154" t="s">
        <v>1921</v>
      </c>
      <c r="D324" s="154" t="s">
        <v>213</v>
      </c>
      <c r="E324" s="154" t="s">
        <v>135</v>
      </c>
      <c r="F324" s="154" t="s">
        <v>136</v>
      </c>
      <c r="G324" s="154" t="s">
        <v>137</v>
      </c>
      <c r="H324" s="155"/>
      <c r="I324" s="154" t="s">
        <v>136</v>
      </c>
      <c r="J324" s="157">
        <v>45597.64236111111</v>
      </c>
      <c r="K324" s="154" t="s">
        <v>139</v>
      </c>
      <c r="L324" s="156" t="s">
        <v>70</v>
      </c>
    </row>
    <row r="325">
      <c r="A325" s="153">
        <v>30.0</v>
      </c>
      <c r="B325" s="154" t="s">
        <v>6</v>
      </c>
      <c r="C325" s="154" t="s">
        <v>1926</v>
      </c>
      <c r="D325" s="154" t="s">
        <v>400</v>
      </c>
      <c r="E325" s="154" t="s">
        <v>135</v>
      </c>
      <c r="F325" s="154" t="s">
        <v>136</v>
      </c>
      <c r="G325" s="154" t="s">
        <v>157</v>
      </c>
      <c r="H325" s="155"/>
      <c r="I325" s="154" t="s">
        <v>135</v>
      </c>
      <c r="J325" s="154" t="s">
        <v>2103</v>
      </c>
      <c r="K325" s="154" t="s">
        <v>139</v>
      </c>
      <c r="L325" s="156" t="s">
        <v>70</v>
      </c>
    </row>
    <row r="326">
      <c r="A326" s="153">
        <v>41.0</v>
      </c>
      <c r="B326" s="154" t="s">
        <v>6</v>
      </c>
      <c r="C326" s="154" t="s">
        <v>2104</v>
      </c>
      <c r="D326" s="154" t="s">
        <v>243</v>
      </c>
      <c r="E326" s="154" t="s">
        <v>135</v>
      </c>
      <c r="F326" s="154" t="s">
        <v>135</v>
      </c>
      <c r="G326" s="154" t="s">
        <v>137</v>
      </c>
      <c r="H326" s="154" t="s">
        <v>2105</v>
      </c>
      <c r="I326" s="154" t="s">
        <v>135</v>
      </c>
      <c r="J326" s="157">
        <v>45597.42986111111</v>
      </c>
      <c r="K326" s="154" t="s">
        <v>139</v>
      </c>
      <c r="L326" s="156" t="s">
        <v>70</v>
      </c>
    </row>
    <row r="327">
      <c r="A327" s="153">
        <v>37.0</v>
      </c>
      <c r="B327" s="154" t="s">
        <v>6</v>
      </c>
      <c r="C327" s="154" t="s">
        <v>284</v>
      </c>
      <c r="D327" s="154" t="s">
        <v>284</v>
      </c>
      <c r="E327" s="154" t="s">
        <v>136</v>
      </c>
      <c r="F327" s="154" t="s">
        <v>135</v>
      </c>
      <c r="G327" s="154" t="s">
        <v>367</v>
      </c>
      <c r="H327" s="155"/>
      <c r="I327" s="154" t="s">
        <v>135</v>
      </c>
      <c r="J327" s="154" t="s">
        <v>2106</v>
      </c>
      <c r="K327" s="154" t="s">
        <v>139</v>
      </c>
      <c r="L327" s="156" t="s">
        <v>70</v>
      </c>
    </row>
    <row r="328">
      <c r="A328" s="153">
        <v>19.0</v>
      </c>
      <c r="B328" s="154" t="s">
        <v>6</v>
      </c>
      <c r="C328" s="154" t="s">
        <v>2107</v>
      </c>
      <c r="D328" s="154" t="s">
        <v>263</v>
      </c>
      <c r="E328" s="154" t="s">
        <v>135</v>
      </c>
      <c r="F328" s="154" t="s">
        <v>136</v>
      </c>
      <c r="G328" s="154" t="s">
        <v>157</v>
      </c>
      <c r="H328" s="154" t="s">
        <v>2108</v>
      </c>
      <c r="I328" s="154" t="s">
        <v>135</v>
      </c>
      <c r="J328" s="154" t="s">
        <v>2109</v>
      </c>
      <c r="K328" s="154" t="s">
        <v>139</v>
      </c>
      <c r="L328" s="156" t="s">
        <v>70</v>
      </c>
    </row>
    <row r="329">
      <c r="A329" s="153">
        <v>45.0</v>
      </c>
      <c r="B329" s="154" t="s">
        <v>6</v>
      </c>
      <c r="C329" s="154" t="s">
        <v>2110</v>
      </c>
      <c r="D329" s="154" t="s">
        <v>290</v>
      </c>
      <c r="E329" s="154" t="s">
        <v>135</v>
      </c>
      <c r="F329" s="154" t="s">
        <v>136</v>
      </c>
      <c r="G329" s="154" t="s">
        <v>2111</v>
      </c>
      <c r="H329" s="154" t="s">
        <v>2112</v>
      </c>
      <c r="I329" s="154" t="s">
        <v>135</v>
      </c>
      <c r="J329" s="157">
        <v>45598.27777777778</v>
      </c>
      <c r="K329" s="154" t="s">
        <v>139</v>
      </c>
      <c r="L329" s="156" t="s">
        <v>70</v>
      </c>
    </row>
    <row r="330">
      <c r="A330" s="153">
        <v>7.0</v>
      </c>
      <c r="B330" s="154" t="s">
        <v>6</v>
      </c>
      <c r="C330" s="154" t="s">
        <v>2113</v>
      </c>
      <c r="D330" s="154" t="s">
        <v>284</v>
      </c>
      <c r="E330" s="154" t="s">
        <v>136</v>
      </c>
      <c r="F330" s="154" t="s">
        <v>136</v>
      </c>
      <c r="G330" s="154" t="s">
        <v>185</v>
      </c>
      <c r="H330" s="154" t="s">
        <v>2114</v>
      </c>
      <c r="I330" s="154" t="s">
        <v>136</v>
      </c>
      <c r="J330" s="154" t="s">
        <v>2087</v>
      </c>
      <c r="K330" s="154" t="s">
        <v>139</v>
      </c>
      <c r="L330" s="156" t="s">
        <v>70</v>
      </c>
    </row>
    <row r="331">
      <c r="A331" s="153">
        <v>49.0</v>
      </c>
      <c r="B331" s="154" t="s">
        <v>7</v>
      </c>
      <c r="C331" s="154" t="s">
        <v>511</v>
      </c>
      <c r="D331" s="154" t="s">
        <v>243</v>
      </c>
      <c r="E331" s="154" t="s">
        <v>136</v>
      </c>
      <c r="F331" s="154" t="s">
        <v>136</v>
      </c>
      <c r="G331" s="154" t="s">
        <v>2115</v>
      </c>
      <c r="H331" s="155"/>
      <c r="I331" s="154" t="s">
        <v>135</v>
      </c>
      <c r="J331" s="157">
        <v>45598.88333333333</v>
      </c>
      <c r="K331" s="154" t="s">
        <v>139</v>
      </c>
      <c r="L331" s="156" t="s">
        <v>70</v>
      </c>
    </row>
    <row r="332">
      <c r="A332" s="153">
        <v>5.0</v>
      </c>
      <c r="B332" s="154" t="s">
        <v>6</v>
      </c>
      <c r="C332" s="154" t="s">
        <v>1553</v>
      </c>
      <c r="D332" s="154" t="s">
        <v>203</v>
      </c>
      <c r="E332" s="154" t="s">
        <v>135</v>
      </c>
      <c r="F332" s="154" t="s">
        <v>136</v>
      </c>
      <c r="G332" s="154" t="s">
        <v>205</v>
      </c>
      <c r="H332" s="155"/>
      <c r="I332" s="154" t="s">
        <v>136</v>
      </c>
      <c r="J332" s="154" t="s">
        <v>2116</v>
      </c>
      <c r="K332" s="154" t="s">
        <v>139</v>
      </c>
      <c r="L332" s="156" t="s">
        <v>70</v>
      </c>
    </row>
    <row r="333">
      <c r="A333" s="153">
        <v>15.0</v>
      </c>
      <c r="B333" s="154" t="s">
        <v>6</v>
      </c>
      <c r="C333" s="154" t="s">
        <v>471</v>
      </c>
      <c r="D333" s="154" t="s">
        <v>243</v>
      </c>
      <c r="E333" s="154" t="s">
        <v>135</v>
      </c>
      <c r="F333" s="154" t="s">
        <v>135</v>
      </c>
      <c r="G333" s="154" t="s">
        <v>191</v>
      </c>
      <c r="H333" s="155"/>
      <c r="I333" s="154" t="s">
        <v>135</v>
      </c>
      <c r="J333" s="154" t="s">
        <v>2117</v>
      </c>
      <c r="K333" s="154" t="s">
        <v>139</v>
      </c>
      <c r="L333" s="156" t="s">
        <v>70</v>
      </c>
    </row>
    <row r="334">
      <c r="A334" s="153">
        <v>21.0</v>
      </c>
      <c r="B334" s="154" t="s">
        <v>7</v>
      </c>
      <c r="C334" s="154" t="s">
        <v>469</v>
      </c>
      <c r="D334" s="154" t="s">
        <v>202</v>
      </c>
      <c r="E334" s="154" t="s">
        <v>136</v>
      </c>
      <c r="F334" s="154" t="s">
        <v>136</v>
      </c>
      <c r="G334" s="154" t="s">
        <v>297</v>
      </c>
      <c r="H334" s="155"/>
      <c r="I334" s="154" t="s">
        <v>135</v>
      </c>
      <c r="J334" s="154" t="s">
        <v>2118</v>
      </c>
      <c r="K334" s="154" t="s">
        <v>139</v>
      </c>
      <c r="L334" s="156" t="s">
        <v>70</v>
      </c>
    </row>
    <row r="335">
      <c r="A335" s="153">
        <v>27.0</v>
      </c>
      <c r="B335" s="154" t="s">
        <v>6</v>
      </c>
      <c r="C335" s="154" t="s">
        <v>2119</v>
      </c>
      <c r="D335" s="154" t="s">
        <v>202</v>
      </c>
      <c r="E335" s="154" t="s">
        <v>136</v>
      </c>
      <c r="F335" s="154" t="s">
        <v>136</v>
      </c>
      <c r="G335" s="154" t="s">
        <v>363</v>
      </c>
      <c r="H335" s="154" t="s">
        <v>2120</v>
      </c>
      <c r="I335" s="154" t="s">
        <v>136</v>
      </c>
      <c r="J335" s="154" t="s">
        <v>2121</v>
      </c>
      <c r="K335" s="154" t="s">
        <v>139</v>
      </c>
      <c r="L335" s="156" t="s">
        <v>70</v>
      </c>
    </row>
    <row r="336">
      <c r="A336" s="153">
        <v>11.0</v>
      </c>
      <c r="B336" s="154" t="s">
        <v>8</v>
      </c>
      <c r="C336" s="154" t="s">
        <v>235</v>
      </c>
      <c r="D336" s="154" t="s">
        <v>164</v>
      </c>
      <c r="E336" s="154" t="s">
        <v>135</v>
      </c>
      <c r="F336" s="154" t="s">
        <v>136</v>
      </c>
      <c r="G336" s="154" t="s">
        <v>185</v>
      </c>
      <c r="H336" s="154" t="s">
        <v>404</v>
      </c>
      <c r="I336" s="154" t="s">
        <v>136</v>
      </c>
      <c r="J336" s="154" t="s">
        <v>2122</v>
      </c>
      <c r="K336" s="154" t="s">
        <v>139</v>
      </c>
      <c r="L336" s="156" t="s">
        <v>70</v>
      </c>
    </row>
    <row r="337">
      <c r="A337" s="153">
        <v>18.0</v>
      </c>
      <c r="B337" s="154" t="s">
        <v>6</v>
      </c>
      <c r="C337" s="154" t="s">
        <v>2123</v>
      </c>
      <c r="D337" s="154" t="s">
        <v>188</v>
      </c>
      <c r="E337" s="154" t="s">
        <v>135</v>
      </c>
      <c r="F337" s="154" t="s">
        <v>135</v>
      </c>
      <c r="G337" s="154" t="s">
        <v>367</v>
      </c>
      <c r="H337" s="155"/>
      <c r="I337" s="154" t="s">
        <v>136</v>
      </c>
      <c r="J337" s="154" t="s">
        <v>2124</v>
      </c>
      <c r="K337" s="154" t="s">
        <v>139</v>
      </c>
      <c r="L337" s="156" t="s">
        <v>70</v>
      </c>
    </row>
    <row r="338">
      <c r="A338" s="153">
        <v>2.0</v>
      </c>
      <c r="B338" s="154" t="s">
        <v>7</v>
      </c>
      <c r="C338" s="154" t="s">
        <v>513</v>
      </c>
      <c r="D338" s="154" t="s">
        <v>213</v>
      </c>
      <c r="E338" s="154" t="s">
        <v>135</v>
      </c>
      <c r="F338" s="154" t="s">
        <v>136</v>
      </c>
      <c r="G338" s="154" t="s">
        <v>1959</v>
      </c>
      <c r="H338" s="155"/>
      <c r="I338" s="154" t="s">
        <v>135</v>
      </c>
      <c r="J338" s="154" t="s">
        <v>2125</v>
      </c>
      <c r="K338" s="154" t="s">
        <v>139</v>
      </c>
      <c r="L338" s="156" t="s">
        <v>70</v>
      </c>
    </row>
    <row r="339">
      <c r="A339" s="153">
        <v>42.0</v>
      </c>
      <c r="B339" s="154" t="s">
        <v>7</v>
      </c>
      <c r="C339" s="154" t="s">
        <v>769</v>
      </c>
      <c r="D339" s="154" t="s">
        <v>243</v>
      </c>
      <c r="E339" s="154" t="s">
        <v>135</v>
      </c>
      <c r="F339" s="154" t="s">
        <v>136</v>
      </c>
      <c r="G339" s="154" t="s">
        <v>150</v>
      </c>
      <c r="H339" s="155"/>
      <c r="I339" s="154" t="s">
        <v>135</v>
      </c>
      <c r="J339" s="157">
        <v>45597.48819444444</v>
      </c>
      <c r="K339" s="154" t="s">
        <v>139</v>
      </c>
      <c r="L339" s="156" t="s">
        <v>70</v>
      </c>
    </row>
    <row r="340">
      <c r="A340" s="153">
        <v>24.0</v>
      </c>
      <c r="B340" s="154" t="s">
        <v>6</v>
      </c>
      <c r="C340" s="154" t="s">
        <v>1411</v>
      </c>
      <c r="D340" s="154" t="s">
        <v>202</v>
      </c>
      <c r="E340" s="154" t="s">
        <v>136</v>
      </c>
      <c r="F340" s="154" t="s">
        <v>136</v>
      </c>
      <c r="G340" s="154" t="s">
        <v>1412</v>
      </c>
      <c r="H340" s="154" t="s">
        <v>1413</v>
      </c>
      <c r="I340" s="154" t="s">
        <v>135</v>
      </c>
      <c r="J340" s="154" t="s">
        <v>2126</v>
      </c>
      <c r="K340" s="154" t="s">
        <v>139</v>
      </c>
      <c r="L340" s="156" t="s">
        <v>70</v>
      </c>
    </row>
    <row r="341">
      <c r="A341" s="153">
        <v>3.0</v>
      </c>
      <c r="B341" s="154" t="s">
        <v>7</v>
      </c>
      <c r="C341" s="154" t="s">
        <v>1367</v>
      </c>
      <c r="D341" s="154" t="s">
        <v>209</v>
      </c>
      <c r="E341" s="154" t="s">
        <v>136</v>
      </c>
      <c r="F341" s="154" t="s">
        <v>136</v>
      </c>
      <c r="G341" s="154" t="s">
        <v>137</v>
      </c>
      <c r="H341" s="155"/>
      <c r="I341" s="154" t="s">
        <v>135</v>
      </c>
      <c r="J341" s="154" t="s">
        <v>2127</v>
      </c>
      <c r="K341" s="154" t="s">
        <v>139</v>
      </c>
      <c r="L341" s="156" t="s">
        <v>70</v>
      </c>
    </row>
    <row r="342">
      <c r="A342" s="153">
        <v>34.0</v>
      </c>
      <c r="B342" s="154" t="s">
        <v>6</v>
      </c>
      <c r="C342" s="154" t="s">
        <v>1975</v>
      </c>
      <c r="D342" s="154" t="s">
        <v>243</v>
      </c>
      <c r="E342" s="154" t="s">
        <v>136</v>
      </c>
      <c r="F342" s="154" t="s">
        <v>135</v>
      </c>
      <c r="G342" s="154" t="s">
        <v>2128</v>
      </c>
      <c r="H342" s="155"/>
      <c r="I342" s="154" t="s">
        <v>135</v>
      </c>
      <c r="J342" s="154" t="s">
        <v>2129</v>
      </c>
      <c r="K342" s="154" t="s">
        <v>139</v>
      </c>
      <c r="L342" s="156" t="s">
        <v>70</v>
      </c>
    </row>
    <row r="343">
      <c r="A343" s="153">
        <v>39.0</v>
      </c>
      <c r="B343" s="154" t="s">
        <v>6</v>
      </c>
      <c r="C343" s="154" t="s">
        <v>2130</v>
      </c>
      <c r="D343" s="154" t="s">
        <v>202</v>
      </c>
      <c r="E343" s="154" t="s">
        <v>135</v>
      </c>
      <c r="F343" s="154" t="s">
        <v>136</v>
      </c>
      <c r="G343" s="154" t="s">
        <v>185</v>
      </c>
      <c r="H343" s="154" t="s">
        <v>2131</v>
      </c>
      <c r="I343" s="154" t="s">
        <v>136</v>
      </c>
      <c r="J343" s="157">
        <v>45597.12847222222</v>
      </c>
      <c r="K343" s="154" t="s">
        <v>139</v>
      </c>
      <c r="L343" s="156" t="s">
        <v>70</v>
      </c>
    </row>
    <row r="344">
      <c r="A344" s="153">
        <v>6.0</v>
      </c>
      <c r="B344" s="154" t="s">
        <v>7</v>
      </c>
      <c r="C344" s="154" t="s">
        <v>1501</v>
      </c>
      <c r="D344" s="154" t="s">
        <v>187</v>
      </c>
      <c r="E344" s="154" t="s">
        <v>135</v>
      </c>
      <c r="F344" s="154" t="s">
        <v>136</v>
      </c>
      <c r="G344" s="154" t="s">
        <v>137</v>
      </c>
      <c r="H344" s="155"/>
      <c r="I344" s="154" t="s">
        <v>135</v>
      </c>
      <c r="J344" s="154" t="s">
        <v>2116</v>
      </c>
      <c r="K344" s="154" t="s">
        <v>139</v>
      </c>
      <c r="L344" s="156" t="s">
        <v>70</v>
      </c>
    </row>
    <row r="345">
      <c r="A345" s="153">
        <v>23.0</v>
      </c>
      <c r="B345" s="154" t="s">
        <v>6</v>
      </c>
      <c r="C345" s="154" t="s">
        <v>2132</v>
      </c>
      <c r="D345" s="154" t="s">
        <v>143</v>
      </c>
      <c r="E345" s="154" t="s">
        <v>135</v>
      </c>
      <c r="F345" s="154" t="s">
        <v>136</v>
      </c>
      <c r="G345" s="154" t="s">
        <v>606</v>
      </c>
      <c r="H345" s="154" t="s">
        <v>2133</v>
      </c>
      <c r="I345" s="154" t="s">
        <v>135</v>
      </c>
      <c r="J345" s="154" t="s">
        <v>2134</v>
      </c>
      <c r="K345" s="154" t="s">
        <v>139</v>
      </c>
      <c r="L345" s="156" t="s">
        <v>70</v>
      </c>
    </row>
    <row r="346">
      <c r="A346" s="153">
        <v>10.0</v>
      </c>
      <c r="B346" s="154" t="s">
        <v>6</v>
      </c>
      <c r="C346" s="154" t="s">
        <v>315</v>
      </c>
      <c r="D346" s="154" t="s">
        <v>164</v>
      </c>
      <c r="E346" s="154" t="s">
        <v>135</v>
      </c>
      <c r="F346" s="154" t="s">
        <v>136</v>
      </c>
      <c r="G346" s="154" t="s">
        <v>256</v>
      </c>
      <c r="H346" s="154" t="s">
        <v>2135</v>
      </c>
      <c r="I346" s="154" t="s">
        <v>135</v>
      </c>
      <c r="J346" s="154" t="s">
        <v>2136</v>
      </c>
      <c r="K346" s="154" t="s">
        <v>139</v>
      </c>
      <c r="L346" s="156" t="s">
        <v>70</v>
      </c>
    </row>
    <row r="347">
      <c r="A347" s="153">
        <v>32.0</v>
      </c>
      <c r="B347" s="154" t="s">
        <v>6</v>
      </c>
      <c r="C347" s="154" t="s">
        <v>133</v>
      </c>
      <c r="D347" s="154" t="s">
        <v>134</v>
      </c>
      <c r="E347" s="154" t="s">
        <v>136</v>
      </c>
      <c r="F347" s="154" t="s">
        <v>136</v>
      </c>
      <c r="G347" s="154" t="s">
        <v>1421</v>
      </c>
      <c r="H347" s="155"/>
      <c r="I347" s="154" t="s">
        <v>135</v>
      </c>
      <c r="J347" s="154" t="s">
        <v>2137</v>
      </c>
      <c r="K347" s="154" t="s">
        <v>139</v>
      </c>
      <c r="L347" s="156" t="s">
        <v>70</v>
      </c>
    </row>
    <row r="348">
      <c r="A348" s="153">
        <v>4.0</v>
      </c>
      <c r="B348" s="154" t="s">
        <v>7</v>
      </c>
      <c r="C348" s="154" t="s">
        <v>315</v>
      </c>
      <c r="D348" s="154" t="s">
        <v>164</v>
      </c>
      <c r="E348" s="154" t="s">
        <v>136</v>
      </c>
      <c r="F348" s="154" t="s">
        <v>136</v>
      </c>
      <c r="G348" s="154" t="s">
        <v>185</v>
      </c>
      <c r="H348" s="155"/>
      <c r="I348" s="154" t="s">
        <v>136</v>
      </c>
      <c r="J348" s="154" t="s">
        <v>2138</v>
      </c>
      <c r="K348" s="154" t="s">
        <v>139</v>
      </c>
      <c r="L348" s="156" t="s">
        <v>70</v>
      </c>
    </row>
    <row r="349">
      <c r="A349" s="153">
        <v>43.0</v>
      </c>
      <c r="B349" s="154" t="s">
        <v>7</v>
      </c>
      <c r="C349" s="154" t="s">
        <v>2139</v>
      </c>
      <c r="D349" s="154" t="s">
        <v>143</v>
      </c>
      <c r="E349" s="154" t="s">
        <v>135</v>
      </c>
      <c r="F349" s="154" t="s">
        <v>136</v>
      </c>
      <c r="G349" s="154" t="s">
        <v>1108</v>
      </c>
      <c r="H349" s="154" t="s">
        <v>2140</v>
      </c>
      <c r="I349" s="154" t="s">
        <v>135</v>
      </c>
      <c r="J349" s="157">
        <v>45597.55902777778</v>
      </c>
      <c r="K349" s="154" t="s">
        <v>139</v>
      </c>
      <c r="L349" s="156" t="s">
        <v>70</v>
      </c>
    </row>
    <row r="350">
      <c r="A350" s="153">
        <v>28.0</v>
      </c>
      <c r="B350" s="154" t="s">
        <v>7</v>
      </c>
      <c r="C350" s="154" t="s">
        <v>379</v>
      </c>
      <c r="D350" s="154" t="s">
        <v>202</v>
      </c>
      <c r="E350" s="154" t="s">
        <v>136</v>
      </c>
      <c r="F350" s="154" t="s">
        <v>136</v>
      </c>
      <c r="G350" s="154" t="s">
        <v>606</v>
      </c>
      <c r="H350" s="155"/>
      <c r="I350" s="154" t="s">
        <v>135</v>
      </c>
      <c r="J350" s="154" t="s">
        <v>2141</v>
      </c>
      <c r="K350" s="154" t="s">
        <v>139</v>
      </c>
      <c r="L350" s="156" t="s">
        <v>70</v>
      </c>
    </row>
    <row r="351">
      <c r="A351" s="17">
        <v>1.0</v>
      </c>
      <c r="B351" s="158" t="s">
        <v>1488</v>
      </c>
      <c r="D351" s="158" t="s">
        <v>134</v>
      </c>
      <c r="E351" s="158" t="s">
        <v>2142</v>
      </c>
      <c r="G351" s="158" t="s">
        <v>137</v>
      </c>
      <c r="J351" s="159" t="s">
        <v>2143</v>
      </c>
      <c r="K351" s="17" t="s">
        <v>139</v>
      </c>
      <c r="L351" s="17" t="s">
        <v>208</v>
      </c>
    </row>
    <row r="352">
      <c r="A352" s="17">
        <v>1.0</v>
      </c>
      <c r="B352" s="158" t="s">
        <v>1488</v>
      </c>
      <c r="D352" s="158" t="s">
        <v>143</v>
      </c>
      <c r="E352" s="158" t="s">
        <v>2113</v>
      </c>
      <c r="G352" s="158" t="s">
        <v>2144</v>
      </c>
      <c r="J352" s="159" t="s">
        <v>2145</v>
      </c>
      <c r="K352" s="17" t="s">
        <v>139</v>
      </c>
      <c r="L352" s="17" t="s">
        <v>208</v>
      </c>
    </row>
    <row r="353">
      <c r="A353" s="17">
        <v>1.0</v>
      </c>
      <c r="B353" s="158" t="s">
        <v>1488</v>
      </c>
      <c r="D353" s="158" t="s">
        <v>249</v>
      </c>
      <c r="E353" s="158" t="s">
        <v>2146</v>
      </c>
      <c r="G353" s="158" t="s">
        <v>1522</v>
      </c>
      <c r="J353" s="159" t="s">
        <v>2147</v>
      </c>
      <c r="K353" s="17" t="s">
        <v>139</v>
      </c>
      <c r="L353" s="17" t="s">
        <v>208</v>
      </c>
    </row>
    <row r="354">
      <c r="A354" s="17">
        <v>1.0</v>
      </c>
      <c r="B354" s="158" t="s">
        <v>1491</v>
      </c>
      <c r="D354" s="160" t="s">
        <v>358</v>
      </c>
      <c r="E354" s="158" t="s">
        <v>2142</v>
      </c>
      <c r="G354" s="158" t="s">
        <v>2148</v>
      </c>
      <c r="J354" s="159" t="s">
        <v>2149</v>
      </c>
      <c r="K354" s="17" t="s">
        <v>139</v>
      </c>
      <c r="L354" s="17" t="s">
        <v>208</v>
      </c>
    </row>
    <row r="355">
      <c r="A355" s="17">
        <v>1.0</v>
      </c>
      <c r="B355" s="158" t="s">
        <v>1491</v>
      </c>
      <c r="D355" s="158" t="s">
        <v>143</v>
      </c>
      <c r="E355" s="158" t="s">
        <v>511</v>
      </c>
      <c r="G355" s="158" t="s">
        <v>2150</v>
      </c>
      <c r="J355" s="159" t="s">
        <v>2151</v>
      </c>
      <c r="K355" s="17" t="s">
        <v>139</v>
      </c>
      <c r="L355" s="17" t="s">
        <v>208</v>
      </c>
    </row>
    <row r="356">
      <c r="A356" s="17">
        <v>1.0</v>
      </c>
      <c r="B356" s="158" t="s">
        <v>1491</v>
      </c>
      <c r="D356" s="158" t="s">
        <v>416</v>
      </c>
      <c r="E356" s="158" t="s">
        <v>2142</v>
      </c>
      <c r="G356" s="158" t="s">
        <v>2152</v>
      </c>
      <c r="J356" s="159" t="s">
        <v>2153</v>
      </c>
      <c r="K356" s="17" t="s">
        <v>139</v>
      </c>
      <c r="L356" s="17" t="s">
        <v>208</v>
      </c>
    </row>
    <row r="357">
      <c r="A357" s="17">
        <v>1.0</v>
      </c>
      <c r="B357" s="158" t="s">
        <v>1491</v>
      </c>
      <c r="D357" s="160" t="s">
        <v>263</v>
      </c>
      <c r="E357" s="158" t="s">
        <v>2154</v>
      </c>
      <c r="G357" s="158" t="s">
        <v>2155</v>
      </c>
      <c r="J357" s="159" t="s">
        <v>2156</v>
      </c>
      <c r="K357" s="17" t="s">
        <v>139</v>
      </c>
      <c r="L357" s="17" t="s">
        <v>208</v>
      </c>
    </row>
    <row r="358">
      <c r="A358" s="17">
        <v>1.0</v>
      </c>
      <c r="B358" s="158" t="s">
        <v>1491</v>
      </c>
      <c r="D358" s="160" t="s">
        <v>263</v>
      </c>
      <c r="E358" s="158" t="s">
        <v>2146</v>
      </c>
      <c r="G358" s="158" t="s">
        <v>2157</v>
      </c>
      <c r="J358" s="159" t="s">
        <v>2158</v>
      </c>
      <c r="K358" s="17" t="s">
        <v>139</v>
      </c>
      <c r="L358" s="17" t="s">
        <v>208</v>
      </c>
    </row>
    <row r="359">
      <c r="A359" s="17">
        <v>1.0</v>
      </c>
      <c r="B359" s="158" t="s">
        <v>1488</v>
      </c>
      <c r="D359" s="160" t="s">
        <v>263</v>
      </c>
      <c r="E359" s="158" t="s">
        <v>2146</v>
      </c>
      <c r="G359" s="158" t="s">
        <v>2159</v>
      </c>
      <c r="J359" s="159" t="s">
        <v>2160</v>
      </c>
      <c r="K359" s="17" t="s">
        <v>139</v>
      </c>
      <c r="L359" s="17" t="s">
        <v>208</v>
      </c>
    </row>
    <row r="360">
      <c r="A360" s="17">
        <v>1.0</v>
      </c>
      <c r="B360" s="158" t="s">
        <v>1488</v>
      </c>
      <c r="D360" s="158" t="s">
        <v>164</v>
      </c>
      <c r="E360" s="158" t="s">
        <v>2146</v>
      </c>
      <c r="G360" s="158" t="s">
        <v>2161</v>
      </c>
      <c r="J360" s="159" t="s">
        <v>2162</v>
      </c>
      <c r="K360" s="17" t="s">
        <v>139</v>
      </c>
      <c r="L360" s="17" t="s">
        <v>208</v>
      </c>
    </row>
    <row r="361">
      <c r="A361" s="17">
        <v>1.0</v>
      </c>
      <c r="B361" s="158" t="s">
        <v>1488</v>
      </c>
      <c r="D361" s="158" t="s">
        <v>202</v>
      </c>
      <c r="E361" s="158" t="s">
        <v>2154</v>
      </c>
      <c r="G361" s="158" t="s">
        <v>2163</v>
      </c>
      <c r="J361" s="159" t="s">
        <v>2164</v>
      </c>
      <c r="K361" s="17" t="s">
        <v>139</v>
      </c>
      <c r="L361" s="17" t="s">
        <v>208</v>
      </c>
    </row>
    <row r="362">
      <c r="A362" s="17">
        <v>1.0</v>
      </c>
      <c r="B362" s="158" t="s">
        <v>1488</v>
      </c>
      <c r="D362" s="160" t="s">
        <v>263</v>
      </c>
      <c r="E362" s="158" t="s">
        <v>2165</v>
      </c>
      <c r="G362" s="158" t="s">
        <v>2166</v>
      </c>
      <c r="J362" s="159" t="s">
        <v>2167</v>
      </c>
      <c r="K362" s="17" t="s">
        <v>139</v>
      </c>
      <c r="L362" s="17" t="s">
        <v>208</v>
      </c>
    </row>
    <row r="363">
      <c r="A363" s="17">
        <v>1.0</v>
      </c>
      <c r="B363" s="158" t="s">
        <v>1491</v>
      </c>
      <c r="D363" s="158" t="s">
        <v>143</v>
      </c>
      <c r="E363" s="158" t="s">
        <v>2113</v>
      </c>
      <c r="G363" s="158" t="s">
        <v>1623</v>
      </c>
      <c r="J363" s="159" t="s">
        <v>2168</v>
      </c>
      <c r="K363" s="17" t="s">
        <v>139</v>
      </c>
      <c r="L363" s="17" t="s">
        <v>208</v>
      </c>
    </row>
    <row r="364">
      <c r="A364" s="17">
        <v>1.0</v>
      </c>
      <c r="B364" s="158" t="s">
        <v>1491</v>
      </c>
      <c r="D364" s="158" t="s">
        <v>263</v>
      </c>
      <c r="E364" s="158" t="s">
        <v>2146</v>
      </c>
      <c r="G364" s="158" t="s">
        <v>2169</v>
      </c>
      <c r="J364" s="159" t="s">
        <v>2170</v>
      </c>
      <c r="K364" s="17" t="s">
        <v>139</v>
      </c>
      <c r="L364" s="17" t="s">
        <v>208</v>
      </c>
    </row>
    <row r="365">
      <c r="A365" s="17">
        <v>1.0</v>
      </c>
      <c r="B365" s="158" t="s">
        <v>1491</v>
      </c>
      <c r="D365" s="158" t="s">
        <v>202</v>
      </c>
      <c r="E365" s="158" t="s">
        <v>2165</v>
      </c>
      <c r="G365" s="158" t="s">
        <v>2171</v>
      </c>
      <c r="J365" s="159" t="s">
        <v>2172</v>
      </c>
      <c r="K365" s="17" t="s">
        <v>139</v>
      </c>
      <c r="L365" s="17" t="s">
        <v>208</v>
      </c>
    </row>
    <row r="366">
      <c r="A366" s="17">
        <v>1.0</v>
      </c>
      <c r="B366" s="158" t="s">
        <v>1488</v>
      </c>
      <c r="D366" s="158" t="s">
        <v>164</v>
      </c>
      <c r="E366" s="158" t="s">
        <v>2113</v>
      </c>
      <c r="G366" s="158" t="s">
        <v>775</v>
      </c>
      <c r="J366" s="159" t="s">
        <v>2173</v>
      </c>
      <c r="K366" s="17" t="s">
        <v>139</v>
      </c>
      <c r="L366" s="17" t="s">
        <v>208</v>
      </c>
    </row>
    <row r="367">
      <c r="A367" s="17">
        <v>1.0</v>
      </c>
      <c r="B367" s="158" t="s">
        <v>1488</v>
      </c>
      <c r="D367" s="160" t="s">
        <v>258</v>
      </c>
      <c r="E367" s="158" t="s">
        <v>2165</v>
      </c>
      <c r="G367" s="158" t="s">
        <v>2174</v>
      </c>
      <c r="J367" s="159" t="s">
        <v>2175</v>
      </c>
      <c r="K367" s="17" t="s">
        <v>139</v>
      </c>
      <c r="L367" s="17" t="s">
        <v>208</v>
      </c>
    </row>
    <row r="368">
      <c r="A368" s="17">
        <v>1.0</v>
      </c>
      <c r="B368" s="158" t="s">
        <v>1488</v>
      </c>
      <c r="D368" s="161" t="s">
        <v>176</v>
      </c>
      <c r="E368" s="158" t="s">
        <v>2146</v>
      </c>
      <c r="G368" s="158" t="s">
        <v>137</v>
      </c>
      <c r="J368" s="159" t="s">
        <v>2176</v>
      </c>
      <c r="K368" s="17" t="s">
        <v>139</v>
      </c>
      <c r="L368" s="17" t="s">
        <v>208</v>
      </c>
    </row>
    <row r="369">
      <c r="A369" s="17">
        <v>1.0</v>
      </c>
      <c r="B369" s="158" t="s">
        <v>1488</v>
      </c>
      <c r="D369" s="158" t="s">
        <v>416</v>
      </c>
      <c r="E369" s="158" t="s">
        <v>2146</v>
      </c>
      <c r="G369" s="158" t="s">
        <v>2177</v>
      </c>
      <c r="J369" s="159" t="s">
        <v>2178</v>
      </c>
      <c r="K369" s="17" t="s">
        <v>139</v>
      </c>
      <c r="L369" s="17" t="s">
        <v>208</v>
      </c>
    </row>
    <row r="370">
      <c r="A370" s="17">
        <v>1.0</v>
      </c>
      <c r="B370" s="158" t="s">
        <v>1488</v>
      </c>
      <c r="D370" s="161" t="s">
        <v>213</v>
      </c>
      <c r="E370" s="158" t="s">
        <v>2113</v>
      </c>
      <c r="G370" s="158" t="s">
        <v>2179</v>
      </c>
      <c r="J370" s="159" t="s">
        <v>2180</v>
      </c>
      <c r="K370" s="17" t="s">
        <v>139</v>
      </c>
      <c r="L370" s="17" t="s">
        <v>208</v>
      </c>
    </row>
    <row r="371">
      <c r="A371" s="17">
        <v>1.0</v>
      </c>
      <c r="B371" s="158" t="s">
        <v>1488</v>
      </c>
      <c r="D371" s="158" t="s">
        <v>416</v>
      </c>
      <c r="E371" s="158" t="s">
        <v>2113</v>
      </c>
      <c r="G371" s="158" t="s">
        <v>137</v>
      </c>
      <c r="J371" s="159" t="s">
        <v>2181</v>
      </c>
      <c r="K371" s="17" t="s">
        <v>139</v>
      </c>
      <c r="L371" s="17" t="s">
        <v>208</v>
      </c>
    </row>
    <row r="372">
      <c r="A372" s="17">
        <v>1.0</v>
      </c>
      <c r="B372" s="158" t="s">
        <v>1488</v>
      </c>
      <c r="D372" s="160" t="s">
        <v>263</v>
      </c>
      <c r="E372" s="158" t="s">
        <v>2113</v>
      </c>
      <c r="G372" s="158" t="s">
        <v>2182</v>
      </c>
      <c r="J372" s="159" t="s">
        <v>2183</v>
      </c>
      <c r="K372" s="17" t="s">
        <v>139</v>
      </c>
      <c r="L372" s="17" t="s">
        <v>208</v>
      </c>
    </row>
    <row r="373">
      <c r="A373" s="17">
        <v>1.0</v>
      </c>
      <c r="B373" s="158" t="s">
        <v>1491</v>
      </c>
      <c r="D373" s="160" t="s">
        <v>263</v>
      </c>
      <c r="E373" s="158" t="s">
        <v>2154</v>
      </c>
      <c r="G373" s="158" t="s">
        <v>2184</v>
      </c>
      <c r="J373" s="159" t="s">
        <v>2185</v>
      </c>
      <c r="K373" s="17" t="s">
        <v>139</v>
      </c>
      <c r="L373" s="17" t="s">
        <v>208</v>
      </c>
    </row>
    <row r="374">
      <c r="A374" s="17">
        <v>1.0</v>
      </c>
      <c r="B374" s="158" t="s">
        <v>1491</v>
      </c>
      <c r="D374" s="160" t="s">
        <v>263</v>
      </c>
      <c r="E374" s="158" t="s">
        <v>2142</v>
      </c>
      <c r="G374" s="158" t="s">
        <v>2186</v>
      </c>
      <c r="J374" s="159" t="s">
        <v>2187</v>
      </c>
      <c r="K374" s="17" t="s">
        <v>139</v>
      </c>
      <c r="L374" s="17" t="s">
        <v>208</v>
      </c>
    </row>
    <row r="375">
      <c r="A375" s="17">
        <v>1.0</v>
      </c>
      <c r="B375" s="162" t="s">
        <v>416</v>
      </c>
      <c r="D375" s="158" t="s">
        <v>164</v>
      </c>
      <c r="E375" s="158" t="s">
        <v>2188</v>
      </c>
      <c r="G375" s="158" t="s">
        <v>137</v>
      </c>
      <c r="J375" s="159" t="s">
        <v>2189</v>
      </c>
      <c r="K375" s="17" t="s">
        <v>139</v>
      </c>
      <c r="L375" s="17" t="s">
        <v>208</v>
      </c>
    </row>
    <row r="376">
      <c r="A376" s="17">
        <v>1.0</v>
      </c>
      <c r="B376" s="158" t="s">
        <v>1488</v>
      </c>
      <c r="D376" s="160" t="s">
        <v>263</v>
      </c>
      <c r="E376" s="158" t="s">
        <v>2146</v>
      </c>
      <c r="G376" s="158" t="s">
        <v>137</v>
      </c>
      <c r="J376" s="159" t="s">
        <v>2190</v>
      </c>
      <c r="K376" s="17" t="s">
        <v>139</v>
      </c>
      <c r="L376" s="17" t="s">
        <v>208</v>
      </c>
    </row>
    <row r="377">
      <c r="A377" s="17">
        <v>1.0</v>
      </c>
      <c r="B377" s="158" t="s">
        <v>1488</v>
      </c>
      <c r="D377" s="161" t="s">
        <v>223</v>
      </c>
      <c r="E377" s="158" t="s">
        <v>2191</v>
      </c>
      <c r="G377" s="158" t="s">
        <v>137</v>
      </c>
      <c r="J377" s="159" t="s">
        <v>2192</v>
      </c>
      <c r="K377" s="17" t="s">
        <v>139</v>
      </c>
      <c r="L377" s="17" t="s">
        <v>208</v>
      </c>
    </row>
    <row r="378">
      <c r="A378" s="17">
        <v>1.0</v>
      </c>
      <c r="B378" s="158" t="s">
        <v>1491</v>
      </c>
      <c r="D378" s="158" t="s">
        <v>416</v>
      </c>
      <c r="E378" s="158" t="s">
        <v>2191</v>
      </c>
      <c r="G378" s="158" t="s">
        <v>2193</v>
      </c>
      <c r="J378" s="159" t="s">
        <v>2194</v>
      </c>
      <c r="K378" s="17" t="s">
        <v>139</v>
      </c>
      <c r="L378" s="17" t="s">
        <v>208</v>
      </c>
    </row>
    <row r="379">
      <c r="A379" s="17">
        <v>1.0</v>
      </c>
      <c r="B379" s="158" t="s">
        <v>1491</v>
      </c>
      <c r="D379" s="160" t="s">
        <v>244</v>
      </c>
      <c r="E379" s="158" t="s">
        <v>2146</v>
      </c>
      <c r="G379" s="158" t="s">
        <v>2195</v>
      </c>
      <c r="J379" s="159" t="s">
        <v>2196</v>
      </c>
      <c r="K379" s="17" t="s">
        <v>139</v>
      </c>
      <c r="L379" s="17" t="s">
        <v>208</v>
      </c>
    </row>
    <row r="380">
      <c r="A380" s="17">
        <v>1.0</v>
      </c>
      <c r="B380" s="158" t="s">
        <v>1491</v>
      </c>
      <c r="D380" s="158" t="s">
        <v>416</v>
      </c>
      <c r="E380" s="158" t="s">
        <v>2113</v>
      </c>
      <c r="G380" s="158" t="s">
        <v>2197</v>
      </c>
      <c r="J380" s="159" t="s">
        <v>2198</v>
      </c>
      <c r="K380" s="17" t="s">
        <v>139</v>
      </c>
      <c r="L380" s="17" t="s">
        <v>208</v>
      </c>
    </row>
    <row r="381">
      <c r="A381" s="17">
        <v>1.0</v>
      </c>
      <c r="B381" s="158" t="s">
        <v>1491</v>
      </c>
      <c r="D381" s="160" t="s">
        <v>263</v>
      </c>
      <c r="E381" s="158" t="s">
        <v>2154</v>
      </c>
      <c r="G381" s="158" t="s">
        <v>2199</v>
      </c>
      <c r="J381" s="159" t="s">
        <v>2200</v>
      </c>
      <c r="K381" s="17" t="s">
        <v>139</v>
      </c>
      <c r="L381" s="17" t="s">
        <v>208</v>
      </c>
    </row>
    <row r="382">
      <c r="A382" s="17">
        <v>1.0</v>
      </c>
      <c r="B382" s="158" t="s">
        <v>1488</v>
      </c>
      <c r="D382" s="160" t="s">
        <v>263</v>
      </c>
      <c r="E382" s="158" t="s">
        <v>2165</v>
      </c>
      <c r="G382" s="158" t="s">
        <v>2201</v>
      </c>
      <c r="J382" s="159" t="s">
        <v>2202</v>
      </c>
      <c r="K382" s="17" t="s">
        <v>139</v>
      </c>
      <c r="L382" s="17" t="s">
        <v>208</v>
      </c>
    </row>
    <row r="383">
      <c r="A383" s="17">
        <v>1.0</v>
      </c>
      <c r="B383" s="158" t="s">
        <v>1488</v>
      </c>
      <c r="D383" s="160" t="s">
        <v>263</v>
      </c>
      <c r="E383" s="158" t="s">
        <v>2203</v>
      </c>
      <c r="G383" s="158" t="s">
        <v>2204</v>
      </c>
      <c r="J383" s="159" t="s">
        <v>2205</v>
      </c>
      <c r="K383" s="17" t="s">
        <v>139</v>
      </c>
      <c r="L383" s="17" t="s">
        <v>208</v>
      </c>
    </row>
    <row r="384">
      <c r="A384" s="17">
        <v>1.0</v>
      </c>
      <c r="B384" s="158" t="s">
        <v>1488</v>
      </c>
      <c r="D384" s="160" t="s">
        <v>219</v>
      </c>
      <c r="E384" s="158" t="s">
        <v>2146</v>
      </c>
      <c r="G384" s="158" t="s">
        <v>1670</v>
      </c>
      <c r="J384" s="159" t="s">
        <v>2206</v>
      </c>
      <c r="K384" s="17" t="s">
        <v>139</v>
      </c>
      <c r="L384" s="17" t="s">
        <v>208</v>
      </c>
    </row>
    <row r="385">
      <c r="A385" s="17">
        <v>1.0</v>
      </c>
      <c r="B385" s="158" t="s">
        <v>1491</v>
      </c>
      <c r="D385" s="160" t="s">
        <v>263</v>
      </c>
      <c r="E385" s="158" t="s">
        <v>2146</v>
      </c>
      <c r="G385" s="158" t="s">
        <v>2207</v>
      </c>
      <c r="J385" s="159" t="s">
        <v>2208</v>
      </c>
      <c r="K385" s="17" t="s">
        <v>139</v>
      </c>
      <c r="L385" s="17" t="s">
        <v>208</v>
      </c>
    </row>
    <row r="386">
      <c r="A386" s="17">
        <v>1.0</v>
      </c>
      <c r="B386" s="158" t="s">
        <v>1488</v>
      </c>
      <c r="D386" s="158" t="s">
        <v>193</v>
      </c>
      <c r="E386" s="158" t="s">
        <v>2165</v>
      </c>
      <c r="G386" s="158" t="s">
        <v>2209</v>
      </c>
      <c r="J386" s="159" t="s">
        <v>2210</v>
      </c>
      <c r="K386" s="17" t="s">
        <v>139</v>
      </c>
      <c r="L386" s="17" t="s">
        <v>208</v>
      </c>
    </row>
    <row r="387">
      <c r="A387" s="17">
        <v>1.0</v>
      </c>
      <c r="B387" s="158" t="s">
        <v>1488</v>
      </c>
      <c r="D387" s="160" t="s">
        <v>263</v>
      </c>
      <c r="E387" s="158" t="s">
        <v>2113</v>
      </c>
      <c r="G387" s="158" t="s">
        <v>2211</v>
      </c>
      <c r="J387" s="159" t="s">
        <v>2212</v>
      </c>
      <c r="K387" s="17" t="s">
        <v>139</v>
      </c>
      <c r="L387" s="17" t="s">
        <v>208</v>
      </c>
    </row>
    <row r="388">
      <c r="A388" s="17">
        <v>1.0</v>
      </c>
      <c r="B388" s="162" t="s">
        <v>416</v>
      </c>
      <c r="D388" s="158" t="s">
        <v>143</v>
      </c>
      <c r="E388" s="158" t="s">
        <v>2165</v>
      </c>
      <c r="G388" s="158" t="s">
        <v>137</v>
      </c>
      <c r="J388" s="159" t="s">
        <v>2213</v>
      </c>
      <c r="K388" s="17" t="s">
        <v>139</v>
      </c>
      <c r="L388" s="17" t="s">
        <v>208</v>
      </c>
    </row>
    <row r="389">
      <c r="A389" s="17">
        <v>1.0</v>
      </c>
      <c r="B389" s="158" t="s">
        <v>1488</v>
      </c>
      <c r="D389" s="158" t="s">
        <v>416</v>
      </c>
      <c r="E389" s="158" t="s">
        <v>2142</v>
      </c>
      <c r="G389" s="158" t="s">
        <v>2214</v>
      </c>
      <c r="J389" s="159" t="s">
        <v>2215</v>
      </c>
      <c r="K389" s="17" t="s">
        <v>139</v>
      </c>
      <c r="L389" s="17" t="s">
        <v>208</v>
      </c>
    </row>
    <row r="390">
      <c r="A390" s="17">
        <v>1.0</v>
      </c>
      <c r="B390" s="158" t="s">
        <v>1488</v>
      </c>
      <c r="D390" s="160" t="s">
        <v>263</v>
      </c>
      <c r="E390" s="158" t="s">
        <v>2154</v>
      </c>
      <c r="G390" s="158" t="s">
        <v>2216</v>
      </c>
      <c r="J390" s="159" t="s">
        <v>2217</v>
      </c>
      <c r="K390" s="17" t="s">
        <v>139</v>
      </c>
      <c r="L390" s="17" t="s">
        <v>208</v>
      </c>
    </row>
    <row r="391">
      <c r="A391" s="17">
        <v>1.0</v>
      </c>
      <c r="B391" s="158" t="s">
        <v>1488</v>
      </c>
      <c r="D391" s="160" t="s">
        <v>263</v>
      </c>
      <c r="E391" s="158" t="s">
        <v>2146</v>
      </c>
      <c r="G391" s="158" t="s">
        <v>2218</v>
      </c>
      <c r="J391" s="159" t="s">
        <v>2219</v>
      </c>
      <c r="K391" s="17" t="s">
        <v>139</v>
      </c>
      <c r="L391" s="17" t="s">
        <v>208</v>
      </c>
    </row>
    <row r="392">
      <c r="A392" s="17">
        <v>1.0</v>
      </c>
      <c r="B392" s="158" t="s">
        <v>1491</v>
      </c>
      <c r="D392" s="158" t="s">
        <v>416</v>
      </c>
      <c r="E392" s="158" t="s">
        <v>2146</v>
      </c>
      <c r="G392" s="158" t="s">
        <v>137</v>
      </c>
      <c r="J392" s="159" t="s">
        <v>2220</v>
      </c>
      <c r="K392" s="17" t="s">
        <v>139</v>
      </c>
      <c r="L392" s="17" t="s">
        <v>208</v>
      </c>
    </row>
    <row r="393">
      <c r="A393" s="17">
        <v>1.0</v>
      </c>
      <c r="B393" s="158" t="s">
        <v>1488</v>
      </c>
      <c r="D393" s="160" t="s">
        <v>264</v>
      </c>
      <c r="E393" s="158" t="s">
        <v>2165</v>
      </c>
      <c r="G393" s="158" t="s">
        <v>2221</v>
      </c>
      <c r="J393" s="159" t="s">
        <v>2222</v>
      </c>
      <c r="K393" s="17" t="s">
        <v>139</v>
      </c>
      <c r="L393" s="17" t="s">
        <v>208</v>
      </c>
    </row>
    <row r="394">
      <c r="A394" s="17">
        <v>1.0</v>
      </c>
      <c r="B394" s="158" t="s">
        <v>1488</v>
      </c>
      <c r="D394" s="160" t="s">
        <v>210</v>
      </c>
      <c r="E394" s="158" t="s">
        <v>2146</v>
      </c>
      <c r="G394" s="158" t="s">
        <v>2223</v>
      </c>
      <c r="J394" s="159" t="s">
        <v>2224</v>
      </c>
      <c r="K394" s="17" t="s">
        <v>139</v>
      </c>
      <c r="L394" s="17" t="s">
        <v>208</v>
      </c>
    </row>
    <row r="395">
      <c r="A395" s="17">
        <v>1.0</v>
      </c>
      <c r="B395" s="158" t="s">
        <v>1491</v>
      </c>
      <c r="D395" s="160" t="s">
        <v>263</v>
      </c>
      <c r="E395" s="158" t="s">
        <v>2142</v>
      </c>
      <c r="G395" s="158" t="s">
        <v>2225</v>
      </c>
      <c r="J395" s="159" t="s">
        <v>2226</v>
      </c>
      <c r="K395" s="17" t="s">
        <v>139</v>
      </c>
      <c r="L395" s="17" t="s">
        <v>208</v>
      </c>
    </row>
    <row r="396">
      <c r="A396" s="17">
        <v>1.0</v>
      </c>
      <c r="B396" s="158" t="s">
        <v>1491</v>
      </c>
      <c r="D396" s="160" t="s">
        <v>263</v>
      </c>
      <c r="E396" s="158" t="s">
        <v>2146</v>
      </c>
      <c r="G396" s="158" t="s">
        <v>2227</v>
      </c>
      <c r="J396" s="159" t="s">
        <v>2228</v>
      </c>
      <c r="K396" s="17" t="s">
        <v>139</v>
      </c>
      <c r="L396" s="17" t="s">
        <v>208</v>
      </c>
    </row>
    <row r="397">
      <c r="A397" s="17">
        <v>1.0</v>
      </c>
      <c r="B397" s="158" t="s">
        <v>1488</v>
      </c>
      <c r="D397" s="160" t="s">
        <v>263</v>
      </c>
      <c r="E397" s="158" t="s">
        <v>2154</v>
      </c>
      <c r="G397" s="158" t="s">
        <v>2229</v>
      </c>
      <c r="J397" s="159" t="s">
        <v>2230</v>
      </c>
      <c r="K397" s="17" t="s">
        <v>139</v>
      </c>
      <c r="L397" s="17" t="s">
        <v>208</v>
      </c>
    </row>
    <row r="398">
      <c r="A398" s="17">
        <v>1.0</v>
      </c>
      <c r="B398" s="158" t="s">
        <v>1488</v>
      </c>
      <c r="D398" s="158" t="s">
        <v>263</v>
      </c>
      <c r="E398" s="158" t="s">
        <v>2231</v>
      </c>
      <c r="G398" s="158" t="s">
        <v>2232</v>
      </c>
      <c r="J398" s="159" t="s">
        <v>2233</v>
      </c>
      <c r="K398" s="17" t="s">
        <v>139</v>
      </c>
      <c r="L398" s="17" t="s">
        <v>208</v>
      </c>
    </row>
    <row r="399">
      <c r="A399" s="17">
        <v>1.0</v>
      </c>
      <c r="B399" s="158" t="s">
        <v>1488</v>
      </c>
      <c r="D399" s="158" t="s">
        <v>416</v>
      </c>
      <c r="E399" s="158" t="s">
        <v>2154</v>
      </c>
      <c r="G399" s="158" t="s">
        <v>2234</v>
      </c>
      <c r="J399" s="159" t="s">
        <v>2235</v>
      </c>
      <c r="K399" s="17" t="s">
        <v>139</v>
      </c>
      <c r="L399" s="17" t="s">
        <v>208</v>
      </c>
    </row>
    <row r="400">
      <c r="A400" s="17">
        <v>1.0</v>
      </c>
      <c r="B400" s="158" t="s">
        <v>1491</v>
      </c>
      <c r="D400" s="160" t="s">
        <v>263</v>
      </c>
      <c r="E400" s="158" t="s">
        <v>2146</v>
      </c>
      <c r="G400" s="158" t="s">
        <v>2236</v>
      </c>
      <c r="J400" s="159" t="s">
        <v>2237</v>
      </c>
      <c r="K400" s="17" t="s">
        <v>139</v>
      </c>
      <c r="L400" s="17" t="s">
        <v>208</v>
      </c>
    </row>
    <row r="401">
      <c r="A401" s="17">
        <v>1.0</v>
      </c>
      <c r="B401" s="158" t="s">
        <v>1488</v>
      </c>
      <c r="D401" s="160" t="s">
        <v>313</v>
      </c>
      <c r="E401" s="158" t="s">
        <v>2146</v>
      </c>
      <c r="G401" s="158" t="s">
        <v>2238</v>
      </c>
      <c r="J401" s="159" t="s">
        <v>2239</v>
      </c>
      <c r="K401" s="17" t="s">
        <v>139</v>
      </c>
      <c r="L401" s="17" t="s">
        <v>208</v>
      </c>
    </row>
    <row r="402">
      <c r="A402" s="17">
        <v>1.0</v>
      </c>
      <c r="B402" s="158" t="s">
        <v>1491</v>
      </c>
      <c r="D402" s="158" t="s">
        <v>143</v>
      </c>
      <c r="E402" s="158" t="s">
        <v>2113</v>
      </c>
      <c r="G402" s="158" t="s">
        <v>2240</v>
      </c>
      <c r="J402" s="159" t="s">
        <v>2241</v>
      </c>
      <c r="K402" s="17" t="s">
        <v>139</v>
      </c>
      <c r="L402" s="17" t="s">
        <v>208</v>
      </c>
    </row>
    <row r="403">
      <c r="A403" s="17">
        <v>1.0</v>
      </c>
      <c r="B403" s="158" t="s">
        <v>1491</v>
      </c>
      <c r="D403" s="158" t="s">
        <v>143</v>
      </c>
      <c r="E403" s="158" t="s">
        <v>2242</v>
      </c>
      <c r="G403" s="158" t="s">
        <v>137</v>
      </c>
      <c r="J403" s="159" t="s">
        <v>2243</v>
      </c>
      <c r="K403" s="17" t="s">
        <v>139</v>
      </c>
      <c r="L403" s="17" t="s">
        <v>208</v>
      </c>
    </row>
    <row r="404">
      <c r="A404" s="17">
        <v>1.0</v>
      </c>
      <c r="B404" s="158" t="s">
        <v>1488</v>
      </c>
      <c r="D404" s="160" t="s">
        <v>263</v>
      </c>
      <c r="E404" s="158" t="s">
        <v>2146</v>
      </c>
      <c r="G404" s="158" t="s">
        <v>2244</v>
      </c>
      <c r="J404" s="159" t="s">
        <v>2245</v>
      </c>
      <c r="K404" s="17" t="s">
        <v>139</v>
      </c>
      <c r="L404" s="17" t="s">
        <v>208</v>
      </c>
    </row>
    <row r="405">
      <c r="A405" s="17">
        <v>1.0</v>
      </c>
      <c r="B405" s="158" t="s">
        <v>1491</v>
      </c>
      <c r="D405" s="160" t="s">
        <v>258</v>
      </c>
      <c r="E405" s="158" t="s">
        <v>2146</v>
      </c>
      <c r="G405" s="158" t="s">
        <v>2246</v>
      </c>
      <c r="J405" s="159" t="s">
        <v>2247</v>
      </c>
      <c r="K405" s="17" t="s">
        <v>139</v>
      </c>
      <c r="L405" s="17" t="s">
        <v>208</v>
      </c>
    </row>
    <row r="406">
      <c r="A406" s="17">
        <v>1.0</v>
      </c>
      <c r="B406" s="158" t="s">
        <v>1491</v>
      </c>
      <c r="D406" s="160" t="s">
        <v>258</v>
      </c>
      <c r="E406" s="158" t="s">
        <v>2203</v>
      </c>
      <c r="G406" s="158" t="s">
        <v>137</v>
      </c>
      <c r="J406" s="159" t="s">
        <v>2248</v>
      </c>
      <c r="K406" s="17" t="s">
        <v>139</v>
      </c>
      <c r="L406" s="17" t="s">
        <v>208</v>
      </c>
    </row>
    <row r="407">
      <c r="A407" s="17">
        <v>1.0</v>
      </c>
      <c r="B407" s="158" t="s">
        <v>1488</v>
      </c>
      <c r="D407" s="158" t="s">
        <v>134</v>
      </c>
      <c r="E407" s="158" t="s">
        <v>2146</v>
      </c>
      <c r="G407" s="158" t="s">
        <v>2249</v>
      </c>
      <c r="J407" s="159" t="s">
        <v>2250</v>
      </c>
      <c r="K407" s="17" t="s">
        <v>139</v>
      </c>
      <c r="L407" s="17" t="s">
        <v>208</v>
      </c>
    </row>
    <row r="408">
      <c r="A408" s="17">
        <v>1.0</v>
      </c>
      <c r="B408" s="158" t="s">
        <v>1488</v>
      </c>
      <c r="D408" s="158" t="s">
        <v>134</v>
      </c>
      <c r="E408" s="158" t="s">
        <v>2146</v>
      </c>
      <c r="G408" s="158" t="s">
        <v>2251</v>
      </c>
      <c r="J408" s="159" t="s">
        <v>2252</v>
      </c>
      <c r="K408" s="17" t="s">
        <v>139</v>
      </c>
      <c r="L408" s="17" t="s">
        <v>208</v>
      </c>
    </row>
    <row r="409">
      <c r="A409" s="17">
        <v>1.0</v>
      </c>
      <c r="B409" s="158" t="s">
        <v>1491</v>
      </c>
      <c r="D409" s="160" t="s">
        <v>203</v>
      </c>
      <c r="E409" s="158" t="s">
        <v>2142</v>
      </c>
      <c r="G409" s="158" t="s">
        <v>2253</v>
      </c>
      <c r="J409" s="159" t="s">
        <v>2254</v>
      </c>
      <c r="K409" s="17" t="s">
        <v>139</v>
      </c>
      <c r="L409" s="17" t="s">
        <v>208</v>
      </c>
    </row>
    <row r="410">
      <c r="A410" s="17">
        <v>1.0</v>
      </c>
      <c r="B410" s="158" t="s">
        <v>1488</v>
      </c>
      <c r="D410" s="160" t="s">
        <v>263</v>
      </c>
      <c r="E410" s="158" t="s">
        <v>2146</v>
      </c>
      <c r="G410" s="158" t="s">
        <v>2255</v>
      </c>
      <c r="J410" s="159" t="s">
        <v>2256</v>
      </c>
      <c r="K410" s="17" t="s">
        <v>139</v>
      </c>
      <c r="L410" s="17" t="s">
        <v>208</v>
      </c>
    </row>
    <row r="411">
      <c r="A411" s="17">
        <v>1.0</v>
      </c>
      <c r="B411" s="158" t="s">
        <v>1488</v>
      </c>
      <c r="D411" s="158" t="s">
        <v>164</v>
      </c>
      <c r="E411" s="158" t="s">
        <v>2165</v>
      </c>
      <c r="G411" s="158" t="s">
        <v>2257</v>
      </c>
      <c r="J411" s="159" t="s">
        <v>2258</v>
      </c>
      <c r="K411" s="17" t="s">
        <v>139</v>
      </c>
      <c r="L411" s="17" t="s">
        <v>208</v>
      </c>
    </row>
    <row r="412">
      <c r="A412" s="17">
        <v>1.0</v>
      </c>
      <c r="B412" s="158" t="s">
        <v>1488</v>
      </c>
      <c r="D412" s="158" t="s">
        <v>143</v>
      </c>
      <c r="E412" s="158" t="s">
        <v>2113</v>
      </c>
      <c r="G412" s="158" t="s">
        <v>2259</v>
      </c>
      <c r="J412" s="159" t="s">
        <v>2260</v>
      </c>
      <c r="K412" s="17" t="s">
        <v>139</v>
      </c>
      <c r="L412" s="17" t="s">
        <v>208</v>
      </c>
    </row>
    <row r="413">
      <c r="A413" s="17">
        <v>1.0</v>
      </c>
      <c r="B413" s="158" t="s">
        <v>1491</v>
      </c>
      <c r="D413" s="158" t="s">
        <v>202</v>
      </c>
      <c r="E413" s="158" t="s">
        <v>2113</v>
      </c>
      <c r="G413" s="158" t="s">
        <v>2261</v>
      </c>
      <c r="J413" s="159" t="s">
        <v>2262</v>
      </c>
      <c r="K413" s="17" t="s">
        <v>139</v>
      </c>
      <c r="L413" s="17" t="s">
        <v>208</v>
      </c>
    </row>
    <row r="414">
      <c r="A414" s="17">
        <v>1.0</v>
      </c>
      <c r="B414" s="158" t="s">
        <v>1488</v>
      </c>
      <c r="D414" s="160" t="s">
        <v>263</v>
      </c>
      <c r="E414" s="158" t="s">
        <v>2146</v>
      </c>
      <c r="G414" s="158" t="s">
        <v>2263</v>
      </c>
      <c r="J414" s="159" t="s">
        <v>2264</v>
      </c>
      <c r="K414" s="17" t="s">
        <v>139</v>
      </c>
      <c r="L414" s="17" t="s">
        <v>208</v>
      </c>
    </row>
    <row r="415">
      <c r="A415" s="17">
        <v>1.0</v>
      </c>
      <c r="B415" s="158" t="s">
        <v>1488</v>
      </c>
      <c r="D415" s="158" t="s">
        <v>416</v>
      </c>
      <c r="E415" s="158" t="s">
        <v>2165</v>
      </c>
      <c r="G415" s="158" t="s">
        <v>2265</v>
      </c>
      <c r="J415" s="159" t="s">
        <v>2266</v>
      </c>
      <c r="K415" s="17" t="s">
        <v>139</v>
      </c>
      <c r="L415" s="17" t="s">
        <v>208</v>
      </c>
    </row>
    <row r="416">
      <c r="A416" s="17">
        <v>1.0</v>
      </c>
      <c r="B416" s="158" t="s">
        <v>1491</v>
      </c>
      <c r="D416" s="158" t="s">
        <v>134</v>
      </c>
      <c r="E416" s="158" t="s">
        <v>511</v>
      </c>
      <c r="G416" s="158" t="s">
        <v>2267</v>
      </c>
      <c r="J416" s="159" t="s">
        <v>2268</v>
      </c>
      <c r="K416" s="17" t="s">
        <v>139</v>
      </c>
      <c r="L416" s="17" t="s">
        <v>208</v>
      </c>
    </row>
    <row r="417">
      <c r="A417" s="17">
        <v>1.0</v>
      </c>
      <c r="B417" s="158" t="s">
        <v>1488</v>
      </c>
      <c r="D417" s="160" t="s">
        <v>263</v>
      </c>
      <c r="E417" s="158" t="s">
        <v>2146</v>
      </c>
      <c r="G417" s="158" t="s">
        <v>137</v>
      </c>
      <c r="J417" s="159" t="s">
        <v>2269</v>
      </c>
      <c r="K417" s="17" t="s">
        <v>139</v>
      </c>
      <c r="L417" s="17" t="s">
        <v>208</v>
      </c>
    </row>
    <row r="418">
      <c r="A418" s="17">
        <v>1.0</v>
      </c>
      <c r="B418" s="158" t="s">
        <v>1491</v>
      </c>
      <c r="D418" s="160" t="s">
        <v>159</v>
      </c>
      <c r="E418" s="158" t="s">
        <v>2146</v>
      </c>
      <c r="G418" s="158" t="s">
        <v>2270</v>
      </c>
      <c r="J418" s="159" t="s">
        <v>2271</v>
      </c>
      <c r="K418" s="17" t="s">
        <v>139</v>
      </c>
      <c r="L418" s="17" t="s">
        <v>208</v>
      </c>
    </row>
    <row r="419">
      <c r="A419" s="17">
        <v>1.0</v>
      </c>
      <c r="B419" s="158" t="s">
        <v>1488</v>
      </c>
      <c r="D419" s="160" t="s">
        <v>263</v>
      </c>
      <c r="E419" s="158" t="s">
        <v>2146</v>
      </c>
      <c r="G419" s="158" t="s">
        <v>2272</v>
      </c>
      <c r="J419" s="159" t="s">
        <v>2273</v>
      </c>
      <c r="K419" s="17" t="s">
        <v>139</v>
      </c>
      <c r="L419" s="17" t="s">
        <v>208</v>
      </c>
    </row>
    <row r="420">
      <c r="A420" s="17">
        <v>1.0</v>
      </c>
      <c r="B420" s="158" t="s">
        <v>1491</v>
      </c>
      <c r="D420" s="160" t="s">
        <v>263</v>
      </c>
      <c r="E420" s="158" t="s">
        <v>2146</v>
      </c>
      <c r="G420" s="158" t="s">
        <v>2274</v>
      </c>
      <c r="J420" s="159" t="s">
        <v>2275</v>
      </c>
      <c r="K420" s="17" t="s">
        <v>139</v>
      </c>
      <c r="L420" s="17" t="s">
        <v>208</v>
      </c>
    </row>
    <row r="421">
      <c r="A421" s="17">
        <v>1.0</v>
      </c>
      <c r="B421" s="158" t="s">
        <v>1488</v>
      </c>
      <c r="D421" s="160" t="s">
        <v>263</v>
      </c>
      <c r="E421" s="158" t="s">
        <v>2146</v>
      </c>
      <c r="G421" s="158" t="s">
        <v>2276</v>
      </c>
      <c r="J421" s="159" t="s">
        <v>2277</v>
      </c>
      <c r="K421" s="17" t="s">
        <v>139</v>
      </c>
      <c r="L421" s="17" t="s">
        <v>208</v>
      </c>
    </row>
    <row r="422">
      <c r="A422" s="17">
        <v>1.0</v>
      </c>
      <c r="B422" s="158" t="s">
        <v>1488</v>
      </c>
      <c r="D422" s="160" t="s">
        <v>263</v>
      </c>
      <c r="E422" s="158" t="s">
        <v>2165</v>
      </c>
      <c r="G422" s="158" t="s">
        <v>2278</v>
      </c>
      <c r="J422" s="159" t="s">
        <v>2279</v>
      </c>
      <c r="K422" s="17" t="s">
        <v>139</v>
      </c>
      <c r="L422" s="17" t="s">
        <v>208</v>
      </c>
    </row>
    <row r="423">
      <c r="A423" s="17">
        <v>1.0</v>
      </c>
      <c r="B423" s="158" t="s">
        <v>1488</v>
      </c>
      <c r="D423" s="158" t="s">
        <v>164</v>
      </c>
      <c r="E423" s="158" t="s">
        <v>2280</v>
      </c>
      <c r="G423" s="158" t="s">
        <v>2281</v>
      </c>
      <c r="J423" s="159" t="s">
        <v>2282</v>
      </c>
      <c r="K423" s="17" t="s">
        <v>139</v>
      </c>
      <c r="L423" s="17" t="s">
        <v>208</v>
      </c>
    </row>
    <row r="424">
      <c r="A424" s="17">
        <v>1.0</v>
      </c>
      <c r="B424" s="158" t="s">
        <v>1491</v>
      </c>
      <c r="D424" s="161" t="s">
        <v>176</v>
      </c>
      <c r="E424" s="158" t="s">
        <v>2283</v>
      </c>
      <c r="G424" s="158" t="s">
        <v>137</v>
      </c>
      <c r="J424" s="159" t="s">
        <v>2284</v>
      </c>
      <c r="K424" s="17" t="s">
        <v>139</v>
      </c>
      <c r="L424" s="17" t="s">
        <v>208</v>
      </c>
    </row>
    <row r="425">
      <c r="A425" s="17">
        <v>1.0</v>
      </c>
      <c r="B425" s="158" t="s">
        <v>1491</v>
      </c>
      <c r="D425" s="161" t="s">
        <v>176</v>
      </c>
      <c r="E425" s="158" t="s">
        <v>2285</v>
      </c>
      <c r="G425" s="158" t="s">
        <v>2286</v>
      </c>
      <c r="J425" s="159" t="s">
        <v>2287</v>
      </c>
      <c r="K425" s="17" t="s">
        <v>139</v>
      </c>
      <c r="L425" s="17" t="s">
        <v>208</v>
      </c>
    </row>
    <row r="426">
      <c r="A426" s="17">
        <v>1.0</v>
      </c>
      <c r="B426" s="158" t="s">
        <v>1491</v>
      </c>
      <c r="D426" s="158" t="s">
        <v>193</v>
      </c>
      <c r="E426" s="158" t="s">
        <v>2113</v>
      </c>
      <c r="G426" s="158" t="s">
        <v>2288</v>
      </c>
      <c r="J426" s="159" t="s">
        <v>2289</v>
      </c>
      <c r="K426" s="17" t="s">
        <v>139</v>
      </c>
      <c r="L426" s="17" t="s">
        <v>208</v>
      </c>
    </row>
    <row r="427">
      <c r="A427" s="17">
        <v>1.0</v>
      </c>
      <c r="B427" s="158" t="s">
        <v>1491</v>
      </c>
      <c r="D427" s="158" t="s">
        <v>164</v>
      </c>
      <c r="E427" s="158" t="s">
        <v>2113</v>
      </c>
      <c r="G427" s="158" t="s">
        <v>2290</v>
      </c>
      <c r="J427" s="159" t="s">
        <v>2291</v>
      </c>
      <c r="K427" s="17" t="s">
        <v>139</v>
      </c>
      <c r="L427" s="17" t="s">
        <v>208</v>
      </c>
    </row>
    <row r="428">
      <c r="A428" s="17">
        <v>1.0</v>
      </c>
      <c r="B428" s="158" t="s">
        <v>1488</v>
      </c>
      <c r="D428" s="160" t="s">
        <v>263</v>
      </c>
      <c r="E428" s="158" t="s">
        <v>2113</v>
      </c>
      <c r="G428" s="158" t="s">
        <v>2292</v>
      </c>
      <c r="J428" s="159" t="s">
        <v>2293</v>
      </c>
      <c r="K428" s="17" t="s">
        <v>139</v>
      </c>
      <c r="L428" s="17" t="s">
        <v>208</v>
      </c>
    </row>
    <row r="429">
      <c r="A429" s="17">
        <v>1.0</v>
      </c>
      <c r="B429" s="158" t="s">
        <v>1488</v>
      </c>
      <c r="D429" s="158" t="s">
        <v>416</v>
      </c>
      <c r="E429" s="158" t="s">
        <v>2191</v>
      </c>
      <c r="G429" s="158" t="s">
        <v>2294</v>
      </c>
      <c r="J429" s="159" t="s">
        <v>2295</v>
      </c>
      <c r="K429" s="17" t="s">
        <v>139</v>
      </c>
      <c r="L429" s="17" t="s">
        <v>208</v>
      </c>
    </row>
    <row r="430">
      <c r="A430" s="17">
        <v>1.0</v>
      </c>
      <c r="B430" s="158" t="s">
        <v>1491</v>
      </c>
      <c r="D430" s="161" t="s">
        <v>176</v>
      </c>
      <c r="E430" s="158" t="s">
        <v>2113</v>
      </c>
      <c r="G430" s="158" t="s">
        <v>2296</v>
      </c>
      <c r="J430" s="159" t="s">
        <v>2297</v>
      </c>
      <c r="K430" s="17" t="s">
        <v>139</v>
      </c>
      <c r="L430" s="17" t="s">
        <v>208</v>
      </c>
    </row>
    <row r="431">
      <c r="A431" s="17">
        <v>1.0</v>
      </c>
      <c r="B431" s="158" t="s">
        <v>1491</v>
      </c>
      <c r="D431" s="161" t="s">
        <v>233</v>
      </c>
      <c r="E431" s="158" t="s">
        <v>2285</v>
      </c>
      <c r="G431" s="158" t="s">
        <v>2298</v>
      </c>
      <c r="J431" s="159" t="s">
        <v>2299</v>
      </c>
      <c r="K431" s="17" t="s">
        <v>139</v>
      </c>
      <c r="L431" s="17" t="s">
        <v>208</v>
      </c>
    </row>
    <row r="432">
      <c r="A432" s="17">
        <v>1.0</v>
      </c>
      <c r="B432" s="158" t="s">
        <v>1488</v>
      </c>
      <c r="D432" s="160" t="s">
        <v>347</v>
      </c>
      <c r="E432" s="158" t="s">
        <v>2285</v>
      </c>
      <c r="G432" s="158" t="s">
        <v>137</v>
      </c>
      <c r="J432" s="159" t="s">
        <v>2300</v>
      </c>
      <c r="K432" s="17" t="s">
        <v>139</v>
      </c>
      <c r="L432" s="17" t="s">
        <v>208</v>
      </c>
    </row>
    <row r="433">
      <c r="A433" s="17">
        <v>1.0</v>
      </c>
      <c r="B433" s="158" t="s">
        <v>1488</v>
      </c>
      <c r="D433" s="158" t="s">
        <v>143</v>
      </c>
      <c r="E433" s="158" t="s">
        <v>2165</v>
      </c>
      <c r="G433" s="158" t="s">
        <v>2218</v>
      </c>
      <c r="J433" s="159" t="s">
        <v>2301</v>
      </c>
      <c r="K433" s="17" t="s">
        <v>139</v>
      </c>
      <c r="L433" s="17" t="s">
        <v>208</v>
      </c>
    </row>
    <row r="434">
      <c r="A434" s="17">
        <v>1.0</v>
      </c>
      <c r="B434" s="158" t="s">
        <v>1491</v>
      </c>
      <c r="D434" s="158" t="s">
        <v>134</v>
      </c>
      <c r="E434" s="158" t="s">
        <v>2146</v>
      </c>
      <c r="G434" s="158" t="s">
        <v>2302</v>
      </c>
      <c r="J434" s="159" t="s">
        <v>2303</v>
      </c>
      <c r="K434" s="17" t="s">
        <v>139</v>
      </c>
      <c r="L434" s="17" t="s">
        <v>208</v>
      </c>
    </row>
    <row r="435">
      <c r="A435" s="17">
        <v>1.0</v>
      </c>
      <c r="B435" s="158" t="s">
        <v>1488</v>
      </c>
      <c r="D435" s="160" t="s">
        <v>263</v>
      </c>
      <c r="E435" s="158" t="s">
        <v>2191</v>
      </c>
      <c r="G435" s="158" t="s">
        <v>2304</v>
      </c>
      <c r="J435" s="159" t="s">
        <v>2305</v>
      </c>
      <c r="K435" s="17" t="s">
        <v>139</v>
      </c>
      <c r="L435" s="17" t="s">
        <v>208</v>
      </c>
    </row>
    <row r="436">
      <c r="A436" s="17">
        <v>1.0</v>
      </c>
      <c r="B436" s="158" t="s">
        <v>2306</v>
      </c>
      <c r="D436" s="158" t="s">
        <v>416</v>
      </c>
      <c r="E436" s="158" t="s">
        <v>2307</v>
      </c>
      <c r="G436" s="158" t="s">
        <v>2308</v>
      </c>
      <c r="J436" s="159" t="s">
        <v>2309</v>
      </c>
      <c r="K436" s="17" t="s">
        <v>139</v>
      </c>
      <c r="L436" s="17" t="s">
        <v>208</v>
      </c>
    </row>
    <row r="437">
      <c r="A437" s="17">
        <v>1.0</v>
      </c>
      <c r="B437" s="158" t="s">
        <v>1488</v>
      </c>
      <c r="D437" s="160" t="s">
        <v>263</v>
      </c>
      <c r="E437" s="158" t="s">
        <v>2165</v>
      </c>
      <c r="G437" s="158" t="s">
        <v>2310</v>
      </c>
      <c r="J437" s="159" t="s">
        <v>2311</v>
      </c>
      <c r="K437" s="17" t="s">
        <v>139</v>
      </c>
      <c r="L437" s="17" t="s">
        <v>208</v>
      </c>
    </row>
    <row r="438">
      <c r="A438" s="17">
        <v>1.0</v>
      </c>
      <c r="B438" s="158" t="s">
        <v>1488</v>
      </c>
      <c r="D438" s="158" t="s">
        <v>416</v>
      </c>
      <c r="E438" s="158" t="s">
        <v>2242</v>
      </c>
      <c r="G438" s="158" t="s">
        <v>2312</v>
      </c>
      <c r="J438" s="159" t="s">
        <v>2313</v>
      </c>
      <c r="K438" s="17" t="s">
        <v>139</v>
      </c>
      <c r="L438" s="17" t="s">
        <v>208</v>
      </c>
    </row>
    <row r="439">
      <c r="A439" s="17">
        <v>1.0</v>
      </c>
      <c r="B439" s="158" t="s">
        <v>1488</v>
      </c>
      <c r="D439" s="158" t="s">
        <v>416</v>
      </c>
      <c r="E439" s="158" t="s">
        <v>2191</v>
      </c>
      <c r="G439" s="158" t="s">
        <v>2314</v>
      </c>
      <c r="J439" s="159" t="s">
        <v>2315</v>
      </c>
      <c r="K439" s="17" t="s">
        <v>139</v>
      </c>
      <c r="L439" s="17" t="s">
        <v>208</v>
      </c>
    </row>
    <row r="440">
      <c r="A440" s="17">
        <v>1.0</v>
      </c>
      <c r="B440" s="158" t="s">
        <v>1488</v>
      </c>
      <c r="D440" s="158" t="s">
        <v>170</v>
      </c>
      <c r="E440" s="158" t="s">
        <v>2146</v>
      </c>
      <c r="G440" s="158" t="s">
        <v>2316</v>
      </c>
      <c r="J440" s="159" t="s">
        <v>2317</v>
      </c>
      <c r="K440" s="17" t="s">
        <v>139</v>
      </c>
      <c r="L440" s="17" t="s">
        <v>208</v>
      </c>
    </row>
    <row r="441">
      <c r="A441" s="17">
        <v>1.0</v>
      </c>
      <c r="B441" s="158" t="s">
        <v>1491</v>
      </c>
      <c r="D441" s="158" t="s">
        <v>416</v>
      </c>
      <c r="E441" s="158" t="s">
        <v>2146</v>
      </c>
      <c r="G441" s="158" t="s">
        <v>137</v>
      </c>
      <c r="J441" s="159" t="s">
        <v>2318</v>
      </c>
      <c r="K441" s="17" t="s">
        <v>139</v>
      </c>
      <c r="L441" s="17" t="s">
        <v>208</v>
      </c>
    </row>
    <row r="442">
      <c r="A442" s="17">
        <v>1.0</v>
      </c>
      <c r="B442" s="158" t="s">
        <v>1488</v>
      </c>
      <c r="D442" s="160" t="s">
        <v>358</v>
      </c>
      <c r="E442" s="158" t="s">
        <v>2146</v>
      </c>
      <c r="G442" s="158" t="s">
        <v>2319</v>
      </c>
      <c r="J442" s="159" t="s">
        <v>2320</v>
      </c>
      <c r="K442" s="17" t="s">
        <v>139</v>
      </c>
      <c r="L442" s="17" t="s">
        <v>208</v>
      </c>
    </row>
    <row r="443">
      <c r="A443" s="17">
        <v>1.0</v>
      </c>
      <c r="B443" s="158" t="s">
        <v>1491</v>
      </c>
      <c r="D443" s="158" t="s">
        <v>187</v>
      </c>
      <c r="E443" s="158" t="s">
        <v>511</v>
      </c>
      <c r="G443" s="158" t="s">
        <v>2321</v>
      </c>
      <c r="J443" s="159" t="s">
        <v>2322</v>
      </c>
      <c r="K443" s="17" t="s">
        <v>139</v>
      </c>
      <c r="L443" s="17" t="s">
        <v>208</v>
      </c>
    </row>
    <row r="444">
      <c r="A444" s="17">
        <v>1.0</v>
      </c>
      <c r="B444" s="158" t="s">
        <v>1488</v>
      </c>
      <c r="D444" s="160" t="s">
        <v>358</v>
      </c>
      <c r="E444" s="158" t="s">
        <v>2165</v>
      </c>
      <c r="G444" s="158" t="s">
        <v>2323</v>
      </c>
      <c r="J444" s="159" t="s">
        <v>2324</v>
      </c>
      <c r="K444" s="17" t="s">
        <v>139</v>
      </c>
      <c r="L444" s="17" t="s">
        <v>208</v>
      </c>
    </row>
    <row r="445">
      <c r="A445" s="17">
        <v>1.0</v>
      </c>
      <c r="B445" s="158" t="s">
        <v>1488</v>
      </c>
      <c r="D445" s="160" t="s">
        <v>416</v>
      </c>
      <c r="E445" s="158" t="s">
        <v>2165</v>
      </c>
      <c r="G445" s="158" t="s">
        <v>2325</v>
      </c>
      <c r="J445" s="159" t="s">
        <v>2326</v>
      </c>
      <c r="K445" s="17" t="s">
        <v>139</v>
      </c>
      <c r="L445" s="17" t="s">
        <v>208</v>
      </c>
    </row>
    <row r="446">
      <c r="A446" s="17">
        <v>1.0</v>
      </c>
      <c r="B446" s="158" t="s">
        <v>1488</v>
      </c>
      <c r="D446" s="158" t="s">
        <v>187</v>
      </c>
      <c r="E446" s="158" t="s">
        <v>2154</v>
      </c>
      <c r="G446" s="158" t="s">
        <v>2327</v>
      </c>
      <c r="J446" s="159" t="s">
        <v>2328</v>
      </c>
      <c r="K446" s="17" t="s">
        <v>139</v>
      </c>
      <c r="L446" s="17" t="s">
        <v>208</v>
      </c>
    </row>
    <row r="447">
      <c r="A447" s="17">
        <v>1.0</v>
      </c>
      <c r="B447" s="158" t="s">
        <v>1491</v>
      </c>
      <c r="D447" s="158" t="s">
        <v>218</v>
      </c>
      <c r="E447" s="158" t="s">
        <v>2113</v>
      </c>
      <c r="G447" s="158" t="s">
        <v>2329</v>
      </c>
      <c r="J447" s="159" t="s">
        <v>2330</v>
      </c>
      <c r="K447" s="17" t="s">
        <v>139</v>
      </c>
      <c r="L447" s="17" t="s">
        <v>208</v>
      </c>
    </row>
    <row r="448">
      <c r="A448" s="17">
        <v>1.0</v>
      </c>
      <c r="B448" s="158" t="s">
        <v>1491</v>
      </c>
      <c r="D448" s="158" t="s">
        <v>164</v>
      </c>
      <c r="E448" s="158" t="s">
        <v>2146</v>
      </c>
      <c r="G448" s="158" t="s">
        <v>2331</v>
      </c>
      <c r="J448" s="159" t="s">
        <v>2332</v>
      </c>
      <c r="K448" s="17" t="s">
        <v>139</v>
      </c>
      <c r="L448" s="17" t="s">
        <v>208</v>
      </c>
    </row>
    <row r="449">
      <c r="A449" s="17">
        <v>1.0</v>
      </c>
      <c r="B449" s="158" t="s">
        <v>1488</v>
      </c>
      <c r="D449" s="158" t="s">
        <v>164</v>
      </c>
      <c r="E449" s="158" t="s">
        <v>2113</v>
      </c>
      <c r="G449" s="158" t="s">
        <v>2333</v>
      </c>
      <c r="J449" s="159" t="s">
        <v>2334</v>
      </c>
      <c r="K449" s="17" t="s">
        <v>139</v>
      </c>
      <c r="L449" s="17" t="s">
        <v>208</v>
      </c>
    </row>
    <row r="450">
      <c r="A450" s="17">
        <v>1.0</v>
      </c>
      <c r="B450" s="158" t="s">
        <v>1491</v>
      </c>
      <c r="D450" s="158" t="s">
        <v>164</v>
      </c>
      <c r="E450" s="158" t="s">
        <v>2113</v>
      </c>
      <c r="G450" s="158" t="s">
        <v>2335</v>
      </c>
      <c r="J450" s="159" t="s">
        <v>2336</v>
      </c>
      <c r="K450" s="17" t="s">
        <v>139</v>
      </c>
      <c r="L450" s="17" t="s">
        <v>208</v>
      </c>
    </row>
    <row r="451">
      <c r="A451" s="17">
        <v>1.0</v>
      </c>
      <c r="B451" s="158" t="s">
        <v>1491</v>
      </c>
      <c r="D451" s="158" t="s">
        <v>193</v>
      </c>
      <c r="E451" s="158" t="s">
        <v>2146</v>
      </c>
      <c r="G451" s="158" t="s">
        <v>2337</v>
      </c>
      <c r="J451" s="159" t="s">
        <v>2338</v>
      </c>
      <c r="K451" s="17" t="s">
        <v>139</v>
      </c>
      <c r="L451" s="17" t="s">
        <v>208</v>
      </c>
    </row>
    <row r="452">
      <c r="A452" s="17">
        <v>1.0</v>
      </c>
      <c r="B452" s="158" t="s">
        <v>1488</v>
      </c>
      <c r="D452" s="160" t="s">
        <v>358</v>
      </c>
      <c r="E452" s="158" t="s">
        <v>2146</v>
      </c>
      <c r="G452" s="158" t="s">
        <v>2339</v>
      </c>
      <c r="J452" s="159" t="s">
        <v>2340</v>
      </c>
      <c r="K452" s="17" t="s">
        <v>139</v>
      </c>
      <c r="L452" s="17" t="s">
        <v>208</v>
      </c>
    </row>
    <row r="453">
      <c r="A453" s="17">
        <v>1.0</v>
      </c>
      <c r="B453" s="158" t="s">
        <v>1491</v>
      </c>
      <c r="D453" s="160" t="s">
        <v>263</v>
      </c>
      <c r="E453" s="158" t="s">
        <v>2146</v>
      </c>
      <c r="G453" s="158" t="s">
        <v>2341</v>
      </c>
      <c r="J453" s="159" t="s">
        <v>2342</v>
      </c>
      <c r="K453" s="17" t="s">
        <v>139</v>
      </c>
      <c r="L453" s="17" t="s">
        <v>208</v>
      </c>
    </row>
    <row r="454">
      <c r="A454" s="17">
        <v>1.0</v>
      </c>
      <c r="B454" s="158" t="s">
        <v>1488</v>
      </c>
      <c r="D454" s="161" t="s">
        <v>176</v>
      </c>
      <c r="E454" s="158" t="s">
        <v>983</v>
      </c>
      <c r="G454" s="158" t="s">
        <v>349</v>
      </c>
      <c r="J454" s="159" t="s">
        <v>2343</v>
      </c>
      <c r="K454" s="17" t="s">
        <v>139</v>
      </c>
      <c r="L454" s="17" t="s">
        <v>208</v>
      </c>
    </row>
    <row r="455">
      <c r="A455" s="17">
        <v>1.0</v>
      </c>
      <c r="B455" s="158" t="s">
        <v>1491</v>
      </c>
      <c r="D455" s="158" t="s">
        <v>263</v>
      </c>
      <c r="E455" s="158" t="s">
        <v>2142</v>
      </c>
      <c r="G455" s="158" t="s">
        <v>2344</v>
      </c>
      <c r="J455" s="159" t="s">
        <v>2345</v>
      </c>
      <c r="K455" s="17" t="s">
        <v>139</v>
      </c>
      <c r="L455" s="17" t="s">
        <v>208</v>
      </c>
    </row>
    <row r="456">
      <c r="A456" s="17">
        <v>1.0</v>
      </c>
      <c r="B456" s="158" t="s">
        <v>1491</v>
      </c>
      <c r="D456" s="160" t="s">
        <v>263</v>
      </c>
      <c r="E456" s="158" t="s">
        <v>2142</v>
      </c>
      <c r="G456" s="158" t="s">
        <v>2346</v>
      </c>
      <c r="J456" s="159" t="s">
        <v>2347</v>
      </c>
      <c r="K456" s="17" t="s">
        <v>139</v>
      </c>
      <c r="L456" s="17" t="s">
        <v>208</v>
      </c>
    </row>
    <row r="457">
      <c r="A457" s="17">
        <v>1.0</v>
      </c>
      <c r="B457" s="158" t="s">
        <v>1488</v>
      </c>
      <c r="D457" s="160" t="s">
        <v>263</v>
      </c>
      <c r="E457" s="158" t="s">
        <v>2146</v>
      </c>
      <c r="G457" s="158" t="s">
        <v>2348</v>
      </c>
      <c r="J457" s="159" t="s">
        <v>2349</v>
      </c>
      <c r="K457" s="17" t="s">
        <v>139</v>
      </c>
      <c r="L457" s="17" t="s">
        <v>208</v>
      </c>
    </row>
    <row r="458">
      <c r="A458" s="17">
        <v>1.0</v>
      </c>
      <c r="B458" s="158" t="s">
        <v>1488</v>
      </c>
      <c r="D458" s="160" t="s">
        <v>263</v>
      </c>
      <c r="E458" s="158" t="s">
        <v>2165</v>
      </c>
      <c r="G458" s="158" t="s">
        <v>137</v>
      </c>
      <c r="J458" s="159" t="s">
        <v>2350</v>
      </c>
      <c r="K458" s="17" t="s">
        <v>139</v>
      </c>
      <c r="L458" s="17" t="s">
        <v>208</v>
      </c>
    </row>
    <row r="459">
      <c r="A459" s="17">
        <v>1.0</v>
      </c>
      <c r="B459" s="162" t="s">
        <v>416</v>
      </c>
      <c r="D459" s="160" t="s">
        <v>263</v>
      </c>
      <c r="E459" s="158" t="s">
        <v>2146</v>
      </c>
      <c r="G459" s="158" t="s">
        <v>2351</v>
      </c>
      <c r="J459" s="159" t="s">
        <v>2352</v>
      </c>
      <c r="K459" s="17" t="s">
        <v>139</v>
      </c>
      <c r="L459" s="17" t="s">
        <v>208</v>
      </c>
    </row>
    <row r="460">
      <c r="A460" s="17">
        <v>1.0</v>
      </c>
      <c r="B460" s="162" t="s">
        <v>416</v>
      </c>
      <c r="D460" s="160" t="s">
        <v>263</v>
      </c>
      <c r="E460" s="158" t="s">
        <v>2203</v>
      </c>
      <c r="G460" s="158" t="s">
        <v>2353</v>
      </c>
      <c r="J460" s="159" t="s">
        <v>2354</v>
      </c>
      <c r="K460" s="17" t="s">
        <v>139</v>
      </c>
      <c r="L460" s="17" t="s">
        <v>208</v>
      </c>
    </row>
    <row r="461">
      <c r="A461" s="17">
        <v>1.0</v>
      </c>
      <c r="B461" s="158" t="s">
        <v>1488</v>
      </c>
      <c r="D461" s="160" t="s">
        <v>263</v>
      </c>
      <c r="E461" s="158" t="s">
        <v>2146</v>
      </c>
      <c r="G461" s="158" t="s">
        <v>2355</v>
      </c>
      <c r="J461" s="159" t="s">
        <v>2356</v>
      </c>
      <c r="K461" s="17" t="s">
        <v>139</v>
      </c>
      <c r="L461" s="17" t="s">
        <v>208</v>
      </c>
    </row>
    <row r="462">
      <c r="A462" s="17">
        <v>1.0</v>
      </c>
      <c r="B462" s="158" t="s">
        <v>1488</v>
      </c>
      <c r="D462" s="160" t="s">
        <v>263</v>
      </c>
      <c r="E462" s="158" t="s">
        <v>2146</v>
      </c>
      <c r="G462" s="158" t="s">
        <v>2357</v>
      </c>
      <c r="J462" s="159" t="s">
        <v>2358</v>
      </c>
      <c r="K462" s="17" t="s">
        <v>139</v>
      </c>
      <c r="L462" s="17" t="s">
        <v>208</v>
      </c>
    </row>
    <row r="463">
      <c r="A463" s="17">
        <v>1.0</v>
      </c>
      <c r="B463" s="158" t="s">
        <v>1491</v>
      </c>
      <c r="D463" s="158" t="s">
        <v>416</v>
      </c>
      <c r="E463" s="158" t="s">
        <v>2146</v>
      </c>
      <c r="G463" s="158" t="s">
        <v>2359</v>
      </c>
      <c r="J463" s="159" t="s">
        <v>2360</v>
      </c>
      <c r="K463" s="17" t="s">
        <v>139</v>
      </c>
      <c r="L463" s="17" t="s">
        <v>208</v>
      </c>
    </row>
    <row r="464">
      <c r="A464" s="17">
        <v>1.0</v>
      </c>
      <c r="B464" s="158" t="s">
        <v>1491</v>
      </c>
      <c r="D464" s="160" t="s">
        <v>263</v>
      </c>
      <c r="E464" s="158" t="s">
        <v>2146</v>
      </c>
      <c r="G464" s="158" t="s">
        <v>1609</v>
      </c>
      <c r="J464" s="159" t="s">
        <v>2361</v>
      </c>
      <c r="K464" s="17" t="s">
        <v>139</v>
      </c>
      <c r="L464" s="17" t="s">
        <v>208</v>
      </c>
    </row>
    <row r="465">
      <c r="A465" s="17">
        <v>1.0</v>
      </c>
      <c r="B465" s="158" t="s">
        <v>1491</v>
      </c>
      <c r="D465" s="160" t="s">
        <v>263</v>
      </c>
      <c r="E465" s="158" t="s">
        <v>2146</v>
      </c>
      <c r="G465" s="158" t="s">
        <v>2362</v>
      </c>
      <c r="J465" s="159" t="s">
        <v>2363</v>
      </c>
      <c r="K465" s="17" t="s">
        <v>139</v>
      </c>
      <c r="L465" s="17" t="s">
        <v>208</v>
      </c>
    </row>
    <row r="466">
      <c r="A466" s="17">
        <v>1.0</v>
      </c>
      <c r="B466" s="158" t="s">
        <v>1491</v>
      </c>
      <c r="D466" s="160" t="s">
        <v>263</v>
      </c>
      <c r="E466" s="158" t="s">
        <v>2146</v>
      </c>
      <c r="G466" s="158" t="s">
        <v>137</v>
      </c>
      <c r="J466" s="159" t="s">
        <v>2364</v>
      </c>
      <c r="K466" s="17" t="s">
        <v>139</v>
      </c>
      <c r="L466" s="17" t="s">
        <v>208</v>
      </c>
    </row>
    <row r="467">
      <c r="A467" s="17">
        <v>1.0</v>
      </c>
      <c r="B467" s="158" t="s">
        <v>1488</v>
      </c>
      <c r="D467" s="160" t="s">
        <v>263</v>
      </c>
      <c r="E467" s="158" t="s">
        <v>2165</v>
      </c>
      <c r="G467" s="158" t="s">
        <v>137</v>
      </c>
      <c r="J467" s="159" t="s">
        <v>2365</v>
      </c>
      <c r="K467" s="17" t="s">
        <v>139</v>
      </c>
      <c r="L467" s="17" t="s">
        <v>208</v>
      </c>
    </row>
    <row r="468">
      <c r="A468" s="17">
        <v>1.0</v>
      </c>
      <c r="B468" s="158" t="s">
        <v>1488</v>
      </c>
      <c r="D468" s="160" t="s">
        <v>263</v>
      </c>
      <c r="E468" s="158" t="s">
        <v>2203</v>
      </c>
      <c r="G468" s="158" t="s">
        <v>1609</v>
      </c>
      <c r="J468" s="159" t="s">
        <v>2366</v>
      </c>
      <c r="K468" s="17" t="s">
        <v>139</v>
      </c>
      <c r="L468" s="17" t="s">
        <v>208</v>
      </c>
    </row>
    <row r="469">
      <c r="A469" s="17">
        <v>1.0</v>
      </c>
      <c r="B469" s="158" t="s">
        <v>1488</v>
      </c>
      <c r="D469" s="160" t="s">
        <v>263</v>
      </c>
      <c r="E469" s="158" t="s">
        <v>2165</v>
      </c>
      <c r="G469" s="158" t="s">
        <v>2367</v>
      </c>
      <c r="J469" s="159" t="s">
        <v>2368</v>
      </c>
      <c r="K469" s="17" t="s">
        <v>139</v>
      </c>
      <c r="L469" s="17" t="s">
        <v>208</v>
      </c>
    </row>
    <row r="470">
      <c r="A470" s="17">
        <v>1.0</v>
      </c>
      <c r="B470" s="158" t="s">
        <v>1488</v>
      </c>
      <c r="D470" s="160" t="s">
        <v>263</v>
      </c>
      <c r="E470" s="158" t="s">
        <v>2146</v>
      </c>
      <c r="G470" s="158" t="s">
        <v>2369</v>
      </c>
      <c r="J470" s="159" t="s">
        <v>2370</v>
      </c>
      <c r="K470" s="17" t="s">
        <v>139</v>
      </c>
      <c r="L470" s="17" t="s">
        <v>208</v>
      </c>
    </row>
    <row r="471">
      <c r="A471" s="17">
        <v>1.0</v>
      </c>
      <c r="B471" s="158" t="s">
        <v>1488</v>
      </c>
      <c r="D471" s="158" t="s">
        <v>416</v>
      </c>
      <c r="E471" s="158" t="s">
        <v>2146</v>
      </c>
      <c r="G471" s="158" t="s">
        <v>137</v>
      </c>
      <c r="J471" s="159" t="s">
        <v>2371</v>
      </c>
      <c r="K471" s="17" t="s">
        <v>139</v>
      </c>
      <c r="L471" s="17" t="s">
        <v>208</v>
      </c>
    </row>
    <row r="472">
      <c r="A472" s="17">
        <v>1.0</v>
      </c>
      <c r="B472" s="158" t="s">
        <v>1488</v>
      </c>
      <c r="D472" s="160" t="s">
        <v>263</v>
      </c>
      <c r="E472" s="158" t="s">
        <v>2203</v>
      </c>
      <c r="G472" s="158" t="s">
        <v>2372</v>
      </c>
      <c r="J472" s="159" t="s">
        <v>2373</v>
      </c>
      <c r="K472" s="17" t="s">
        <v>139</v>
      </c>
      <c r="L472" s="17" t="s">
        <v>208</v>
      </c>
    </row>
    <row r="473">
      <c r="A473" s="17">
        <v>1.0</v>
      </c>
      <c r="B473" s="158" t="s">
        <v>1488</v>
      </c>
      <c r="D473" s="158" t="s">
        <v>416</v>
      </c>
      <c r="E473" s="158" t="s">
        <v>2146</v>
      </c>
      <c r="G473" s="158" t="s">
        <v>2374</v>
      </c>
      <c r="J473" s="159" t="s">
        <v>2375</v>
      </c>
      <c r="K473" s="17" t="s">
        <v>139</v>
      </c>
      <c r="L473" s="17" t="s">
        <v>208</v>
      </c>
    </row>
    <row r="474">
      <c r="A474" s="17">
        <v>1.0</v>
      </c>
      <c r="B474" s="158" t="s">
        <v>1488</v>
      </c>
      <c r="D474" s="158" t="s">
        <v>218</v>
      </c>
      <c r="E474" s="158" t="s">
        <v>2154</v>
      </c>
      <c r="G474" s="158" t="s">
        <v>1609</v>
      </c>
      <c r="J474" s="159" t="s">
        <v>2376</v>
      </c>
      <c r="K474" s="17" t="s">
        <v>139</v>
      </c>
      <c r="L474" s="17" t="s">
        <v>208</v>
      </c>
    </row>
    <row r="475">
      <c r="A475" s="17">
        <v>1.0</v>
      </c>
      <c r="B475" s="158" t="s">
        <v>1488</v>
      </c>
      <c r="D475" s="160" t="s">
        <v>263</v>
      </c>
      <c r="E475" s="158" t="s">
        <v>2165</v>
      </c>
      <c r="G475" s="158" t="s">
        <v>2377</v>
      </c>
      <c r="J475" s="159" t="s">
        <v>2378</v>
      </c>
      <c r="K475" s="17" t="s">
        <v>139</v>
      </c>
      <c r="L475" s="17" t="s">
        <v>208</v>
      </c>
    </row>
    <row r="476">
      <c r="A476" s="17">
        <v>1.0</v>
      </c>
      <c r="B476" s="158" t="s">
        <v>1488</v>
      </c>
      <c r="D476" s="160" t="s">
        <v>263</v>
      </c>
      <c r="E476" s="158" t="s">
        <v>2146</v>
      </c>
      <c r="G476" s="158" t="s">
        <v>2379</v>
      </c>
      <c r="J476" s="159" t="s">
        <v>2380</v>
      </c>
      <c r="K476" s="17" t="s">
        <v>139</v>
      </c>
      <c r="L476" s="17" t="s">
        <v>208</v>
      </c>
    </row>
    <row r="477">
      <c r="A477" s="17">
        <v>1.0</v>
      </c>
      <c r="B477" s="158" t="s">
        <v>1488</v>
      </c>
      <c r="D477" s="160" t="s">
        <v>219</v>
      </c>
      <c r="E477" s="158" t="s">
        <v>2113</v>
      </c>
      <c r="G477" s="158" t="s">
        <v>2381</v>
      </c>
      <c r="J477" s="159" t="s">
        <v>2382</v>
      </c>
      <c r="K477" s="17" t="s">
        <v>139</v>
      </c>
      <c r="L477" s="17" t="s">
        <v>208</v>
      </c>
    </row>
    <row r="478">
      <c r="A478" s="17">
        <v>1.0</v>
      </c>
      <c r="B478" s="158" t="s">
        <v>1488</v>
      </c>
      <c r="D478" s="160" t="s">
        <v>263</v>
      </c>
      <c r="E478" s="158" t="s">
        <v>2146</v>
      </c>
      <c r="G478" s="158" t="s">
        <v>2383</v>
      </c>
      <c r="J478" s="159" t="s">
        <v>2384</v>
      </c>
      <c r="K478" s="17" t="s">
        <v>139</v>
      </c>
      <c r="L478" s="17" t="s">
        <v>208</v>
      </c>
    </row>
    <row r="479">
      <c r="A479" s="17">
        <v>1.0</v>
      </c>
      <c r="B479" s="158" t="s">
        <v>1488</v>
      </c>
      <c r="D479" s="158" t="s">
        <v>416</v>
      </c>
      <c r="E479" s="158" t="s">
        <v>2146</v>
      </c>
      <c r="G479" s="158" t="s">
        <v>2385</v>
      </c>
      <c r="J479" s="159" t="s">
        <v>2386</v>
      </c>
      <c r="K479" s="17" t="s">
        <v>139</v>
      </c>
      <c r="L479" s="17" t="s">
        <v>208</v>
      </c>
    </row>
    <row r="480">
      <c r="A480" s="17">
        <v>1.0</v>
      </c>
      <c r="B480" s="158" t="s">
        <v>1488</v>
      </c>
      <c r="D480" s="158" t="s">
        <v>248</v>
      </c>
      <c r="E480" s="158" t="s">
        <v>2146</v>
      </c>
      <c r="G480" s="158" t="s">
        <v>2387</v>
      </c>
      <c r="J480" s="159" t="s">
        <v>2388</v>
      </c>
      <c r="K480" s="17" t="s">
        <v>139</v>
      </c>
      <c r="L480" s="17" t="s">
        <v>208</v>
      </c>
    </row>
    <row r="481">
      <c r="A481" s="17">
        <v>1.0</v>
      </c>
      <c r="B481" s="158" t="s">
        <v>1488</v>
      </c>
      <c r="D481" s="160" t="s">
        <v>263</v>
      </c>
      <c r="E481" s="158" t="s">
        <v>2146</v>
      </c>
      <c r="G481" s="158" t="s">
        <v>2389</v>
      </c>
      <c r="J481" s="159" t="s">
        <v>2390</v>
      </c>
      <c r="K481" s="17" t="s">
        <v>139</v>
      </c>
      <c r="L481" s="17" t="s">
        <v>208</v>
      </c>
    </row>
    <row r="482">
      <c r="A482" s="17">
        <v>1.0</v>
      </c>
      <c r="B482" s="158" t="s">
        <v>1488</v>
      </c>
      <c r="D482" s="158" t="s">
        <v>416</v>
      </c>
      <c r="E482" s="158" t="s">
        <v>2113</v>
      </c>
      <c r="G482" s="158" t="s">
        <v>2391</v>
      </c>
      <c r="J482" s="159" t="s">
        <v>2392</v>
      </c>
      <c r="K482" s="17" t="s">
        <v>139</v>
      </c>
      <c r="L482" s="17" t="s">
        <v>208</v>
      </c>
    </row>
    <row r="483">
      <c r="A483" s="17">
        <v>1.0</v>
      </c>
      <c r="B483" s="158" t="s">
        <v>1488</v>
      </c>
      <c r="D483" s="160" t="s">
        <v>140</v>
      </c>
      <c r="E483" s="158" t="s">
        <v>2113</v>
      </c>
      <c r="G483" s="158" t="s">
        <v>2393</v>
      </c>
      <c r="J483" s="159" t="s">
        <v>2394</v>
      </c>
      <c r="K483" s="17" t="s">
        <v>139</v>
      </c>
      <c r="L483" s="17" t="s">
        <v>208</v>
      </c>
    </row>
    <row r="484">
      <c r="A484" s="17">
        <v>1.0</v>
      </c>
      <c r="B484" s="158" t="s">
        <v>1488</v>
      </c>
      <c r="D484" s="160" t="s">
        <v>263</v>
      </c>
      <c r="E484" s="158" t="s">
        <v>2146</v>
      </c>
      <c r="G484" s="158" t="s">
        <v>2395</v>
      </c>
      <c r="J484" s="159" t="s">
        <v>2396</v>
      </c>
      <c r="K484" s="17" t="s">
        <v>139</v>
      </c>
      <c r="L484" s="17" t="s">
        <v>208</v>
      </c>
    </row>
    <row r="485">
      <c r="A485" s="17">
        <v>1.0</v>
      </c>
      <c r="B485" s="158" t="s">
        <v>1488</v>
      </c>
      <c r="D485" s="160" t="s">
        <v>263</v>
      </c>
      <c r="E485" s="158" t="s">
        <v>2113</v>
      </c>
      <c r="G485" s="158" t="s">
        <v>2397</v>
      </c>
      <c r="J485" s="159" t="s">
        <v>2398</v>
      </c>
      <c r="K485" s="17" t="s">
        <v>139</v>
      </c>
      <c r="L485" s="17" t="s">
        <v>208</v>
      </c>
    </row>
    <row r="486">
      <c r="A486" s="17">
        <v>1.0</v>
      </c>
      <c r="B486" s="158" t="s">
        <v>1491</v>
      </c>
      <c r="D486" s="161" t="s">
        <v>153</v>
      </c>
      <c r="E486" s="158" t="s">
        <v>2165</v>
      </c>
      <c r="G486" s="158" t="s">
        <v>2399</v>
      </c>
      <c r="J486" s="159" t="s">
        <v>2400</v>
      </c>
      <c r="K486" s="17" t="s">
        <v>139</v>
      </c>
      <c r="L486" s="17" t="s">
        <v>208</v>
      </c>
    </row>
    <row r="487">
      <c r="A487" s="17">
        <v>1.0</v>
      </c>
      <c r="B487" s="158" t="s">
        <v>1488</v>
      </c>
      <c r="D487" s="160" t="s">
        <v>159</v>
      </c>
      <c r="E487" s="158" t="s">
        <v>2146</v>
      </c>
      <c r="G487" s="158" t="s">
        <v>2401</v>
      </c>
      <c r="J487" s="159" t="s">
        <v>2402</v>
      </c>
      <c r="K487" s="17" t="s">
        <v>139</v>
      </c>
      <c r="L487" s="17" t="s">
        <v>208</v>
      </c>
    </row>
    <row r="488">
      <c r="A488" s="17">
        <v>1.0</v>
      </c>
      <c r="B488" s="158" t="s">
        <v>1488</v>
      </c>
      <c r="D488" s="158" t="s">
        <v>416</v>
      </c>
      <c r="E488" s="158" t="s">
        <v>2191</v>
      </c>
      <c r="G488" s="158" t="s">
        <v>647</v>
      </c>
      <c r="J488" s="159" t="s">
        <v>2403</v>
      </c>
      <c r="K488" s="17" t="s">
        <v>139</v>
      </c>
      <c r="L488" s="17" t="s">
        <v>208</v>
      </c>
    </row>
    <row r="489">
      <c r="A489" s="17">
        <v>1.0</v>
      </c>
      <c r="B489" s="158" t="s">
        <v>1488</v>
      </c>
      <c r="D489" s="160" t="s">
        <v>263</v>
      </c>
      <c r="E489" s="158" t="s">
        <v>2165</v>
      </c>
      <c r="G489" s="158" t="s">
        <v>2404</v>
      </c>
      <c r="J489" s="159" t="s">
        <v>2405</v>
      </c>
      <c r="K489" s="17" t="s">
        <v>139</v>
      </c>
      <c r="L489" s="17" t="s">
        <v>208</v>
      </c>
    </row>
    <row r="490">
      <c r="A490" s="17">
        <v>1.0</v>
      </c>
      <c r="B490" s="158" t="s">
        <v>1488</v>
      </c>
      <c r="D490" s="160" t="s">
        <v>214</v>
      </c>
      <c r="E490" s="158" t="s">
        <v>2113</v>
      </c>
      <c r="G490" s="158" t="s">
        <v>2406</v>
      </c>
      <c r="J490" s="159" t="s">
        <v>2407</v>
      </c>
      <c r="K490" s="17" t="s">
        <v>139</v>
      </c>
      <c r="L490" s="17" t="s">
        <v>208</v>
      </c>
    </row>
    <row r="491">
      <c r="A491" s="17">
        <v>1.0</v>
      </c>
      <c r="B491" s="158" t="s">
        <v>1488</v>
      </c>
      <c r="D491" s="158" t="s">
        <v>193</v>
      </c>
      <c r="E491" s="158" t="s">
        <v>2146</v>
      </c>
      <c r="G491" s="158" t="s">
        <v>2408</v>
      </c>
      <c r="J491" s="159" t="s">
        <v>2409</v>
      </c>
      <c r="K491" s="17" t="s">
        <v>139</v>
      </c>
      <c r="L491" s="17" t="s">
        <v>208</v>
      </c>
    </row>
    <row r="492">
      <c r="A492" s="17">
        <v>1.0</v>
      </c>
      <c r="B492" s="158" t="s">
        <v>1491</v>
      </c>
      <c r="D492" s="160" t="s">
        <v>263</v>
      </c>
      <c r="E492" s="158" t="s">
        <v>2242</v>
      </c>
      <c r="G492" s="158" t="s">
        <v>2410</v>
      </c>
      <c r="J492" s="159" t="s">
        <v>2411</v>
      </c>
      <c r="K492" s="17" t="s">
        <v>139</v>
      </c>
      <c r="L492" s="17" t="s">
        <v>208</v>
      </c>
    </row>
    <row r="493">
      <c r="A493" s="17">
        <v>1.0</v>
      </c>
      <c r="B493" s="158" t="s">
        <v>1488</v>
      </c>
      <c r="D493" s="160" t="s">
        <v>263</v>
      </c>
      <c r="E493" s="158" t="s">
        <v>2165</v>
      </c>
      <c r="G493" s="158" t="s">
        <v>2412</v>
      </c>
      <c r="J493" s="159" t="s">
        <v>2413</v>
      </c>
      <c r="K493" s="17" t="s">
        <v>139</v>
      </c>
      <c r="L493" s="17" t="s">
        <v>208</v>
      </c>
    </row>
    <row r="494">
      <c r="A494" s="17">
        <v>1.0</v>
      </c>
      <c r="B494" s="158" t="s">
        <v>1488</v>
      </c>
      <c r="D494" s="160" t="s">
        <v>203</v>
      </c>
      <c r="E494" s="158" t="s">
        <v>2285</v>
      </c>
      <c r="G494" s="158" t="s">
        <v>2414</v>
      </c>
      <c r="J494" s="159" t="s">
        <v>2415</v>
      </c>
      <c r="K494" s="17" t="s">
        <v>139</v>
      </c>
      <c r="L494" s="17" t="s">
        <v>208</v>
      </c>
    </row>
    <row r="495">
      <c r="A495" s="17">
        <v>1.0</v>
      </c>
      <c r="B495" s="158" t="s">
        <v>1488</v>
      </c>
      <c r="D495" s="158" t="s">
        <v>187</v>
      </c>
      <c r="E495" s="158" t="s">
        <v>2416</v>
      </c>
      <c r="G495" s="158" t="s">
        <v>2417</v>
      </c>
      <c r="J495" s="159" t="s">
        <v>2418</v>
      </c>
      <c r="K495" s="17" t="s">
        <v>139</v>
      </c>
      <c r="L495" s="17" t="s">
        <v>208</v>
      </c>
    </row>
    <row r="496">
      <c r="A496" s="17">
        <v>1.0</v>
      </c>
      <c r="B496" s="158" t="s">
        <v>1491</v>
      </c>
      <c r="D496" s="160" t="s">
        <v>263</v>
      </c>
      <c r="E496" s="158" t="s">
        <v>2165</v>
      </c>
      <c r="G496" s="158" t="s">
        <v>137</v>
      </c>
      <c r="J496" s="159" t="s">
        <v>2419</v>
      </c>
      <c r="K496" s="17" t="s">
        <v>139</v>
      </c>
      <c r="L496" s="17" t="s">
        <v>208</v>
      </c>
    </row>
    <row r="497">
      <c r="A497" s="17">
        <v>1.0</v>
      </c>
      <c r="B497" s="158" t="s">
        <v>1491</v>
      </c>
      <c r="D497" s="160" t="s">
        <v>263</v>
      </c>
      <c r="E497" s="158" t="s">
        <v>2191</v>
      </c>
      <c r="G497" s="158" t="s">
        <v>2420</v>
      </c>
      <c r="J497" s="159" t="s">
        <v>2421</v>
      </c>
      <c r="K497" s="17" t="s">
        <v>139</v>
      </c>
      <c r="L497" s="17" t="s">
        <v>208</v>
      </c>
    </row>
    <row r="498">
      <c r="A498" s="17">
        <v>1.0</v>
      </c>
      <c r="B498" s="158" t="s">
        <v>1491</v>
      </c>
      <c r="D498" s="158" t="s">
        <v>416</v>
      </c>
      <c r="E498" s="158" t="s">
        <v>2142</v>
      </c>
      <c r="G498" s="158" t="s">
        <v>896</v>
      </c>
      <c r="J498" s="159" t="s">
        <v>2422</v>
      </c>
      <c r="K498" s="17" t="s">
        <v>139</v>
      </c>
      <c r="L498" s="17" t="s">
        <v>208</v>
      </c>
    </row>
    <row r="499">
      <c r="A499" s="17">
        <v>1.0</v>
      </c>
      <c r="B499" s="158" t="s">
        <v>1491</v>
      </c>
      <c r="D499" s="160" t="s">
        <v>263</v>
      </c>
      <c r="E499" s="158" t="s">
        <v>2113</v>
      </c>
      <c r="G499" s="158" t="s">
        <v>2423</v>
      </c>
      <c r="J499" s="159" t="s">
        <v>2424</v>
      </c>
      <c r="K499" s="17" t="s">
        <v>139</v>
      </c>
      <c r="L499" s="17" t="s">
        <v>208</v>
      </c>
    </row>
    <row r="500">
      <c r="A500" s="17">
        <v>1.0</v>
      </c>
      <c r="B500" s="158" t="s">
        <v>1488</v>
      </c>
      <c r="D500" s="160" t="s">
        <v>214</v>
      </c>
      <c r="E500" s="158" t="s">
        <v>2113</v>
      </c>
      <c r="G500" s="158" t="s">
        <v>137</v>
      </c>
      <c r="J500" s="159" t="s">
        <v>2425</v>
      </c>
      <c r="K500" s="17" t="s">
        <v>139</v>
      </c>
      <c r="L500" s="17" t="s">
        <v>208</v>
      </c>
    </row>
    <row r="501">
      <c r="A501" s="17">
        <v>1.0</v>
      </c>
      <c r="B501" s="158" t="s">
        <v>1491</v>
      </c>
      <c r="D501" s="160" t="s">
        <v>263</v>
      </c>
      <c r="E501" s="158" t="s">
        <v>2154</v>
      </c>
      <c r="G501" s="158" t="s">
        <v>2426</v>
      </c>
      <c r="J501" s="159" t="s">
        <v>2427</v>
      </c>
      <c r="K501" s="17" t="s">
        <v>139</v>
      </c>
      <c r="L501" s="17" t="s">
        <v>208</v>
      </c>
    </row>
    <row r="502">
      <c r="A502" s="17">
        <v>1.0</v>
      </c>
      <c r="B502" s="158" t="s">
        <v>1491</v>
      </c>
      <c r="D502" s="160" t="s">
        <v>263</v>
      </c>
      <c r="E502" s="158" t="s">
        <v>2165</v>
      </c>
      <c r="G502" s="158" t="s">
        <v>2428</v>
      </c>
      <c r="J502" s="159" t="s">
        <v>2429</v>
      </c>
      <c r="K502" s="17" t="s">
        <v>139</v>
      </c>
      <c r="L502" s="17" t="s">
        <v>208</v>
      </c>
    </row>
    <row r="503">
      <c r="A503" s="17">
        <v>1.0</v>
      </c>
      <c r="B503" s="158" t="s">
        <v>1491</v>
      </c>
      <c r="D503" s="158" t="s">
        <v>416</v>
      </c>
      <c r="E503" s="158" t="s">
        <v>2146</v>
      </c>
      <c r="G503" s="158" t="s">
        <v>2430</v>
      </c>
      <c r="J503" s="159" t="s">
        <v>2431</v>
      </c>
      <c r="K503" s="17" t="s">
        <v>139</v>
      </c>
      <c r="L503" s="17" t="s">
        <v>208</v>
      </c>
    </row>
    <row r="504">
      <c r="A504" s="17">
        <v>1.0</v>
      </c>
      <c r="B504" s="158" t="s">
        <v>1488</v>
      </c>
      <c r="D504" s="158" t="s">
        <v>416</v>
      </c>
      <c r="E504" s="158" t="s">
        <v>2113</v>
      </c>
      <c r="G504" s="158" t="s">
        <v>2432</v>
      </c>
      <c r="J504" s="159" t="s">
        <v>2433</v>
      </c>
      <c r="K504" s="17" t="s">
        <v>139</v>
      </c>
      <c r="L504" s="17" t="s">
        <v>208</v>
      </c>
    </row>
    <row r="505">
      <c r="A505" s="17">
        <v>1.0</v>
      </c>
      <c r="B505" s="158" t="s">
        <v>1488</v>
      </c>
      <c r="D505" s="158" t="s">
        <v>249</v>
      </c>
      <c r="E505" s="158" t="s">
        <v>2146</v>
      </c>
      <c r="G505" s="158" t="s">
        <v>2369</v>
      </c>
      <c r="J505" s="159" t="s">
        <v>2434</v>
      </c>
      <c r="K505" s="17" t="s">
        <v>139</v>
      </c>
      <c r="L505" s="17" t="s">
        <v>208</v>
      </c>
    </row>
    <row r="506">
      <c r="A506" s="17">
        <v>1.0</v>
      </c>
      <c r="B506" s="158" t="s">
        <v>1491</v>
      </c>
      <c r="D506" s="160" t="s">
        <v>263</v>
      </c>
      <c r="E506" s="158" t="s">
        <v>2165</v>
      </c>
      <c r="G506" s="158" t="s">
        <v>2435</v>
      </c>
      <c r="J506" s="159" t="s">
        <v>2436</v>
      </c>
      <c r="K506" s="17" t="s">
        <v>139</v>
      </c>
      <c r="L506" s="17" t="s">
        <v>208</v>
      </c>
    </row>
    <row r="507">
      <c r="A507" s="17">
        <v>1.0</v>
      </c>
      <c r="B507" s="158" t="s">
        <v>1491</v>
      </c>
      <c r="D507" s="161" t="s">
        <v>153</v>
      </c>
      <c r="E507" s="158" t="s">
        <v>2191</v>
      </c>
      <c r="G507" s="158" t="s">
        <v>2437</v>
      </c>
      <c r="J507" s="159" t="s">
        <v>2438</v>
      </c>
      <c r="K507" s="17" t="s">
        <v>139</v>
      </c>
      <c r="L507" s="17" t="s">
        <v>208</v>
      </c>
    </row>
    <row r="508">
      <c r="A508" s="17">
        <v>1.0</v>
      </c>
      <c r="B508" s="158" t="s">
        <v>1491</v>
      </c>
      <c r="D508" s="160" t="s">
        <v>263</v>
      </c>
      <c r="E508" s="158" t="s">
        <v>2146</v>
      </c>
      <c r="G508" s="158" t="s">
        <v>2439</v>
      </c>
      <c r="J508" s="159" t="s">
        <v>2440</v>
      </c>
      <c r="K508" s="17" t="s">
        <v>139</v>
      </c>
      <c r="L508" s="17" t="s">
        <v>208</v>
      </c>
    </row>
    <row r="509">
      <c r="A509" s="17">
        <v>1.0</v>
      </c>
      <c r="B509" s="158" t="s">
        <v>1488</v>
      </c>
      <c r="D509" s="158" t="s">
        <v>416</v>
      </c>
      <c r="E509" s="158" t="s">
        <v>2165</v>
      </c>
      <c r="G509" s="158" t="s">
        <v>2441</v>
      </c>
      <c r="J509" s="159" t="s">
        <v>2442</v>
      </c>
      <c r="K509" s="17" t="s">
        <v>139</v>
      </c>
      <c r="L509" s="17" t="s">
        <v>208</v>
      </c>
    </row>
    <row r="510">
      <c r="A510" s="17">
        <v>1.0</v>
      </c>
      <c r="B510" s="158" t="s">
        <v>1488</v>
      </c>
      <c r="D510" s="160" t="s">
        <v>263</v>
      </c>
      <c r="E510" s="158" t="s">
        <v>2146</v>
      </c>
      <c r="G510" s="158" t="s">
        <v>2443</v>
      </c>
      <c r="J510" s="159" t="s">
        <v>2444</v>
      </c>
      <c r="K510" s="17" t="s">
        <v>139</v>
      </c>
      <c r="L510" s="17" t="s">
        <v>208</v>
      </c>
    </row>
    <row r="511">
      <c r="A511" s="17">
        <v>1.0</v>
      </c>
      <c r="B511" s="158" t="s">
        <v>1488</v>
      </c>
      <c r="D511" s="160" t="s">
        <v>263</v>
      </c>
      <c r="E511" s="158" t="s">
        <v>2146</v>
      </c>
      <c r="G511" s="158" t="s">
        <v>2445</v>
      </c>
      <c r="J511" s="159" t="s">
        <v>2446</v>
      </c>
      <c r="K511" s="17" t="s">
        <v>139</v>
      </c>
      <c r="L511" s="17" t="s">
        <v>208</v>
      </c>
    </row>
    <row r="512">
      <c r="A512" s="17">
        <v>1.0</v>
      </c>
      <c r="B512" s="158" t="s">
        <v>1491</v>
      </c>
      <c r="D512" s="160" t="s">
        <v>159</v>
      </c>
      <c r="E512" s="158" t="s">
        <v>2146</v>
      </c>
      <c r="G512" s="158" t="s">
        <v>2447</v>
      </c>
      <c r="J512" s="159" t="s">
        <v>2448</v>
      </c>
      <c r="K512" s="17" t="s">
        <v>139</v>
      </c>
      <c r="L512" s="17" t="s">
        <v>208</v>
      </c>
    </row>
    <row r="513">
      <c r="A513" s="17">
        <v>1.0</v>
      </c>
      <c r="B513" s="158" t="s">
        <v>1488</v>
      </c>
      <c r="D513" s="158" t="s">
        <v>416</v>
      </c>
      <c r="E513" s="158" t="s">
        <v>2113</v>
      </c>
      <c r="G513" s="158" t="s">
        <v>2449</v>
      </c>
      <c r="J513" s="159" t="s">
        <v>2450</v>
      </c>
      <c r="K513" s="17" t="s">
        <v>139</v>
      </c>
      <c r="L513" s="17" t="s">
        <v>208</v>
      </c>
    </row>
    <row r="514">
      <c r="A514" s="17">
        <v>1.0</v>
      </c>
      <c r="B514" s="158" t="s">
        <v>1488</v>
      </c>
      <c r="D514" s="160" t="s">
        <v>263</v>
      </c>
      <c r="E514" s="158" t="s">
        <v>2146</v>
      </c>
      <c r="G514" s="158" t="s">
        <v>2451</v>
      </c>
      <c r="J514" s="159" t="s">
        <v>2452</v>
      </c>
      <c r="K514" s="17" t="s">
        <v>139</v>
      </c>
      <c r="L514" s="17" t="s">
        <v>208</v>
      </c>
    </row>
    <row r="515">
      <c r="A515" s="17">
        <v>1.0</v>
      </c>
      <c r="B515" s="158" t="s">
        <v>1491</v>
      </c>
      <c r="D515" s="160" t="s">
        <v>263</v>
      </c>
      <c r="E515" s="158" t="s">
        <v>2453</v>
      </c>
      <c r="G515" s="158" t="s">
        <v>2454</v>
      </c>
      <c r="J515" s="159" t="s">
        <v>2455</v>
      </c>
      <c r="K515" s="17" t="s">
        <v>139</v>
      </c>
      <c r="L515" s="17" t="s">
        <v>208</v>
      </c>
    </row>
    <row r="516">
      <c r="A516" s="17">
        <v>1.0</v>
      </c>
      <c r="B516" s="158" t="s">
        <v>1488</v>
      </c>
      <c r="D516" s="160" t="s">
        <v>263</v>
      </c>
      <c r="E516" s="158" t="s">
        <v>2146</v>
      </c>
      <c r="G516" s="158" t="s">
        <v>2456</v>
      </c>
      <c r="J516" s="159" t="s">
        <v>2457</v>
      </c>
      <c r="K516" s="17" t="s">
        <v>139</v>
      </c>
      <c r="L516" s="17" t="s">
        <v>208</v>
      </c>
    </row>
    <row r="517">
      <c r="A517" s="17">
        <v>1.0</v>
      </c>
      <c r="B517" s="158" t="s">
        <v>1488</v>
      </c>
      <c r="D517" s="158" t="s">
        <v>416</v>
      </c>
      <c r="E517" s="158" t="s">
        <v>2458</v>
      </c>
      <c r="G517" s="158" t="s">
        <v>2459</v>
      </c>
      <c r="J517" s="159" t="s">
        <v>2460</v>
      </c>
      <c r="K517" s="17" t="s">
        <v>139</v>
      </c>
      <c r="L517" s="17" t="s">
        <v>208</v>
      </c>
    </row>
    <row r="518">
      <c r="A518" s="17">
        <v>1.0</v>
      </c>
      <c r="B518" s="158" t="s">
        <v>1488</v>
      </c>
      <c r="D518" s="160" t="s">
        <v>263</v>
      </c>
      <c r="E518" s="158" t="s">
        <v>2146</v>
      </c>
      <c r="G518" s="158" t="s">
        <v>2461</v>
      </c>
      <c r="J518" s="159" t="s">
        <v>2462</v>
      </c>
      <c r="K518" s="17" t="s">
        <v>139</v>
      </c>
      <c r="L518" s="17" t="s">
        <v>208</v>
      </c>
    </row>
    <row r="519">
      <c r="A519" s="17">
        <v>1.0</v>
      </c>
      <c r="B519" s="158" t="s">
        <v>1491</v>
      </c>
      <c r="D519" s="160" t="s">
        <v>263</v>
      </c>
      <c r="E519" s="158" t="s">
        <v>2154</v>
      </c>
      <c r="G519" s="158" t="s">
        <v>2463</v>
      </c>
      <c r="J519" s="159" t="s">
        <v>2464</v>
      </c>
      <c r="K519" s="17" t="s">
        <v>139</v>
      </c>
      <c r="L519" s="17" t="s">
        <v>208</v>
      </c>
    </row>
    <row r="520">
      <c r="A520" s="17">
        <v>1.0</v>
      </c>
      <c r="B520" s="158" t="s">
        <v>1488</v>
      </c>
      <c r="D520" s="160" t="s">
        <v>263</v>
      </c>
      <c r="E520" s="158" t="s">
        <v>2113</v>
      </c>
      <c r="G520" s="158" t="s">
        <v>2465</v>
      </c>
      <c r="J520" s="159" t="s">
        <v>2466</v>
      </c>
      <c r="K520" s="17" t="s">
        <v>139</v>
      </c>
      <c r="L520" s="17" t="s">
        <v>208</v>
      </c>
    </row>
    <row r="521">
      <c r="A521" s="17">
        <v>1.0</v>
      </c>
      <c r="B521" s="158" t="s">
        <v>1488</v>
      </c>
      <c r="D521" s="160" t="s">
        <v>285</v>
      </c>
      <c r="E521" s="158" t="s">
        <v>2191</v>
      </c>
      <c r="G521" s="158" t="s">
        <v>2467</v>
      </c>
      <c r="J521" s="159" t="s">
        <v>2468</v>
      </c>
      <c r="K521" s="17" t="s">
        <v>139</v>
      </c>
      <c r="L521" s="17" t="s">
        <v>208</v>
      </c>
    </row>
    <row r="522">
      <c r="A522" s="17">
        <v>1.0</v>
      </c>
      <c r="B522" s="158" t="s">
        <v>1488</v>
      </c>
      <c r="D522" s="160" t="s">
        <v>263</v>
      </c>
      <c r="E522" s="158" t="s">
        <v>2146</v>
      </c>
      <c r="G522" s="158" t="s">
        <v>2469</v>
      </c>
      <c r="J522" s="159" t="s">
        <v>2470</v>
      </c>
      <c r="K522" s="17" t="s">
        <v>139</v>
      </c>
      <c r="L522" s="17" t="s">
        <v>208</v>
      </c>
    </row>
    <row r="523">
      <c r="A523" s="17">
        <v>1.0</v>
      </c>
      <c r="B523" s="158" t="s">
        <v>1491</v>
      </c>
      <c r="D523" s="160" t="s">
        <v>263</v>
      </c>
      <c r="E523" s="158" t="s">
        <v>2146</v>
      </c>
      <c r="G523" s="158" t="s">
        <v>2471</v>
      </c>
      <c r="J523" s="159" t="s">
        <v>2472</v>
      </c>
      <c r="K523" s="17" t="s">
        <v>139</v>
      </c>
      <c r="L523" s="17" t="s">
        <v>208</v>
      </c>
    </row>
    <row r="524">
      <c r="A524" s="17">
        <v>1.0</v>
      </c>
      <c r="B524" s="158" t="s">
        <v>1488</v>
      </c>
      <c r="D524" s="158" t="s">
        <v>416</v>
      </c>
      <c r="E524" s="158" t="s">
        <v>2154</v>
      </c>
      <c r="G524" s="158" t="s">
        <v>2473</v>
      </c>
      <c r="J524" s="159" t="s">
        <v>2474</v>
      </c>
      <c r="K524" s="17" t="s">
        <v>139</v>
      </c>
      <c r="L524" s="17" t="s">
        <v>208</v>
      </c>
    </row>
    <row r="525">
      <c r="A525" s="17">
        <v>1.0</v>
      </c>
      <c r="B525" s="158" t="s">
        <v>1491</v>
      </c>
      <c r="D525" s="160" t="s">
        <v>258</v>
      </c>
      <c r="E525" s="158" t="s">
        <v>2165</v>
      </c>
      <c r="G525" s="158" t="s">
        <v>2475</v>
      </c>
      <c r="J525" s="159" t="s">
        <v>2476</v>
      </c>
      <c r="K525" s="17" t="s">
        <v>139</v>
      </c>
      <c r="L525" s="17" t="s">
        <v>208</v>
      </c>
    </row>
    <row r="526">
      <c r="A526" s="17">
        <v>1.0</v>
      </c>
      <c r="B526" s="158" t="s">
        <v>1488</v>
      </c>
      <c r="D526" s="160" t="s">
        <v>417</v>
      </c>
      <c r="E526" s="158" t="s">
        <v>2203</v>
      </c>
      <c r="G526" s="158" t="s">
        <v>2477</v>
      </c>
      <c r="J526" s="159" t="s">
        <v>2478</v>
      </c>
      <c r="K526" s="17" t="s">
        <v>139</v>
      </c>
      <c r="L526" s="17" t="s">
        <v>208</v>
      </c>
    </row>
    <row r="527">
      <c r="A527" s="17">
        <v>1.0</v>
      </c>
      <c r="B527" s="158" t="s">
        <v>1488</v>
      </c>
      <c r="D527" s="160" t="s">
        <v>263</v>
      </c>
      <c r="E527" s="158" t="s">
        <v>2165</v>
      </c>
      <c r="G527" s="158" t="s">
        <v>137</v>
      </c>
      <c r="J527" s="159" t="s">
        <v>2479</v>
      </c>
      <c r="K527" s="17" t="s">
        <v>139</v>
      </c>
      <c r="L527" s="17" t="s">
        <v>208</v>
      </c>
    </row>
    <row r="528">
      <c r="A528" s="17">
        <v>1.0</v>
      </c>
      <c r="B528" s="162" t="s">
        <v>416</v>
      </c>
      <c r="D528" s="160" t="s">
        <v>263</v>
      </c>
      <c r="E528" s="158" t="s">
        <v>2165</v>
      </c>
      <c r="G528" s="163"/>
      <c r="J528" s="159" t="s">
        <v>2480</v>
      </c>
      <c r="K528" s="17" t="s">
        <v>139</v>
      </c>
      <c r="L528" s="17" t="s">
        <v>208</v>
      </c>
    </row>
    <row r="529">
      <c r="A529" s="17">
        <v>1.0</v>
      </c>
      <c r="B529" s="158" t="s">
        <v>1488</v>
      </c>
      <c r="D529" s="160" t="s">
        <v>263</v>
      </c>
      <c r="E529" s="158" t="s">
        <v>2146</v>
      </c>
      <c r="G529" s="158" t="s">
        <v>2481</v>
      </c>
      <c r="J529" s="164">
        <v>45021.55806712963</v>
      </c>
      <c r="K529" s="17" t="s">
        <v>139</v>
      </c>
      <c r="L529" s="17" t="s">
        <v>208</v>
      </c>
    </row>
    <row r="530">
      <c r="A530" s="17">
        <v>1.0</v>
      </c>
      <c r="B530" s="158" t="s">
        <v>1488</v>
      </c>
      <c r="D530" s="160" t="s">
        <v>263</v>
      </c>
      <c r="E530" s="158" t="s">
        <v>2146</v>
      </c>
      <c r="G530" s="158" t="s">
        <v>2482</v>
      </c>
      <c r="J530" s="164">
        <v>45021.49920138889</v>
      </c>
      <c r="K530" s="17" t="s">
        <v>139</v>
      </c>
      <c r="L530" s="17" t="s">
        <v>208</v>
      </c>
    </row>
    <row r="531">
      <c r="A531" s="17">
        <v>1.0</v>
      </c>
      <c r="B531" s="158" t="s">
        <v>1488</v>
      </c>
      <c r="D531" s="160" t="s">
        <v>263</v>
      </c>
      <c r="E531" s="158" t="s">
        <v>2165</v>
      </c>
      <c r="G531" s="158" t="s">
        <v>2483</v>
      </c>
      <c r="J531" s="164">
        <v>45021.496770833335</v>
      </c>
      <c r="K531" s="17" t="s">
        <v>139</v>
      </c>
      <c r="L531" s="17" t="s">
        <v>208</v>
      </c>
    </row>
    <row r="532">
      <c r="A532" s="17">
        <v>1.0</v>
      </c>
      <c r="B532" s="158" t="s">
        <v>1488</v>
      </c>
      <c r="D532" s="160" t="s">
        <v>263</v>
      </c>
      <c r="E532" s="158" t="s">
        <v>2146</v>
      </c>
      <c r="G532" s="158" t="s">
        <v>2484</v>
      </c>
      <c r="J532" s="164">
        <v>45021.35</v>
      </c>
      <c r="K532" s="17" t="s">
        <v>139</v>
      </c>
      <c r="L532" s="17" t="s">
        <v>208</v>
      </c>
    </row>
    <row r="533">
      <c r="A533" s="17">
        <v>1.0</v>
      </c>
      <c r="B533" s="158" t="s">
        <v>1488</v>
      </c>
      <c r="D533" s="160" t="s">
        <v>263</v>
      </c>
      <c r="E533" s="158" t="s">
        <v>2154</v>
      </c>
      <c r="G533" s="158" t="s">
        <v>2485</v>
      </c>
      <c r="J533" s="164">
        <v>45021.32921296296</v>
      </c>
      <c r="K533" s="17" t="s">
        <v>139</v>
      </c>
      <c r="L533" s="17" t="s">
        <v>208</v>
      </c>
    </row>
    <row r="534">
      <c r="A534" s="17">
        <v>1.0</v>
      </c>
      <c r="B534" s="158" t="s">
        <v>1488</v>
      </c>
      <c r="D534" s="160" t="s">
        <v>263</v>
      </c>
      <c r="E534" s="158" t="s">
        <v>2165</v>
      </c>
      <c r="G534" s="158" t="s">
        <v>2486</v>
      </c>
      <c r="J534" s="164">
        <v>45021.28228009259</v>
      </c>
      <c r="K534" s="17" t="s">
        <v>139</v>
      </c>
      <c r="L534" s="17" t="s">
        <v>208</v>
      </c>
    </row>
    <row r="535">
      <c r="A535" s="17">
        <v>1.0</v>
      </c>
      <c r="B535" s="158" t="s">
        <v>1488</v>
      </c>
      <c r="D535" s="160" t="s">
        <v>263</v>
      </c>
      <c r="E535" s="158" t="s">
        <v>2165</v>
      </c>
      <c r="G535" s="158" t="s">
        <v>2487</v>
      </c>
      <c r="J535" s="164">
        <v>44990.4624537037</v>
      </c>
      <c r="K535" s="17" t="s">
        <v>139</v>
      </c>
      <c r="L535" s="17" t="s">
        <v>208</v>
      </c>
    </row>
    <row r="536">
      <c r="A536" s="17">
        <v>1.0</v>
      </c>
      <c r="B536" s="158" t="s">
        <v>1488</v>
      </c>
      <c r="D536" s="160" t="s">
        <v>244</v>
      </c>
      <c r="E536" s="158" t="s">
        <v>2165</v>
      </c>
      <c r="G536" s="158" t="s">
        <v>2488</v>
      </c>
      <c r="J536" s="164">
        <v>44990.420219907406</v>
      </c>
      <c r="K536" s="17" t="s">
        <v>139</v>
      </c>
      <c r="L536" s="17" t="s">
        <v>208</v>
      </c>
    </row>
    <row r="537">
      <c r="A537" s="17">
        <v>1.0</v>
      </c>
      <c r="B537" s="158" t="s">
        <v>1491</v>
      </c>
      <c r="D537" s="160" t="s">
        <v>263</v>
      </c>
      <c r="E537" s="158" t="s">
        <v>2154</v>
      </c>
      <c r="G537" s="158" t="s">
        <v>1493</v>
      </c>
      <c r="J537" s="164">
        <v>44990.38924768518</v>
      </c>
      <c r="K537" s="17" t="s">
        <v>139</v>
      </c>
      <c r="L537" s="17" t="s">
        <v>208</v>
      </c>
    </row>
    <row r="538">
      <c r="A538" s="17">
        <v>1.0</v>
      </c>
      <c r="B538" s="158" t="s">
        <v>1488</v>
      </c>
      <c r="D538" s="158" t="s">
        <v>416</v>
      </c>
      <c r="E538" s="158" t="s">
        <v>2280</v>
      </c>
      <c r="G538" s="158" t="s">
        <v>137</v>
      </c>
      <c r="J538" s="164">
        <v>44990.294224537036</v>
      </c>
      <c r="K538" s="17" t="s">
        <v>139</v>
      </c>
      <c r="L538" s="17" t="s">
        <v>208</v>
      </c>
    </row>
    <row r="539">
      <c r="A539" s="17">
        <v>1.0</v>
      </c>
      <c r="B539" s="158" t="s">
        <v>1488</v>
      </c>
      <c r="D539" s="158" t="s">
        <v>416</v>
      </c>
      <c r="E539" s="158" t="s">
        <v>2113</v>
      </c>
      <c r="G539" s="158" t="s">
        <v>137</v>
      </c>
      <c r="J539" s="164">
        <v>44990.29258101852</v>
      </c>
      <c r="K539" s="17" t="s">
        <v>139</v>
      </c>
      <c r="L539" s="17" t="s">
        <v>208</v>
      </c>
    </row>
    <row r="540">
      <c r="A540" s="17">
        <v>1.0</v>
      </c>
      <c r="B540" s="158" t="s">
        <v>1488</v>
      </c>
      <c r="D540" s="158" t="s">
        <v>416</v>
      </c>
      <c r="E540" s="158" t="s">
        <v>2165</v>
      </c>
      <c r="G540" s="158" t="s">
        <v>137</v>
      </c>
      <c r="J540" s="164">
        <v>44990.19200231481</v>
      </c>
      <c r="K540" s="17" t="s">
        <v>139</v>
      </c>
      <c r="L540" s="17" t="s">
        <v>208</v>
      </c>
    </row>
    <row r="541">
      <c r="A541" s="17">
        <v>1.0</v>
      </c>
      <c r="B541" s="158" t="s">
        <v>1491</v>
      </c>
      <c r="D541" s="158" t="s">
        <v>353</v>
      </c>
      <c r="E541" s="158" t="s">
        <v>2146</v>
      </c>
      <c r="G541" s="158" t="s">
        <v>2489</v>
      </c>
      <c r="J541" s="164">
        <v>44990.06900462963</v>
      </c>
      <c r="K541" s="17" t="s">
        <v>139</v>
      </c>
      <c r="L541" s="17" t="s">
        <v>208</v>
      </c>
    </row>
    <row r="542">
      <c r="A542" s="17">
        <v>1.0</v>
      </c>
      <c r="B542" s="158" t="s">
        <v>1488</v>
      </c>
      <c r="D542" s="158" t="s">
        <v>353</v>
      </c>
      <c r="E542" s="158" t="s">
        <v>2113</v>
      </c>
      <c r="G542" s="158" t="s">
        <v>2490</v>
      </c>
      <c r="J542" s="164">
        <v>44990.041666666664</v>
      </c>
      <c r="K542" s="17" t="s">
        <v>139</v>
      </c>
      <c r="L542" s="17" t="s">
        <v>208</v>
      </c>
    </row>
    <row r="543">
      <c r="A543" s="17">
        <v>1.0</v>
      </c>
      <c r="B543" s="158" t="s">
        <v>1488</v>
      </c>
      <c r="D543" s="160" t="s">
        <v>263</v>
      </c>
      <c r="E543" s="158" t="s">
        <v>2165</v>
      </c>
      <c r="G543" s="158" t="s">
        <v>2491</v>
      </c>
      <c r="J543" s="164">
        <v>44962.38538194444</v>
      </c>
      <c r="K543" s="17" t="s">
        <v>139</v>
      </c>
      <c r="L543" s="17" t="s">
        <v>208</v>
      </c>
    </row>
    <row r="544">
      <c r="A544" s="17">
        <v>1.0</v>
      </c>
      <c r="B544" s="158" t="s">
        <v>1491</v>
      </c>
      <c r="D544" s="158" t="s">
        <v>143</v>
      </c>
      <c r="E544" s="158" t="s">
        <v>511</v>
      </c>
      <c r="G544" s="158" t="s">
        <v>2492</v>
      </c>
      <c r="J544" s="164">
        <v>44962.28429398148</v>
      </c>
      <c r="K544" s="17" t="s">
        <v>139</v>
      </c>
      <c r="L544" s="17" t="s">
        <v>208</v>
      </c>
    </row>
    <row r="545">
      <c r="A545" s="17">
        <v>1.0</v>
      </c>
      <c r="B545" s="158" t="s">
        <v>1488</v>
      </c>
      <c r="D545" s="158" t="s">
        <v>331</v>
      </c>
      <c r="E545" s="158" t="s">
        <v>2146</v>
      </c>
      <c r="G545" s="158" t="s">
        <v>2493</v>
      </c>
      <c r="J545" s="164">
        <v>44962.239756944444</v>
      </c>
      <c r="K545" s="17" t="s">
        <v>139</v>
      </c>
      <c r="L545" s="17" t="s">
        <v>208</v>
      </c>
    </row>
    <row r="546">
      <c r="A546" s="17">
        <v>1.0</v>
      </c>
      <c r="B546" s="158" t="s">
        <v>1488</v>
      </c>
      <c r="D546" s="158" t="s">
        <v>374</v>
      </c>
      <c r="E546" s="158" t="s">
        <v>2146</v>
      </c>
      <c r="G546" s="158" t="s">
        <v>2494</v>
      </c>
      <c r="J546" s="164">
        <v>44962.23369212963</v>
      </c>
      <c r="K546" s="17" t="s">
        <v>139</v>
      </c>
      <c r="L546" s="17" t="s">
        <v>208</v>
      </c>
    </row>
    <row r="547">
      <c r="A547" s="17">
        <v>1.0</v>
      </c>
      <c r="B547" s="158" t="s">
        <v>1488</v>
      </c>
      <c r="D547" s="158" t="s">
        <v>331</v>
      </c>
      <c r="E547" s="158" t="s">
        <v>2146</v>
      </c>
      <c r="G547" s="158" t="s">
        <v>2495</v>
      </c>
      <c r="J547" s="164">
        <v>44962.232777777775</v>
      </c>
      <c r="K547" s="17" t="s">
        <v>139</v>
      </c>
      <c r="L547" s="17" t="s">
        <v>208</v>
      </c>
    </row>
    <row r="548">
      <c r="A548" s="17">
        <v>1.0</v>
      </c>
      <c r="B548" s="158" t="s">
        <v>1488</v>
      </c>
      <c r="D548" s="158" t="s">
        <v>143</v>
      </c>
      <c r="E548" s="158" t="s">
        <v>2496</v>
      </c>
      <c r="G548" s="158" t="s">
        <v>2497</v>
      </c>
      <c r="J548" s="164">
        <v>44962.13185185185</v>
      </c>
      <c r="K548" s="17" t="s">
        <v>139</v>
      </c>
      <c r="L548" s="17" t="s">
        <v>208</v>
      </c>
    </row>
    <row r="549">
      <c r="A549" s="17">
        <v>1.0</v>
      </c>
      <c r="B549" s="158" t="s">
        <v>1488</v>
      </c>
      <c r="D549" s="158" t="s">
        <v>143</v>
      </c>
      <c r="E549" s="158" t="s">
        <v>511</v>
      </c>
      <c r="G549" s="158" t="s">
        <v>137</v>
      </c>
      <c r="J549" s="164">
        <v>44962.10023148148</v>
      </c>
      <c r="K549" s="17" t="s">
        <v>139</v>
      </c>
      <c r="L549" s="17" t="s">
        <v>208</v>
      </c>
    </row>
    <row r="550">
      <c r="A550" s="17">
        <v>1.0</v>
      </c>
      <c r="B550" s="158" t="s">
        <v>1488</v>
      </c>
      <c r="D550" s="158" t="s">
        <v>143</v>
      </c>
      <c r="E550" s="158" t="s">
        <v>2203</v>
      </c>
      <c r="G550" s="158" t="s">
        <v>137</v>
      </c>
      <c r="J550" s="164">
        <v>44962.01962962963</v>
      </c>
      <c r="K550" s="17" t="s">
        <v>139</v>
      </c>
      <c r="L550" s="17" t="s">
        <v>208</v>
      </c>
    </row>
    <row r="551">
      <c r="A551" s="17">
        <v>1.0</v>
      </c>
      <c r="B551" s="158" t="s">
        <v>1491</v>
      </c>
      <c r="D551" s="160" t="s">
        <v>263</v>
      </c>
      <c r="E551" s="158" t="s">
        <v>2146</v>
      </c>
      <c r="G551" s="158" t="s">
        <v>2498</v>
      </c>
      <c r="J551" s="164">
        <v>44931.62494212963</v>
      </c>
      <c r="K551" s="17" t="s">
        <v>139</v>
      </c>
      <c r="L551" s="17" t="s">
        <v>208</v>
      </c>
    </row>
    <row r="552">
      <c r="A552" s="17">
        <v>1.0</v>
      </c>
      <c r="B552" s="158" t="s">
        <v>1488</v>
      </c>
      <c r="D552" s="160" t="s">
        <v>258</v>
      </c>
      <c r="E552" s="158" t="s">
        <v>2165</v>
      </c>
      <c r="G552" s="158" t="s">
        <v>137</v>
      </c>
      <c r="J552" s="164">
        <v>44931.492743055554</v>
      </c>
      <c r="K552" s="17" t="s">
        <v>139</v>
      </c>
      <c r="L552" s="17" t="s">
        <v>208</v>
      </c>
    </row>
    <row r="553">
      <c r="A553" s="17">
        <v>1.0</v>
      </c>
      <c r="B553" s="158" t="s">
        <v>1491</v>
      </c>
      <c r="D553" s="160" t="s">
        <v>263</v>
      </c>
      <c r="E553" s="158" t="s">
        <v>2191</v>
      </c>
      <c r="G553" s="158" t="s">
        <v>2499</v>
      </c>
      <c r="J553" s="164">
        <v>44931.386087962965</v>
      </c>
      <c r="K553" s="17" t="s">
        <v>139</v>
      </c>
      <c r="L553" s="17" t="s">
        <v>208</v>
      </c>
    </row>
    <row r="554">
      <c r="A554" s="17">
        <v>1.0</v>
      </c>
      <c r="B554" s="158" t="s">
        <v>1488</v>
      </c>
      <c r="D554" s="158" t="s">
        <v>164</v>
      </c>
      <c r="E554" s="158" t="s">
        <v>2146</v>
      </c>
      <c r="G554" s="158" t="s">
        <v>2500</v>
      </c>
      <c r="J554" s="164">
        <v>44931.29466435185</v>
      </c>
      <c r="K554" s="17" t="s">
        <v>139</v>
      </c>
      <c r="L554" s="17" t="s">
        <v>208</v>
      </c>
    </row>
    <row r="555">
      <c r="A555" s="17">
        <v>1.0</v>
      </c>
      <c r="B555" s="158" t="s">
        <v>1491</v>
      </c>
      <c r="D555" s="158" t="s">
        <v>193</v>
      </c>
      <c r="E555" s="158" t="s">
        <v>2113</v>
      </c>
      <c r="G555" s="158" t="s">
        <v>2501</v>
      </c>
      <c r="J555" s="164">
        <v>44931.08881944444</v>
      </c>
      <c r="K555" s="17" t="s">
        <v>139</v>
      </c>
      <c r="L555" s="17" t="s">
        <v>208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176.43"/>
    <col customWidth="1" min="8" max="8" width="60.29"/>
    <col customWidth="1" min="9" max="9" width="48.71"/>
    <col customWidth="1" min="10" max="10" width="15.86"/>
    <col customWidth="1" min="11" max="11" width="31.57"/>
    <col customWidth="1" min="12" max="12" width="19.0"/>
  </cols>
  <sheetData>
    <row r="1">
      <c r="A1" s="202" t="s">
        <v>116</v>
      </c>
      <c r="B1" s="202" t="s">
        <v>117</v>
      </c>
      <c r="C1" s="202" t="s">
        <v>118</v>
      </c>
      <c r="D1" s="202" t="s">
        <v>3789</v>
      </c>
      <c r="E1" s="202" t="s">
        <v>3790</v>
      </c>
      <c r="F1" s="202" t="s">
        <v>3791</v>
      </c>
      <c r="G1" s="202" t="s">
        <v>3792</v>
      </c>
      <c r="H1" s="202" t="s">
        <v>3793</v>
      </c>
      <c r="I1" s="202" t="s">
        <v>3794</v>
      </c>
      <c r="J1" s="202" t="s">
        <v>125</v>
      </c>
      <c r="K1" s="202" t="s">
        <v>3770</v>
      </c>
      <c r="L1" s="202" t="s">
        <v>3771</v>
      </c>
      <c r="M1" s="203"/>
      <c r="O1" s="123" t="s">
        <v>129</v>
      </c>
      <c r="P1" s="123" t="s">
        <v>130</v>
      </c>
      <c r="Q1" s="123" t="s">
        <v>131</v>
      </c>
    </row>
    <row r="2">
      <c r="A2" s="200">
        <v>15.0</v>
      </c>
      <c r="B2" s="201" t="s">
        <v>7</v>
      </c>
      <c r="C2" s="201" t="s">
        <v>973</v>
      </c>
      <c r="D2" s="201" t="s">
        <v>164</v>
      </c>
      <c r="E2" s="201" t="s">
        <v>136</v>
      </c>
      <c r="F2" s="201" t="s">
        <v>136</v>
      </c>
      <c r="G2" s="202" t="s">
        <v>137</v>
      </c>
      <c r="H2" s="203"/>
      <c r="L2" s="201" t="s">
        <v>58</v>
      </c>
      <c r="M2" s="203"/>
      <c r="O2" s="7" t="str">
        <f t="array" ref="O2:O15">UNIQUE(D2:D187)</f>
        <v>Germany</v>
      </c>
      <c r="P2" s="7">
        <f t="shared" ref="P2:P14" si="1">COUNTIF(D$2:D$120,O2)</f>
        <v>29</v>
      </c>
      <c r="Q2" s="215" t="str">
        <f t="array" ref="Q2">XLOOKUP(O2,Countries!A$2:A$98,Countries!B$2:B$98,"tbd",0)</f>
        <v>Europe</v>
      </c>
    </row>
    <row r="3">
      <c r="A3" s="200">
        <v>55.0</v>
      </c>
      <c r="B3" s="201" t="s">
        <v>6</v>
      </c>
      <c r="C3" s="201" t="s">
        <v>1497</v>
      </c>
      <c r="D3" s="201" t="s">
        <v>165</v>
      </c>
      <c r="E3" s="201" t="s">
        <v>135</v>
      </c>
      <c r="F3" s="201" t="s">
        <v>135</v>
      </c>
      <c r="G3" s="201" t="s">
        <v>3795</v>
      </c>
      <c r="H3" s="203"/>
      <c r="L3" s="201" t="s">
        <v>58</v>
      </c>
      <c r="M3" s="203"/>
      <c r="O3" s="216" t="s">
        <v>165</v>
      </c>
      <c r="P3" s="217">
        <f t="shared" si="1"/>
        <v>1</v>
      </c>
      <c r="Q3" s="218" t="str">
        <f t="array" ref="Q3">XLOOKUP(O3,Countries!A$2:A$98,Countries!B$2:B$98,"tbd",0)</f>
        <v>Africa</v>
      </c>
    </row>
    <row r="4">
      <c r="A4" s="200">
        <v>45.0</v>
      </c>
      <c r="B4" s="201" t="s">
        <v>6</v>
      </c>
      <c r="C4" s="201" t="s">
        <v>2831</v>
      </c>
      <c r="D4" s="201" t="s">
        <v>164</v>
      </c>
      <c r="E4" s="201" t="s">
        <v>136</v>
      </c>
      <c r="F4" s="201" t="s">
        <v>136</v>
      </c>
      <c r="G4" s="202" t="s">
        <v>174</v>
      </c>
      <c r="H4" s="201" t="s">
        <v>3796</v>
      </c>
      <c r="L4" s="201" t="s">
        <v>58</v>
      </c>
      <c r="M4" s="203"/>
      <c r="O4" s="216" t="s">
        <v>373</v>
      </c>
      <c r="P4" s="217">
        <f t="shared" si="1"/>
        <v>1</v>
      </c>
      <c r="Q4" s="218" t="str">
        <f t="array" ref="Q4">XLOOKUP(O4,Countries!A$2:A$98,Countries!B$2:B$98,"tbd",0)</f>
        <v>Middle/South America</v>
      </c>
    </row>
    <row r="5">
      <c r="A5" s="200">
        <v>37.0</v>
      </c>
      <c r="B5" s="201" t="s">
        <v>6</v>
      </c>
      <c r="C5" s="201" t="s">
        <v>3797</v>
      </c>
      <c r="D5" s="201" t="s">
        <v>164</v>
      </c>
      <c r="E5" s="201" t="s">
        <v>136</v>
      </c>
      <c r="F5" s="201" t="s">
        <v>136</v>
      </c>
      <c r="G5" s="201" t="s">
        <v>185</v>
      </c>
      <c r="H5" s="201" t="s">
        <v>3798</v>
      </c>
      <c r="L5" s="201" t="s">
        <v>58</v>
      </c>
      <c r="M5" s="203"/>
      <c r="O5" s="16" t="s">
        <v>143</v>
      </c>
      <c r="P5" s="7">
        <f t="shared" si="1"/>
        <v>5</v>
      </c>
      <c r="Q5" s="215" t="str">
        <f t="array" ref="Q5">XLOOKUP(O5,Countries!A$2:A$98,Countries!B$2:B$98,"tbd",0)</f>
        <v>Europe</v>
      </c>
    </row>
    <row r="6">
      <c r="A6" s="200">
        <v>60.0</v>
      </c>
      <c r="B6" s="201" t="s">
        <v>6</v>
      </c>
      <c r="C6" s="201" t="s">
        <v>647</v>
      </c>
      <c r="D6" s="201" t="s">
        <v>373</v>
      </c>
      <c r="E6" s="201" t="s">
        <v>135</v>
      </c>
      <c r="F6" s="201" t="s">
        <v>135</v>
      </c>
      <c r="G6" s="201" t="s">
        <v>3799</v>
      </c>
      <c r="H6" s="201" t="s">
        <v>3800</v>
      </c>
      <c r="L6" s="201" t="s">
        <v>58</v>
      </c>
      <c r="M6" s="203"/>
      <c r="O6" s="216" t="s">
        <v>263</v>
      </c>
      <c r="P6" s="217">
        <f t="shared" si="1"/>
        <v>6</v>
      </c>
      <c r="Q6" s="218" t="str">
        <f t="array" ref="Q6">XLOOKUP(O6,Countries!A$2:A$98,Countries!B$2:B$98,"tbd",0)</f>
        <v>U.S. + Canada</v>
      </c>
    </row>
    <row r="7">
      <c r="A7" s="200">
        <v>31.0</v>
      </c>
      <c r="B7" s="201" t="s">
        <v>6</v>
      </c>
      <c r="C7" s="201" t="s">
        <v>3801</v>
      </c>
      <c r="D7" s="201" t="s">
        <v>164</v>
      </c>
      <c r="E7" s="201" t="s">
        <v>136</v>
      </c>
      <c r="F7" s="201" t="s">
        <v>135</v>
      </c>
      <c r="G7" s="201" t="s">
        <v>174</v>
      </c>
      <c r="H7" s="203"/>
      <c r="L7" s="201" t="s">
        <v>58</v>
      </c>
      <c r="M7" s="203"/>
      <c r="O7" s="219" t="s">
        <v>193</v>
      </c>
      <c r="P7" s="220">
        <f t="shared" si="1"/>
        <v>5</v>
      </c>
      <c r="Q7" s="221" t="str">
        <f t="array" ref="Q7">XLOOKUP(O7,Countries!A$2:A$98,Countries!B$2:B$98,"tbd",0)</f>
        <v>associated countries</v>
      </c>
    </row>
    <row r="8">
      <c r="A8" s="200">
        <v>1.0</v>
      </c>
      <c r="B8" s="201" t="s">
        <v>7</v>
      </c>
      <c r="C8" s="201" t="s">
        <v>973</v>
      </c>
      <c r="D8" s="201" t="s">
        <v>164</v>
      </c>
      <c r="E8" s="201" t="s">
        <v>136</v>
      </c>
      <c r="F8" s="201" t="s">
        <v>136</v>
      </c>
      <c r="G8" s="201" t="s">
        <v>174</v>
      </c>
      <c r="H8" s="201" t="s">
        <v>2787</v>
      </c>
      <c r="L8" s="201" t="s">
        <v>58</v>
      </c>
      <c r="M8" s="203"/>
      <c r="O8" s="219" t="s">
        <v>218</v>
      </c>
      <c r="P8" s="220">
        <f t="shared" si="1"/>
        <v>1</v>
      </c>
      <c r="Q8" s="221" t="str">
        <f t="array" ref="Q8">XLOOKUP(O8,Countries!A$2:A$98,Countries!B$2:B$98,"tbd",0)</f>
        <v>associated countries</v>
      </c>
    </row>
    <row r="9">
      <c r="A9" s="200">
        <v>17.0</v>
      </c>
      <c r="B9" s="201" t="s">
        <v>7</v>
      </c>
      <c r="C9" s="201" t="s">
        <v>338</v>
      </c>
      <c r="D9" s="201" t="s">
        <v>143</v>
      </c>
      <c r="E9" s="201" t="s">
        <v>135</v>
      </c>
      <c r="F9" s="201" t="s">
        <v>136</v>
      </c>
      <c r="G9" s="201" t="s">
        <v>137</v>
      </c>
      <c r="H9" s="201" t="s">
        <v>3802</v>
      </c>
      <c r="L9" s="201" t="s">
        <v>58</v>
      </c>
      <c r="M9" s="203"/>
      <c r="O9" s="16" t="s">
        <v>134</v>
      </c>
      <c r="P9" s="7">
        <f t="shared" si="1"/>
        <v>4</v>
      </c>
      <c r="Q9" s="215" t="str">
        <f t="array" ref="Q9">XLOOKUP(O9,Countries!A$2:A$98,Countries!B$2:B$98,"tbd",0)</f>
        <v>Europe</v>
      </c>
    </row>
    <row r="10">
      <c r="A10" s="200">
        <v>20.0</v>
      </c>
      <c r="B10" s="201" t="s">
        <v>6</v>
      </c>
      <c r="C10" s="201" t="s">
        <v>3803</v>
      </c>
      <c r="D10" s="201" t="s">
        <v>143</v>
      </c>
      <c r="E10" s="201" t="s">
        <v>135</v>
      </c>
      <c r="F10" s="201" t="s">
        <v>136</v>
      </c>
      <c r="G10" s="201" t="s">
        <v>137</v>
      </c>
      <c r="H10" s="203"/>
      <c r="L10" s="201" t="s">
        <v>58</v>
      </c>
      <c r="M10" s="203"/>
      <c r="O10" s="83" t="s">
        <v>228</v>
      </c>
      <c r="P10" s="54">
        <f t="shared" si="1"/>
        <v>3</v>
      </c>
      <c r="Q10" s="142" t="str">
        <f t="array" ref="Q10">XLOOKUP(O10,Countries!A$2:A$98,Countries!B$2:B$98,"tbd",0)</f>
        <v>widening countries</v>
      </c>
    </row>
    <row r="11">
      <c r="A11" s="200">
        <v>41.0</v>
      </c>
      <c r="B11" s="201" t="s">
        <v>6</v>
      </c>
      <c r="C11" s="201" t="s">
        <v>3804</v>
      </c>
      <c r="D11" s="201" t="s">
        <v>143</v>
      </c>
      <c r="E11" s="201" t="s">
        <v>136</v>
      </c>
      <c r="F11" s="201" t="s">
        <v>136</v>
      </c>
      <c r="G11" s="201" t="s">
        <v>1257</v>
      </c>
      <c r="H11" s="202" t="s">
        <v>3805</v>
      </c>
      <c r="L11" s="201" t="s">
        <v>58</v>
      </c>
      <c r="M11" s="203"/>
      <c r="O11" s="216" t="s">
        <v>214</v>
      </c>
      <c r="P11" s="217">
        <f t="shared" si="1"/>
        <v>2</v>
      </c>
      <c r="Q11" s="218" t="str">
        <f t="array" ref="Q11">XLOOKUP(O11,Countries!A$2:A$98,Countries!B$2:B$98,"tbd",0)</f>
        <v>Asia</v>
      </c>
    </row>
    <row r="12">
      <c r="A12" s="200">
        <v>44.0</v>
      </c>
      <c r="B12" s="201" t="s">
        <v>6</v>
      </c>
      <c r="C12" s="201" t="s">
        <v>3806</v>
      </c>
      <c r="D12" s="201" t="s">
        <v>164</v>
      </c>
      <c r="E12" s="201" t="s">
        <v>135</v>
      </c>
      <c r="F12" s="201" t="s">
        <v>136</v>
      </c>
      <c r="G12" s="201" t="s">
        <v>174</v>
      </c>
      <c r="H12" s="203"/>
      <c r="L12" s="201" t="s">
        <v>58</v>
      </c>
      <c r="M12" s="203"/>
      <c r="O12" s="216" t="s">
        <v>403</v>
      </c>
      <c r="P12" s="217">
        <f t="shared" si="1"/>
        <v>1</v>
      </c>
      <c r="Q12" s="218" t="str">
        <f t="array" ref="Q12">XLOOKUP(O12,Countries!A$2:A$98,Countries!B$2:B$98,"tbd",0)</f>
        <v>Middle/South America</v>
      </c>
    </row>
    <row r="13">
      <c r="A13" s="200">
        <v>8.0</v>
      </c>
      <c r="B13" s="201" t="s">
        <v>7</v>
      </c>
      <c r="C13" s="201" t="s">
        <v>3807</v>
      </c>
      <c r="D13" s="201" t="s">
        <v>263</v>
      </c>
      <c r="E13" s="201" t="s">
        <v>136</v>
      </c>
      <c r="F13" s="201" t="s">
        <v>136</v>
      </c>
      <c r="G13" s="201" t="s">
        <v>3808</v>
      </c>
      <c r="H13" s="203"/>
      <c r="L13" s="201" t="s">
        <v>58</v>
      </c>
      <c r="M13" s="203"/>
      <c r="O13" s="16" t="s">
        <v>187</v>
      </c>
      <c r="P13" s="7">
        <f t="shared" si="1"/>
        <v>1</v>
      </c>
      <c r="Q13" s="215" t="str">
        <f t="array" ref="Q13">XLOOKUP(O13,Countries!A$2:A$98,Countries!B$2:B$98,"tbd",0)</f>
        <v>Europe</v>
      </c>
    </row>
    <row r="14">
      <c r="A14" s="200">
        <v>10.0</v>
      </c>
      <c r="B14" s="201" t="s">
        <v>6</v>
      </c>
      <c r="C14" s="201" t="s">
        <v>3102</v>
      </c>
      <c r="D14" s="201" t="s">
        <v>164</v>
      </c>
      <c r="E14" s="201" t="s">
        <v>135</v>
      </c>
      <c r="F14" s="201" t="s">
        <v>136</v>
      </c>
      <c r="G14" s="201" t="s">
        <v>137</v>
      </c>
      <c r="H14" s="203"/>
      <c r="L14" s="201" t="s">
        <v>58</v>
      </c>
      <c r="M14" s="203"/>
      <c r="O14" s="83" t="s">
        <v>398</v>
      </c>
      <c r="P14" s="54">
        <f t="shared" si="1"/>
        <v>1</v>
      </c>
      <c r="Q14" s="142" t="str">
        <f t="array" ref="Q14">XLOOKUP(O14,Countries!A$2:A$98,Countries!B$2:B$98,"tbd",0)</f>
        <v>widening countries</v>
      </c>
    </row>
    <row r="15">
      <c r="A15" s="200">
        <v>50.0</v>
      </c>
      <c r="B15" s="201" t="s">
        <v>7</v>
      </c>
      <c r="C15" s="201" t="s">
        <v>3809</v>
      </c>
      <c r="D15" s="201" t="s">
        <v>164</v>
      </c>
      <c r="E15" s="201" t="s">
        <v>135</v>
      </c>
      <c r="F15" s="201" t="s">
        <v>136</v>
      </c>
      <c r="G15" s="201" t="s">
        <v>174</v>
      </c>
      <c r="H15" s="203"/>
      <c r="L15" s="201" t="s">
        <v>58</v>
      </c>
      <c r="M15" s="203"/>
      <c r="O15" s="16"/>
    </row>
    <row r="16">
      <c r="A16" s="200">
        <v>32.0</v>
      </c>
      <c r="B16" s="201" t="s">
        <v>6</v>
      </c>
      <c r="C16" s="201" t="s">
        <v>3457</v>
      </c>
      <c r="D16" s="201" t="s">
        <v>193</v>
      </c>
      <c r="E16" s="201" t="s">
        <v>135</v>
      </c>
      <c r="F16" s="201" t="s">
        <v>136</v>
      </c>
      <c r="G16" s="201" t="s">
        <v>3810</v>
      </c>
      <c r="H16" s="201" t="s">
        <v>3811</v>
      </c>
      <c r="L16" s="201" t="s">
        <v>58</v>
      </c>
      <c r="M16" s="203"/>
      <c r="P16" s="16">
        <f>SUM(P2:P14)</f>
        <v>60</v>
      </c>
    </row>
    <row r="17">
      <c r="A17" s="200">
        <v>34.0</v>
      </c>
      <c r="B17" s="201" t="s">
        <v>6</v>
      </c>
      <c r="C17" s="201" t="s">
        <v>641</v>
      </c>
      <c r="D17" s="201" t="s">
        <v>218</v>
      </c>
      <c r="E17" s="201" t="s">
        <v>136</v>
      </c>
      <c r="F17" s="201" t="s">
        <v>136</v>
      </c>
      <c r="G17" s="201" t="s">
        <v>3812</v>
      </c>
      <c r="H17" s="201" t="s">
        <v>3813</v>
      </c>
      <c r="L17" s="201" t="s">
        <v>58</v>
      </c>
      <c r="M17" s="203"/>
    </row>
    <row r="18">
      <c r="A18" s="200">
        <v>49.0</v>
      </c>
      <c r="B18" s="201" t="s">
        <v>6</v>
      </c>
      <c r="C18" s="201" t="s">
        <v>3814</v>
      </c>
      <c r="D18" s="201" t="s">
        <v>164</v>
      </c>
      <c r="E18" s="201" t="s">
        <v>136</v>
      </c>
      <c r="F18" s="201" t="s">
        <v>136</v>
      </c>
      <c r="G18" s="201" t="s">
        <v>185</v>
      </c>
      <c r="H18" s="201" t="s">
        <v>3815</v>
      </c>
      <c r="L18" s="201" t="s">
        <v>58</v>
      </c>
      <c r="M18" s="203"/>
    </row>
    <row r="19">
      <c r="A19" s="200">
        <v>14.0</v>
      </c>
      <c r="B19" s="201" t="s">
        <v>7</v>
      </c>
      <c r="C19" s="201" t="s">
        <v>3816</v>
      </c>
      <c r="D19" s="201" t="s">
        <v>263</v>
      </c>
      <c r="E19" s="201" t="s">
        <v>135</v>
      </c>
      <c r="F19" s="201" t="s">
        <v>136</v>
      </c>
      <c r="G19" s="201" t="s">
        <v>3817</v>
      </c>
      <c r="H19" s="203"/>
      <c r="L19" s="201" t="s">
        <v>58</v>
      </c>
      <c r="M19" s="203"/>
      <c r="P19" s="17">
        <v>4.0</v>
      </c>
      <c r="Q19" s="82" t="s">
        <v>3818</v>
      </c>
    </row>
    <row r="20">
      <c r="A20" s="200">
        <v>19.0</v>
      </c>
      <c r="B20" s="201" t="s">
        <v>6</v>
      </c>
      <c r="C20" s="201" t="s">
        <v>3819</v>
      </c>
      <c r="D20" s="201" t="s">
        <v>134</v>
      </c>
      <c r="E20" s="201" t="s">
        <v>136</v>
      </c>
      <c r="F20" s="201" t="s">
        <v>136</v>
      </c>
      <c r="G20" s="201" t="s">
        <v>137</v>
      </c>
      <c r="H20" s="201" t="s">
        <v>3820</v>
      </c>
      <c r="L20" s="201" t="s">
        <v>58</v>
      </c>
      <c r="M20" s="203"/>
      <c r="P20" s="17">
        <v>11.0</v>
      </c>
      <c r="Q20" s="222" t="s">
        <v>22</v>
      </c>
    </row>
    <row r="21">
      <c r="A21" s="200">
        <v>47.0</v>
      </c>
      <c r="B21" s="201" t="s">
        <v>6</v>
      </c>
      <c r="C21" s="201" t="s">
        <v>973</v>
      </c>
      <c r="D21" s="201" t="s">
        <v>164</v>
      </c>
      <c r="E21" s="201" t="s">
        <v>136</v>
      </c>
      <c r="F21" s="201" t="s">
        <v>136</v>
      </c>
      <c r="G21" s="201" t="s">
        <v>137</v>
      </c>
      <c r="H21" s="203"/>
      <c r="L21" s="201" t="s">
        <v>58</v>
      </c>
      <c r="M21" s="203"/>
      <c r="P21" s="17">
        <v>13.0</v>
      </c>
      <c r="Q21" s="17" t="s">
        <v>3821</v>
      </c>
    </row>
    <row r="22">
      <c r="A22" s="200">
        <v>12.0</v>
      </c>
      <c r="B22" s="201" t="s">
        <v>6</v>
      </c>
      <c r="C22" s="201" t="s">
        <v>2532</v>
      </c>
      <c r="D22" s="201" t="s">
        <v>164</v>
      </c>
      <c r="E22" s="201" t="s">
        <v>135</v>
      </c>
      <c r="F22" s="201" t="s">
        <v>136</v>
      </c>
      <c r="G22" s="201" t="s">
        <v>174</v>
      </c>
      <c r="H22" s="203"/>
      <c r="L22" s="201" t="s">
        <v>58</v>
      </c>
      <c r="M22" s="203"/>
      <c r="P22" s="17">
        <v>14.0</v>
      </c>
      <c r="Q22" s="17" t="s">
        <v>3822</v>
      </c>
    </row>
    <row r="23">
      <c r="A23" s="200">
        <v>39.0</v>
      </c>
      <c r="B23" s="201" t="s">
        <v>6</v>
      </c>
      <c r="C23" s="201" t="s">
        <v>2831</v>
      </c>
      <c r="D23" s="201" t="s">
        <v>164</v>
      </c>
      <c r="E23" s="201" t="s">
        <v>135</v>
      </c>
      <c r="F23" s="201" t="s">
        <v>136</v>
      </c>
      <c r="G23" s="201" t="s">
        <v>174</v>
      </c>
      <c r="H23" s="203"/>
      <c r="L23" s="201" t="s">
        <v>58</v>
      </c>
      <c r="M23" s="203"/>
    </row>
    <row r="24">
      <c r="A24" s="200">
        <v>28.0</v>
      </c>
      <c r="B24" s="201" t="s">
        <v>6</v>
      </c>
      <c r="C24" s="201" t="s">
        <v>3823</v>
      </c>
      <c r="D24" s="201" t="s">
        <v>164</v>
      </c>
      <c r="E24" s="201" t="s">
        <v>136</v>
      </c>
      <c r="F24" s="201" t="s">
        <v>135</v>
      </c>
      <c r="G24" s="201" t="s">
        <v>3824</v>
      </c>
      <c r="H24" s="203"/>
      <c r="L24" s="201" t="s">
        <v>58</v>
      </c>
      <c r="M24" s="203"/>
    </row>
    <row r="25">
      <c r="A25" s="200">
        <v>51.0</v>
      </c>
      <c r="B25" s="201" t="s">
        <v>6</v>
      </c>
      <c r="C25" s="201" t="s">
        <v>3825</v>
      </c>
      <c r="D25" s="201" t="s">
        <v>164</v>
      </c>
      <c r="E25" s="201" t="s">
        <v>136</v>
      </c>
      <c r="F25" s="201" t="s">
        <v>135</v>
      </c>
      <c r="G25" s="201" t="s">
        <v>3826</v>
      </c>
      <c r="H25" s="203"/>
      <c r="L25" s="201" t="s">
        <v>58</v>
      </c>
      <c r="M25" s="203"/>
    </row>
    <row r="26">
      <c r="A26" s="200">
        <v>61.0</v>
      </c>
      <c r="B26" s="201" t="s">
        <v>6</v>
      </c>
      <c r="C26" s="201" t="s">
        <v>2921</v>
      </c>
      <c r="D26" s="201" t="s">
        <v>228</v>
      </c>
      <c r="E26" s="201" t="s">
        <v>135</v>
      </c>
      <c r="F26" s="201" t="s">
        <v>136</v>
      </c>
      <c r="G26" s="201" t="s">
        <v>3817</v>
      </c>
      <c r="H26" s="203"/>
      <c r="L26" s="201" t="s">
        <v>58</v>
      </c>
      <c r="M26" s="203"/>
    </row>
    <row r="27">
      <c r="A27" s="200">
        <v>5.0</v>
      </c>
      <c r="B27" s="201" t="s">
        <v>6</v>
      </c>
      <c r="C27" s="201" t="s">
        <v>2831</v>
      </c>
      <c r="D27" s="201" t="s">
        <v>164</v>
      </c>
      <c r="E27" s="201" t="s">
        <v>135</v>
      </c>
      <c r="F27" s="201" t="s">
        <v>136</v>
      </c>
      <c r="G27" s="201" t="s">
        <v>297</v>
      </c>
      <c r="H27" s="203"/>
      <c r="L27" s="201" t="s">
        <v>58</v>
      </c>
      <c r="M27" s="203"/>
    </row>
    <row r="28">
      <c r="A28" s="200">
        <v>6.0</v>
      </c>
      <c r="B28" s="201" t="s">
        <v>6</v>
      </c>
      <c r="C28" s="201" t="s">
        <v>3827</v>
      </c>
      <c r="D28" s="201" t="s">
        <v>263</v>
      </c>
      <c r="E28" s="201" t="s">
        <v>135</v>
      </c>
      <c r="F28" s="201" t="s">
        <v>136</v>
      </c>
      <c r="G28" s="201" t="s">
        <v>180</v>
      </c>
      <c r="H28" s="203"/>
      <c r="L28" s="201" t="s">
        <v>58</v>
      </c>
      <c r="M28" s="203"/>
    </row>
    <row r="29">
      <c r="A29" s="200">
        <v>57.0</v>
      </c>
      <c r="B29" s="201" t="s">
        <v>185</v>
      </c>
      <c r="C29" s="201" t="s">
        <v>315</v>
      </c>
      <c r="D29" s="201" t="s">
        <v>164</v>
      </c>
      <c r="E29" s="201" t="s">
        <v>135</v>
      </c>
      <c r="F29" s="201" t="s">
        <v>136</v>
      </c>
      <c r="G29" s="201" t="s">
        <v>137</v>
      </c>
      <c r="H29" s="203"/>
      <c r="L29" s="201" t="s">
        <v>58</v>
      </c>
      <c r="M29" s="203"/>
    </row>
    <row r="30">
      <c r="A30" s="200">
        <v>42.0</v>
      </c>
      <c r="B30" s="201" t="s">
        <v>6</v>
      </c>
      <c r="C30" s="201" t="s">
        <v>3828</v>
      </c>
      <c r="D30" s="201" t="s">
        <v>134</v>
      </c>
      <c r="E30" s="201" t="s">
        <v>135</v>
      </c>
      <c r="F30" s="201" t="s">
        <v>136</v>
      </c>
      <c r="G30" s="201" t="s">
        <v>3829</v>
      </c>
      <c r="H30" s="203"/>
      <c r="L30" s="201" t="s">
        <v>58</v>
      </c>
      <c r="M30" s="203"/>
    </row>
    <row r="31">
      <c r="A31" s="200">
        <v>36.0</v>
      </c>
      <c r="B31" s="201" t="s">
        <v>6</v>
      </c>
      <c r="C31" s="201" t="s">
        <v>3830</v>
      </c>
      <c r="D31" s="201" t="s">
        <v>193</v>
      </c>
      <c r="E31" s="201" t="s">
        <v>135</v>
      </c>
      <c r="F31" s="201" t="s">
        <v>136</v>
      </c>
      <c r="G31" s="201" t="s">
        <v>174</v>
      </c>
      <c r="H31" s="203"/>
      <c r="L31" s="201" t="s">
        <v>58</v>
      </c>
      <c r="M31" s="203"/>
    </row>
    <row r="32">
      <c r="A32" s="200">
        <v>25.0</v>
      </c>
      <c r="B32" s="201" t="s">
        <v>6</v>
      </c>
      <c r="C32" s="201" t="s">
        <v>3831</v>
      </c>
      <c r="D32" s="201" t="s">
        <v>263</v>
      </c>
      <c r="E32" s="201" t="s">
        <v>136</v>
      </c>
      <c r="F32" s="201" t="s">
        <v>136</v>
      </c>
      <c r="G32" s="201" t="s">
        <v>3832</v>
      </c>
      <c r="H32" s="201" t="s">
        <v>3833</v>
      </c>
      <c r="L32" s="201" t="s">
        <v>58</v>
      </c>
      <c r="M32" s="203"/>
    </row>
    <row r="33">
      <c r="A33" s="200">
        <v>7.0</v>
      </c>
      <c r="B33" s="201" t="s">
        <v>7</v>
      </c>
      <c r="C33" s="201" t="s">
        <v>973</v>
      </c>
      <c r="D33" s="201" t="s">
        <v>164</v>
      </c>
      <c r="E33" s="201" t="s">
        <v>135</v>
      </c>
      <c r="F33" s="201" t="s">
        <v>136</v>
      </c>
      <c r="G33" s="201" t="s">
        <v>3834</v>
      </c>
      <c r="H33" s="203"/>
      <c r="L33" s="201" t="s">
        <v>58</v>
      </c>
      <c r="M33" s="203"/>
    </row>
    <row r="34">
      <c r="A34" s="200">
        <v>30.0</v>
      </c>
      <c r="B34" s="201" t="s">
        <v>6</v>
      </c>
      <c r="C34" s="201" t="s">
        <v>2532</v>
      </c>
      <c r="D34" s="201" t="s">
        <v>164</v>
      </c>
      <c r="E34" s="201" t="s">
        <v>135</v>
      </c>
      <c r="F34" s="201" t="s">
        <v>136</v>
      </c>
      <c r="G34" s="201" t="s">
        <v>174</v>
      </c>
      <c r="H34" s="203"/>
      <c r="L34" s="201" t="s">
        <v>58</v>
      </c>
      <c r="M34" s="203"/>
    </row>
    <row r="35">
      <c r="A35" s="200">
        <v>24.0</v>
      </c>
      <c r="B35" s="201" t="s">
        <v>6</v>
      </c>
      <c r="C35" s="201" t="s">
        <v>3797</v>
      </c>
      <c r="D35" s="201" t="s">
        <v>164</v>
      </c>
      <c r="E35" s="201" t="s">
        <v>136</v>
      </c>
      <c r="F35" s="201" t="s">
        <v>136</v>
      </c>
      <c r="G35" s="201" t="s">
        <v>1257</v>
      </c>
      <c r="H35" s="201" t="s">
        <v>3835</v>
      </c>
      <c r="L35" s="201" t="s">
        <v>58</v>
      </c>
      <c r="M35" s="203"/>
    </row>
    <row r="36">
      <c r="A36" s="200">
        <v>48.0</v>
      </c>
      <c r="B36" s="201" t="s">
        <v>7</v>
      </c>
      <c r="C36" s="201" t="s">
        <v>3836</v>
      </c>
      <c r="D36" s="201" t="s">
        <v>164</v>
      </c>
      <c r="E36" s="201" t="s">
        <v>135</v>
      </c>
      <c r="F36" s="201" t="s">
        <v>136</v>
      </c>
      <c r="G36" s="201" t="s">
        <v>3837</v>
      </c>
      <c r="H36" s="203"/>
      <c r="L36" s="201" t="s">
        <v>58</v>
      </c>
      <c r="M36" s="203"/>
    </row>
    <row r="37">
      <c r="A37" s="200">
        <v>16.0</v>
      </c>
      <c r="B37" s="201" t="s">
        <v>6</v>
      </c>
      <c r="C37" s="201" t="s">
        <v>1174</v>
      </c>
      <c r="D37" s="201" t="s">
        <v>134</v>
      </c>
      <c r="E37" s="201" t="s">
        <v>136</v>
      </c>
      <c r="F37" s="201" t="s">
        <v>136</v>
      </c>
      <c r="G37" s="201" t="s">
        <v>180</v>
      </c>
      <c r="H37" s="203"/>
      <c r="L37" s="201" t="s">
        <v>58</v>
      </c>
      <c r="M37" s="203"/>
    </row>
    <row r="38">
      <c r="A38" s="200">
        <v>26.0</v>
      </c>
      <c r="B38" s="201" t="s">
        <v>6</v>
      </c>
      <c r="C38" s="201" t="s">
        <v>3838</v>
      </c>
      <c r="D38" s="201" t="s">
        <v>214</v>
      </c>
      <c r="E38" s="201" t="s">
        <v>135</v>
      </c>
      <c r="F38" s="201" t="s">
        <v>136</v>
      </c>
      <c r="G38" s="201" t="s">
        <v>137</v>
      </c>
      <c r="H38" s="203"/>
      <c r="L38" s="201" t="s">
        <v>58</v>
      </c>
      <c r="M38" s="203"/>
    </row>
    <row r="39">
      <c r="A39" s="200">
        <v>29.0</v>
      </c>
      <c r="B39" s="201" t="s">
        <v>6</v>
      </c>
      <c r="C39" s="201" t="s">
        <v>1051</v>
      </c>
      <c r="D39" s="201" t="s">
        <v>214</v>
      </c>
      <c r="E39" s="201" t="s">
        <v>135</v>
      </c>
      <c r="F39" s="201" t="s">
        <v>136</v>
      </c>
      <c r="G39" s="201" t="s">
        <v>137</v>
      </c>
      <c r="H39" s="203"/>
      <c r="L39" s="201" t="s">
        <v>58</v>
      </c>
      <c r="M39" s="203"/>
    </row>
    <row r="40">
      <c r="A40" s="200">
        <v>21.0</v>
      </c>
      <c r="B40" s="201" t="s">
        <v>7</v>
      </c>
      <c r="C40" s="201" t="s">
        <v>3839</v>
      </c>
      <c r="D40" s="201" t="s">
        <v>164</v>
      </c>
      <c r="E40" s="201" t="s">
        <v>135</v>
      </c>
      <c r="F40" s="201" t="s">
        <v>136</v>
      </c>
      <c r="G40" s="201" t="s">
        <v>137</v>
      </c>
      <c r="H40" s="203"/>
      <c r="L40" s="201" t="s">
        <v>58</v>
      </c>
      <c r="M40" s="203"/>
    </row>
    <row r="41">
      <c r="A41" s="200">
        <v>33.0</v>
      </c>
      <c r="B41" s="201" t="s">
        <v>6</v>
      </c>
      <c r="C41" s="201" t="s">
        <v>3840</v>
      </c>
      <c r="D41" s="201" t="s">
        <v>164</v>
      </c>
      <c r="E41" s="201" t="s">
        <v>136</v>
      </c>
      <c r="F41" s="201" t="s">
        <v>135</v>
      </c>
      <c r="G41" s="201" t="s">
        <v>174</v>
      </c>
      <c r="H41" s="203"/>
      <c r="L41" s="201" t="s">
        <v>58</v>
      </c>
      <c r="M41" s="203"/>
    </row>
    <row r="42">
      <c r="A42" s="200">
        <v>27.0</v>
      </c>
      <c r="B42" s="201" t="s">
        <v>6</v>
      </c>
      <c r="C42" s="201" t="s">
        <v>3841</v>
      </c>
      <c r="D42" s="201" t="s">
        <v>164</v>
      </c>
      <c r="E42" s="201" t="s">
        <v>136</v>
      </c>
      <c r="F42" s="201" t="s">
        <v>135</v>
      </c>
      <c r="G42" s="201" t="s">
        <v>174</v>
      </c>
      <c r="H42" s="203"/>
      <c r="L42" s="201" t="s">
        <v>58</v>
      </c>
      <c r="M42" s="203"/>
    </row>
    <row r="43">
      <c r="A43" s="200">
        <v>35.0</v>
      </c>
      <c r="B43" s="201" t="s">
        <v>7</v>
      </c>
      <c r="C43" s="201" t="s">
        <v>3830</v>
      </c>
      <c r="D43" s="201" t="s">
        <v>193</v>
      </c>
      <c r="E43" s="201" t="s">
        <v>136</v>
      </c>
      <c r="F43" s="201" t="s">
        <v>136</v>
      </c>
      <c r="G43" s="201" t="s">
        <v>3842</v>
      </c>
      <c r="H43" s="203"/>
      <c r="L43" s="201" t="s">
        <v>58</v>
      </c>
      <c r="M43" s="203"/>
    </row>
    <row r="44">
      <c r="A44" s="200">
        <v>54.0</v>
      </c>
      <c r="B44" s="201" t="s">
        <v>6</v>
      </c>
      <c r="C44" s="201" t="s">
        <v>3843</v>
      </c>
      <c r="D44" s="201" t="s">
        <v>164</v>
      </c>
      <c r="E44" s="201" t="s">
        <v>136</v>
      </c>
      <c r="F44" s="201" t="s">
        <v>135</v>
      </c>
      <c r="G44" s="201" t="s">
        <v>174</v>
      </c>
      <c r="H44" s="203"/>
      <c r="L44" s="201" t="s">
        <v>58</v>
      </c>
      <c r="M44" s="203"/>
    </row>
    <row r="45">
      <c r="A45" s="200">
        <v>43.0</v>
      </c>
      <c r="B45" s="201" t="s">
        <v>7</v>
      </c>
      <c r="C45" s="201" t="s">
        <v>3844</v>
      </c>
      <c r="D45" s="201" t="s">
        <v>403</v>
      </c>
      <c r="E45" s="201" t="s">
        <v>135</v>
      </c>
      <c r="F45" s="201" t="s">
        <v>136</v>
      </c>
      <c r="G45" s="201" t="s">
        <v>3845</v>
      </c>
      <c r="H45" s="203"/>
      <c r="L45" s="201" t="s">
        <v>58</v>
      </c>
      <c r="M45" s="203"/>
    </row>
    <row r="46">
      <c r="A46" s="200">
        <v>46.0</v>
      </c>
      <c r="B46" s="201" t="s">
        <v>6</v>
      </c>
      <c r="C46" s="201" t="s">
        <v>3846</v>
      </c>
      <c r="D46" s="201" t="s">
        <v>164</v>
      </c>
      <c r="E46" s="201" t="s">
        <v>135</v>
      </c>
      <c r="F46" s="201" t="s">
        <v>135</v>
      </c>
      <c r="G46" s="201" t="s">
        <v>174</v>
      </c>
      <c r="H46" s="203"/>
      <c r="L46" s="201" t="s">
        <v>58</v>
      </c>
      <c r="M46" s="203"/>
    </row>
    <row r="47">
      <c r="A47" s="200">
        <v>9.0</v>
      </c>
      <c r="B47" s="201" t="s">
        <v>6</v>
      </c>
      <c r="C47" s="201" t="s">
        <v>220</v>
      </c>
      <c r="D47" s="201" t="s">
        <v>187</v>
      </c>
      <c r="E47" s="201" t="s">
        <v>135</v>
      </c>
      <c r="F47" s="201" t="s">
        <v>136</v>
      </c>
      <c r="G47" s="201" t="s">
        <v>137</v>
      </c>
      <c r="H47" s="203"/>
      <c r="L47" s="201" t="s">
        <v>58</v>
      </c>
      <c r="M47" s="203"/>
    </row>
    <row r="48">
      <c r="A48" s="200">
        <v>18.0</v>
      </c>
      <c r="B48" s="201" t="s">
        <v>6</v>
      </c>
      <c r="C48" s="201" t="s">
        <v>2831</v>
      </c>
      <c r="D48" s="201" t="s">
        <v>164</v>
      </c>
      <c r="E48" s="201" t="s">
        <v>135</v>
      </c>
      <c r="F48" s="201" t="s">
        <v>136</v>
      </c>
      <c r="G48" s="201" t="s">
        <v>174</v>
      </c>
      <c r="H48" s="203"/>
      <c r="L48" s="201" t="s">
        <v>58</v>
      </c>
      <c r="M48" s="203"/>
    </row>
    <row r="49">
      <c r="A49" s="200">
        <v>59.0</v>
      </c>
      <c r="B49" s="201" t="s">
        <v>6</v>
      </c>
      <c r="C49" s="201" t="s">
        <v>3847</v>
      </c>
      <c r="D49" s="201" t="s">
        <v>134</v>
      </c>
      <c r="E49" s="201" t="s">
        <v>135</v>
      </c>
      <c r="F49" s="201" t="s">
        <v>136</v>
      </c>
      <c r="G49" s="201" t="s">
        <v>137</v>
      </c>
      <c r="H49" s="203"/>
      <c r="L49" s="201" t="s">
        <v>58</v>
      </c>
      <c r="M49" s="203"/>
    </row>
    <row r="50">
      <c r="A50" s="200">
        <v>56.0</v>
      </c>
      <c r="B50" s="201" t="s">
        <v>6</v>
      </c>
      <c r="C50" s="201" t="s">
        <v>3848</v>
      </c>
      <c r="D50" s="201" t="s">
        <v>228</v>
      </c>
      <c r="E50" s="201" t="s">
        <v>135</v>
      </c>
      <c r="F50" s="201" t="s">
        <v>136</v>
      </c>
      <c r="G50" s="201" t="s">
        <v>3849</v>
      </c>
      <c r="H50" s="203"/>
      <c r="L50" s="201" t="s">
        <v>58</v>
      </c>
      <c r="M50" s="203"/>
    </row>
    <row r="51">
      <c r="A51" s="200">
        <v>58.0</v>
      </c>
      <c r="B51" s="201" t="s">
        <v>6</v>
      </c>
      <c r="C51" s="201" t="s">
        <v>3850</v>
      </c>
      <c r="D51" s="201" t="s">
        <v>228</v>
      </c>
      <c r="E51" s="201" t="s">
        <v>135</v>
      </c>
      <c r="F51" s="201" t="s">
        <v>136</v>
      </c>
      <c r="G51" s="201" t="s">
        <v>3851</v>
      </c>
      <c r="H51" s="203"/>
      <c r="L51" s="201" t="s">
        <v>58</v>
      </c>
      <c r="M51" s="203"/>
    </row>
    <row r="52">
      <c r="A52" s="200">
        <v>3.0</v>
      </c>
      <c r="B52" s="201" t="s">
        <v>7</v>
      </c>
      <c r="C52" s="201" t="s">
        <v>2139</v>
      </c>
      <c r="D52" s="201" t="s">
        <v>143</v>
      </c>
      <c r="E52" s="201" t="s">
        <v>136</v>
      </c>
      <c r="F52" s="201" t="s">
        <v>136</v>
      </c>
      <c r="G52" s="201" t="s">
        <v>137</v>
      </c>
      <c r="H52" s="203"/>
      <c r="L52" s="201" t="s">
        <v>58</v>
      </c>
      <c r="M52" s="203"/>
    </row>
    <row r="53">
      <c r="A53" s="200">
        <v>13.0</v>
      </c>
      <c r="B53" s="201" t="s">
        <v>6</v>
      </c>
      <c r="C53" s="201" t="s">
        <v>973</v>
      </c>
      <c r="D53" s="201" t="s">
        <v>164</v>
      </c>
      <c r="E53" s="201" t="s">
        <v>136</v>
      </c>
      <c r="F53" s="201" t="s">
        <v>136</v>
      </c>
      <c r="G53" s="201" t="s">
        <v>137</v>
      </c>
      <c r="H53" s="203"/>
      <c r="L53" s="201" t="s">
        <v>58</v>
      </c>
      <c r="M53" s="203"/>
    </row>
    <row r="54">
      <c r="A54" s="200">
        <v>52.0</v>
      </c>
      <c r="B54" s="201" t="s">
        <v>6</v>
      </c>
      <c r="C54" s="201" t="s">
        <v>3846</v>
      </c>
      <c r="D54" s="201" t="s">
        <v>164</v>
      </c>
      <c r="E54" s="201" t="s">
        <v>136</v>
      </c>
      <c r="F54" s="201" t="s">
        <v>135</v>
      </c>
      <c r="G54" s="201" t="s">
        <v>3852</v>
      </c>
      <c r="H54" s="203"/>
      <c r="L54" s="201" t="s">
        <v>58</v>
      </c>
      <c r="M54" s="203"/>
    </row>
    <row r="55">
      <c r="A55" s="200">
        <v>4.0</v>
      </c>
      <c r="B55" s="201" t="s">
        <v>6</v>
      </c>
      <c r="C55" s="201" t="s">
        <v>3190</v>
      </c>
      <c r="D55" s="201" t="s">
        <v>398</v>
      </c>
      <c r="E55" s="201" t="s">
        <v>136</v>
      </c>
      <c r="F55" s="201" t="s">
        <v>136</v>
      </c>
      <c r="G55" s="201" t="s">
        <v>3853</v>
      </c>
      <c r="H55" s="203"/>
      <c r="L55" s="201" t="s">
        <v>58</v>
      </c>
      <c r="M55" s="203"/>
    </row>
    <row r="56">
      <c r="A56" s="200">
        <v>22.0</v>
      </c>
      <c r="B56" s="201" t="s">
        <v>6</v>
      </c>
      <c r="C56" s="201" t="s">
        <v>3830</v>
      </c>
      <c r="D56" s="201" t="s">
        <v>193</v>
      </c>
      <c r="E56" s="201" t="s">
        <v>136</v>
      </c>
      <c r="F56" s="201" t="s">
        <v>136</v>
      </c>
      <c r="G56" s="201" t="s">
        <v>174</v>
      </c>
      <c r="H56" s="203"/>
      <c r="L56" s="201" t="s">
        <v>58</v>
      </c>
      <c r="M56" s="203"/>
    </row>
    <row r="57">
      <c r="A57" s="200">
        <v>11.0</v>
      </c>
      <c r="B57" s="201" t="s">
        <v>6</v>
      </c>
      <c r="C57" s="201" t="s">
        <v>2532</v>
      </c>
      <c r="D57" s="201" t="s">
        <v>164</v>
      </c>
      <c r="E57" s="201" t="s">
        <v>135</v>
      </c>
      <c r="F57" s="201" t="s">
        <v>136</v>
      </c>
      <c r="G57" s="201" t="s">
        <v>1042</v>
      </c>
      <c r="H57" s="203"/>
      <c r="L57" s="201" t="s">
        <v>58</v>
      </c>
      <c r="M57" s="203"/>
    </row>
    <row r="58">
      <c r="A58" s="200">
        <v>40.0</v>
      </c>
      <c r="B58" s="201" t="s">
        <v>6</v>
      </c>
      <c r="C58" s="201" t="s">
        <v>3804</v>
      </c>
      <c r="D58" s="201" t="s">
        <v>143</v>
      </c>
      <c r="E58" s="201" t="s">
        <v>136</v>
      </c>
      <c r="F58" s="201" t="s">
        <v>136</v>
      </c>
      <c r="G58" s="201" t="s">
        <v>185</v>
      </c>
      <c r="H58" s="201" t="s">
        <v>3854</v>
      </c>
      <c r="L58" s="201" t="s">
        <v>58</v>
      </c>
      <c r="M58" s="203"/>
    </row>
    <row r="59">
      <c r="A59" s="200">
        <v>53.0</v>
      </c>
      <c r="B59" s="201" t="s">
        <v>6</v>
      </c>
      <c r="C59" s="201" t="s">
        <v>3855</v>
      </c>
      <c r="D59" s="201" t="s">
        <v>263</v>
      </c>
      <c r="E59" s="201" t="s">
        <v>135</v>
      </c>
      <c r="F59" s="201" t="s">
        <v>136</v>
      </c>
      <c r="G59" s="201" t="s">
        <v>3856</v>
      </c>
      <c r="H59" s="202" t="s">
        <v>3857</v>
      </c>
      <c r="L59" s="201" t="s">
        <v>58</v>
      </c>
      <c r="M59" s="203"/>
    </row>
    <row r="60">
      <c r="A60" s="200">
        <v>23.0</v>
      </c>
      <c r="B60" s="201" t="s">
        <v>6</v>
      </c>
      <c r="C60" s="201" t="s">
        <v>3830</v>
      </c>
      <c r="D60" s="201" t="s">
        <v>193</v>
      </c>
      <c r="E60" s="201" t="s">
        <v>135</v>
      </c>
      <c r="F60" s="201" t="s">
        <v>136</v>
      </c>
      <c r="G60" s="201" t="s">
        <v>185</v>
      </c>
      <c r="H60" s="202" t="s">
        <v>3549</v>
      </c>
      <c r="L60" s="201" t="s">
        <v>58</v>
      </c>
      <c r="M60" s="203"/>
    </row>
    <row r="61">
      <c r="A61" s="200">
        <v>38.0</v>
      </c>
      <c r="B61" s="201" t="s">
        <v>6</v>
      </c>
      <c r="C61" s="201" t="s">
        <v>3858</v>
      </c>
      <c r="D61" s="201" t="s">
        <v>263</v>
      </c>
      <c r="E61" s="201" t="s">
        <v>135</v>
      </c>
      <c r="F61" s="201" t="s">
        <v>136</v>
      </c>
      <c r="G61" s="201" t="s">
        <v>137</v>
      </c>
      <c r="H61" s="201" t="s">
        <v>1141</v>
      </c>
      <c r="L61" s="201" t="s">
        <v>58</v>
      </c>
      <c r="M61" s="20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74.14"/>
    <col customWidth="1" min="8" max="8" width="32.86"/>
  </cols>
  <sheetData>
    <row r="1">
      <c r="A1" s="202" t="s">
        <v>116</v>
      </c>
      <c r="B1" s="202" t="s">
        <v>117</v>
      </c>
      <c r="C1" s="202" t="s">
        <v>118</v>
      </c>
      <c r="D1" s="202" t="s">
        <v>119</v>
      </c>
      <c r="E1" s="202" t="s">
        <v>120</v>
      </c>
      <c r="F1" s="202" t="s">
        <v>121</v>
      </c>
      <c r="G1" s="202" t="s">
        <v>122</v>
      </c>
      <c r="H1" s="202" t="s">
        <v>123</v>
      </c>
      <c r="I1" s="202" t="s">
        <v>3794</v>
      </c>
      <c r="J1" s="202" t="s">
        <v>125</v>
      </c>
      <c r="K1" s="202" t="s">
        <v>3770</v>
      </c>
      <c r="L1" s="202" t="s">
        <v>3771</v>
      </c>
      <c r="O1" s="123" t="s">
        <v>129</v>
      </c>
      <c r="P1" s="123" t="s">
        <v>130</v>
      </c>
      <c r="Q1" s="123" t="s">
        <v>131</v>
      </c>
    </row>
    <row r="2">
      <c r="A2" s="200">
        <v>19.0</v>
      </c>
      <c r="B2" s="201" t="s">
        <v>7</v>
      </c>
      <c r="C2" s="201" t="s">
        <v>1510</v>
      </c>
      <c r="D2" s="201" t="s">
        <v>177</v>
      </c>
      <c r="E2" s="201" t="s">
        <v>135</v>
      </c>
      <c r="F2" s="201" t="s">
        <v>136</v>
      </c>
      <c r="G2" s="202" t="s">
        <v>2672</v>
      </c>
      <c r="H2" s="203"/>
      <c r="I2" s="201" t="s">
        <v>136</v>
      </c>
      <c r="J2" s="204">
        <v>45809.10763888889</v>
      </c>
      <c r="K2" s="201" t="s">
        <v>2502</v>
      </c>
      <c r="L2" s="201" t="s">
        <v>312</v>
      </c>
      <c r="O2" s="217" t="str">
        <f t="array" ref="O2:O13">UNIQUE(D2:D187)</f>
        <v>Morocco</v>
      </c>
      <c r="P2" s="217">
        <f t="shared" ref="P2:P12" si="1">COUNTIF(D$2:D$120,O2)</f>
        <v>3</v>
      </c>
      <c r="Q2" s="218" t="str">
        <f t="array" ref="Q2">XLOOKUP(O2,Countries!A$2:A$98,Countries!B$2:B$98,"tbd",0)</f>
        <v>Africa</v>
      </c>
    </row>
    <row r="3">
      <c r="A3" s="200">
        <v>25.0</v>
      </c>
      <c r="B3" s="201" t="s">
        <v>6</v>
      </c>
      <c r="C3" s="201" t="s">
        <v>3736</v>
      </c>
      <c r="D3" s="201" t="s">
        <v>202</v>
      </c>
      <c r="E3" s="201" t="s">
        <v>136</v>
      </c>
      <c r="F3" s="201" t="s">
        <v>136</v>
      </c>
      <c r="G3" s="201" t="s">
        <v>3859</v>
      </c>
      <c r="H3" s="201" t="s">
        <v>3738</v>
      </c>
      <c r="I3" s="201" t="s">
        <v>136</v>
      </c>
      <c r="J3" s="204">
        <v>45821.444444444445</v>
      </c>
      <c r="K3" s="201" t="s">
        <v>2513</v>
      </c>
      <c r="L3" s="201" t="s">
        <v>312</v>
      </c>
      <c r="O3" s="16" t="s">
        <v>202</v>
      </c>
      <c r="P3" s="7">
        <f t="shared" si="1"/>
        <v>12</v>
      </c>
      <c r="Q3" s="215" t="str">
        <f t="array" ref="Q3">XLOOKUP(O3,Countries!A$2:A$98,Countries!B$2:B$98,"tbd",0)</f>
        <v>Europe</v>
      </c>
    </row>
    <row r="4">
      <c r="A4" s="200">
        <v>26.0</v>
      </c>
      <c r="B4" s="201" t="s">
        <v>6</v>
      </c>
      <c r="C4" s="201" t="s">
        <v>3739</v>
      </c>
      <c r="D4" s="201" t="s">
        <v>313</v>
      </c>
      <c r="E4" s="201" t="s">
        <v>136</v>
      </c>
      <c r="F4" s="201" t="s">
        <v>136</v>
      </c>
      <c r="G4" s="201" t="s">
        <v>3860</v>
      </c>
      <c r="H4" s="202" t="s">
        <v>455</v>
      </c>
      <c r="I4" s="201" t="s">
        <v>135</v>
      </c>
      <c r="J4" s="204">
        <v>45821.76666666667</v>
      </c>
      <c r="K4" s="201" t="s">
        <v>3690</v>
      </c>
      <c r="L4" s="201" t="s">
        <v>312</v>
      </c>
      <c r="O4" s="216" t="s">
        <v>313</v>
      </c>
      <c r="P4" s="217">
        <f t="shared" si="1"/>
        <v>2</v>
      </c>
      <c r="Q4" s="218" t="str">
        <f t="array" ref="Q4">XLOOKUP(O4,Countries!A$2:A$98,Countries!B$2:B$98,"tbd",0)</f>
        <v>Middle/South America</v>
      </c>
    </row>
    <row r="5">
      <c r="A5" s="200">
        <v>7.0</v>
      </c>
      <c r="B5" s="201" t="s">
        <v>6</v>
      </c>
      <c r="C5" s="201" t="s">
        <v>3741</v>
      </c>
      <c r="D5" s="201" t="s">
        <v>160</v>
      </c>
      <c r="E5" s="201" t="s">
        <v>135</v>
      </c>
      <c r="F5" s="201" t="s">
        <v>135</v>
      </c>
      <c r="G5" s="201" t="s">
        <v>221</v>
      </c>
      <c r="H5" s="203"/>
      <c r="I5" s="201" t="s">
        <v>136</v>
      </c>
      <c r="J5" s="204">
        <v>45799.61111111111</v>
      </c>
      <c r="K5" s="201" t="s">
        <v>2502</v>
      </c>
      <c r="L5" s="201" t="s">
        <v>312</v>
      </c>
      <c r="O5" s="216" t="s">
        <v>160</v>
      </c>
      <c r="P5" s="217">
        <f t="shared" si="1"/>
        <v>1</v>
      </c>
      <c r="Q5" s="218" t="str">
        <f t="array" ref="Q5">XLOOKUP(O5,Countries!A$2:A$98,Countries!B$2:B$98,"tbd",0)</f>
        <v>Africa</v>
      </c>
    </row>
    <row r="6">
      <c r="A6" s="200">
        <v>10.0</v>
      </c>
      <c r="B6" s="201" t="s">
        <v>6</v>
      </c>
      <c r="C6" s="201" t="s">
        <v>3688</v>
      </c>
      <c r="D6" s="201" t="s">
        <v>143</v>
      </c>
      <c r="E6" s="201" t="s">
        <v>135</v>
      </c>
      <c r="F6" s="201" t="s">
        <v>136</v>
      </c>
      <c r="G6" s="201" t="s">
        <v>448</v>
      </c>
      <c r="H6" s="203"/>
      <c r="I6" s="201" t="s">
        <v>135</v>
      </c>
      <c r="J6" s="204">
        <v>45803.71111111111</v>
      </c>
      <c r="K6" s="201" t="s">
        <v>3690</v>
      </c>
      <c r="L6" s="201" t="s">
        <v>312</v>
      </c>
      <c r="O6" s="16" t="s">
        <v>143</v>
      </c>
      <c r="P6" s="7">
        <f t="shared" si="1"/>
        <v>2</v>
      </c>
      <c r="Q6" s="215" t="str">
        <f t="array" ref="Q6">XLOOKUP(O6,Countries!A$2:A$98,Countries!B$2:B$98,"tbd",0)</f>
        <v>Europe</v>
      </c>
    </row>
    <row r="7">
      <c r="A7" s="200">
        <v>23.0</v>
      </c>
      <c r="B7" s="201" t="s">
        <v>6</v>
      </c>
      <c r="C7" s="201" t="s">
        <v>1000</v>
      </c>
      <c r="D7" s="201" t="s">
        <v>202</v>
      </c>
      <c r="E7" s="201" t="s">
        <v>135</v>
      </c>
      <c r="F7" s="201" t="s">
        <v>136</v>
      </c>
      <c r="G7" s="201" t="s">
        <v>460</v>
      </c>
      <c r="H7" s="203"/>
      <c r="I7" s="201" t="s">
        <v>135</v>
      </c>
      <c r="J7" s="204">
        <v>45817.805555555555</v>
      </c>
      <c r="K7" s="201" t="s">
        <v>2513</v>
      </c>
      <c r="L7" s="201" t="s">
        <v>312</v>
      </c>
      <c r="O7" s="83" t="s">
        <v>228</v>
      </c>
      <c r="P7" s="54">
        <f t="shared" si="1"/>
        <v>1</v>
      </c>
      <c r="Q7" s="142" t="str">
        <f t="array" ref="Q7">XLOOKUP(O7,Countries!A$2:A$98,Countries!B$2:B$98,"tbd",0)</f>
        <v>widening countries</v>
      </c>
    </row>
    <row r="8">
      <c r="A8" s="200">
        <v>22.0</v>
      </c>
      <c r="B8" s="201" t="s">
        <v>6</v>
      </c>
      <c r="C8" s="201" t="s">
        <v>1014</v>
      </c>
      <c r="D8" s="201" t="s">
        <v>202</v>
      </c>
      <c r="E8" s="201" t="s">
        <v>135</v>
      </c>
      <c r="F8" s="201" t="s">
        <v>136</v>
      </c>
      <c r="G8" s="201" t="s">
        <v>349</v>
      </c>
      <c r="H8" s="203"/>
      <c r="I8" s="201" t="s">
        <v>135</v>
      </c>
      <c r="J8" s="204">
        <v>45813.55694444444</v>
      </c>
      <c r="K8" s="201" t="s">
        <v>2513</v>
      </c>
      <c r="L8" s="201" t="s">
        <v>312</v>
      </c>
      <c r="O8" s="216" t="s">
        <v>290</v>
      </c>
      <c r="P8" s="217">
        <f t="shared" si="1"/>
        <v>1</v>
      </c>
      <c r="Q8" s="218" t="str">
        <f t="array" ref="Q8">XLOOKUP(O8,Countries!A$2:A$98,Countries!B$2:B$98,"tbd",0)</f>
        <v>Middle East</v>
      </c>
    </row>
    <row r="9">
      <c r="A9" s="200">
        <v>12.0</v>
      </c>
      <c r="B9" s="201" t="s">
        <v>6</v>
      </c>
      <c r="C9" s="201" t="s">
        <v>3742</v>
      </c>
      <c r="D9" s="201" t="s">
        <v>202</v>
      </c>
      <c r="E9" s="201" t="s">
        <v>136</v>
      </c>
      <c r="F9" s="201" t="s">
        <v>136</v>
      </c>
      <c r="G9" s="201" t="s">
        <v>3861</v>
      </c>
      <c r="H9" s="203"/>
      <c r="I9" s="201" t="s">
        <v>135</v>
      </c>
      <c r="J9" s="204">
        <v>45804.63333333333</v>
      </c>
      <c r="K9" s="201" t="s">
        <v>2513</v>
      </c>
      <c r="L9" s="201" t="s">
        <v>312</v>
      </c>
      <c r="O9" s="83" t="s">
        <v>213</v>
      </c>
      <c r="P9" s="54">
        <f t="shared" si="1"/>
        <v>1</v>
      </c>
      <c r="Q9" s="142" t="str">
        <f t="array" ref="Q9">XLOOKUP(O9,Countries!A$2:A$98,Countries!B$2:B$98,"tbd",0)</f>
        <v>widening countries</v>
      </c>
    </row>
    <row r="10">
      <c r="A10" s="200">
        <v>11.0</v>
      </c>
      <c r="B10" s="201" t="s">
        <v>7</v>
      </c>
      <c r="C10" s="201" t="s">
        <v>2829</v>
      </c>
      <c r="D10" s="201" t="s">
        <v>202</v>
      </c>
      <c r="E10" s="201" t="s">
        <v>136</v>
      </c>
      <c r="F10" s="201" t="s">
        <v>136</v>
      </c>
      <c r="G10" s="201" t="s">
        <v>1038</v>
      </c>
      <c r="H10" s="203"/>
      <c r="I10" s="201" t="s">
        <v>135</v>
      </c>
      <c r="J10" s="204">
        <v>45804.46527777778</v>
      </c>
      <c r="K10" s="201" t="s">
        <v>2507</v>
      </c>
      <c r="L10" s="201" t="s">
        <v>312</v>
      </c>
      <c r="O10" s="83" t="s">
        <v>209</v>
      </c>
      <c r="P10" s="54">
        <f t="shared" si="1"/>
        <v>1</v>
      </c>
      <c r="Q10" s="142" t="str">
        <f t="array" ref="Q10">XLOOKUP(O10,Countries!A$2:A$98,Countries!B$2:B$98,"tbd",0)</f>
        <v>associated countries</v>
      </c>
    </row>
    <row r="11">
      <c r="A11" s="200">
        <v>14.0</v>
      </c>
      <c r="B11" s="201" t="s">
        <v>6</v>
      </c>
      <c r="C11" s="201" t="s">
        <v>3744</v>
      </c>
      <c r="D11" s="201" t="s">
        <v>177</v>
      </c>
      <c r="E11" s="201" t="s">
        <v>135</v>
      </c>
      <c r="F11" s="201" t="s">
        <v>136</v>
      </c>
      <c r="G11" s="201" t="s">
        <v>271</v>
      </c>
      <c r="H11" s="203"/>
      <c r="I11" s="201" t="s">
        <v>135</v>
      </c>
      <c r="J11" s="204">
        <v>45805.72986111111</v>
      </c>
      <c r="K11" s="201" t="s">
        <v>2502</v>
      </c>
      <c r="L11" s="201" t="s">
        <v>312</v>
      </c>
      <c r="O11" s="216" t="s">
        <v>263</v>
      </c>
      <c r="P11" s="217">
        <f t="shared" si="1"/>
        <v>1</v>
      </c>
      <c r="Q11" s="218" t="str">
        <f t="array" ref="Q11">XLOOKUP(O11,Countries!A$2:A$98,Countries!B$2:B$98,"tbd",0)</f>
        <v>U.S. + Canada</v>
      </c>
    </row>
    <row r="12">
      <c r="A12" s="200">
        <v>2.0</v>
      </c>
      <c r="B12" s="201" t="s">
        <v>6</v>
      </c>
      <c r="C12" s="201" t="s">
        <v>1322</v>
      </c>
      <c r="D12" s="201" t="s">
        <v>228</v>
      </c>
      <c r="E12" s="201" t="s">
        <v>135</v>
      </c>
      <c r="F12" s="201" t="s">
        <v>136</v>
      </c>
      <c r="G12" s="201" t="s">
        <v>3745</v>
      </c>
      <c r="H12" s="201" t="s">
        <v>3862</v>
      </c>
      <c r="I12" s="201" t="s">
        <v>136</v>
      </c>
      <c r="J12" s="204">
        <v>45782.79861111111</v>
      </c>
      <c r="K12" s="201" t="s">
        <v>2502</v>
      </c>
      <c r="L12" s="201" t="s">
        <v>312</v>
      </c>
      <c r="O12" s="16" t="s">
        <v>164</v>
      </c>
      <c r="P12" s="7">
        <f t="shared" si="1"/>
        <v>1</v>
      </c>
      <c r="Q12" s="215" t="str">
        <f t="array" ref="Q12">XLOOKUP(O12,Countries!A$2:A$98,Countries!B$2:B$98,"tbd",0)</f>
        <v>Europe</v>
      </c>
    </row>
    <row r="13">
      <c r="A13" s="200">
        <v>16.0</v>
      </c>
      <c r="B13" s="201" t="s">
        <v>6</v>
      </c>
      <c r="C13" s="201" t="s">
        <v>2845</v>
      </c>
      <c r="D13" s="201" t="s">
        <v>177</v>
      </c>
      <c r="E13" s="201" t="s">
        <v>135</v>
      </c>
      <c r="F13" s="201" t="s">
        <v>136</v>
      </c>
      <c r="G13" s="201" t="s">
        <v>1295</v>
      </c>
      <c r="H13" s="201" t="s">
        <v>3747</v>
      </c>
      <c r="I13" s="201" t="s">
        <v>135</v>
      </c>
      <c r="J13" s="204">
        <v>45807.55138888889</v>
      </c>
      <c r="K13" s="201" t="s">
        <v>3690</v>
      </c>
      <c r="L13" s="201" t="s">
        <v>312</v>
      </c>
      <c r="O13" s="16"/>
    </row>
    <row r="14">
      <c r="A14" s="200">
        <v>4.0</v>
      </c>
      <c r="B14" s="201" t="s">
        <v>7</v>
      </c>
      <c r="C14" s="201" t="s">
        <v>3748</v>
      </c>
      <c r="D14" s="201" t="s">
        <v>290</v>
      </c>
      <c r="E14" s="201" t="s">
        <v>135</v>
      </c>
      <c r="F14" s="201" t="s">
        <v>136</v>
      </c>
      <c r="G14" s="201" t="s">
        <v>3749</v>
      </c>
      <c r="H14" s="201" t="s">
        <v>3863</v>
      </c>
      <c r="I14" s="201" t="s">
        <v>135</v>
      </c>
      <c r="J14" s="204">
        <v>45790.38888888889</v>
      </c>
      <c r="K14" s="201" t="s">
        <v>185</v>
      </c>
      <c r="L14" s="201" t="s">
        <v>312</v>
      </c>
      <c r="P14" s="16">
        <f>SUM(P2:P11)</f>
        <v>25</v>
      </c>
    </row>
    <row r="15">
      <c r="A15" s="200">
        <v>5.0</v>
      </c>
      <c r="B15" s="201" t="s">
        <v>7</v>
      </c>
      <c r="C15" s="201" t="s">
        <v>513</v>
      </c>
      <c r="D15" s="201" t="s">
        <v>213</v>
      </c>
      <c r="E15" s="201" t="s">
        <v>135</v>
      </c>
      <c r="F15" s="201" t="s">
        <v>136</v>
      </c>
      <c r="G15" s="201" t="s">
        <v>3751</v>
      </c>
      <c r="H15" s="201" t="s">
        <v>3752</v>
      </c>
      <c r="I15" s="201" t="s">
        <v>135</v>
      </c>
      <c r="J15" s="204">
        <v>45790.52222222222</v>
      </c>
      <c r="K15" s="201" t="s">
        <v>2509</v>
      </c>
      <c r="L15" s="201" t="s">
        <v>312</v>
      </c>
    </row>
    <row r="16">
      <c r="A16" s="200">
        <v>24.0</v>
      </c>
      <c r="B16" s="201" t="s">
        <v>6</v>
      </c>
      <c r="C16" s="201" t="s">
        <v>1066</v>
      </c>
      <c r="D16" s="201" t="s">
        <v>202</v>
      </c>
      <c r="E16" s="201" t="s">
        <v>136</v>
      </c>
      <c r="F16" s="201" t="s">
        <v>136</v>
      </c>
      <c r="G16" s="201" t="s">
        <v>650</v>
      </c>
      <c r="H16" s="201" t="s">
        <v>3753</v>
      </c>
      <c r="I16" s="201" t="s">
        <v>136</v>
      </c>
      <c r="J16" s="204">
        <v>45821.40347222222</v>
      </c>
      <c r="K16" s="201" t="s">
        <v>2513</v>
      </c>
      <c r="L16" s="201" t="s">
        <v>312</v>
      </c>
      <c r="P16" s="17">
        <v>3.0</v>
      </c>
      <c r="Q16" s="17" t="s">
        <v>3818</v>
      </c>
    </row>
    <row r="17">
      <c r="A17" s="200">
        <v>20.0</v>
      </c>
      <c r="B17" s="201" t="s">
        <v>6</v>
      </c>
      <c r="C17" s="201" t="s">
        <v>2854</v>
      </c>
      <c r="D17" s="201" t="s">
        <v>202</v>
      </c>
      <c r="E17" s="201" t="s">
        <v>135</v>
      </c>
      <c r="F17" s="201" t="s">
        <v>135</v>
      </c>
      <c r="G17" s="201" t="s">
        <v>3864</v>
      </c>
      <c r="H17" s="203"/>
      <c r="I17" s="201" t="s">
        <v>135</v>
      </c>
      <c r="J17" s="204">
        <v>45813.552777777775</v>
      </c>
      <c r="K17" s="201" t="s">
        <v>2513</v>
      </c>
      <c r="L17" s="201" t="s">
        <v>312</v>
      </c>
      <c r="P17" s="17">
        <v>8.0</v>
      </c>
      <c r="Q17" s="17" t="s">
        <v>22</v>
      </c>
    </row>
    <row r="18">
      <c r="A18" s="200">
        <v>13.0</v>
      </c>
      <c r="B18" s="201" t="s">
        <v>7</v>
      </c>
      <c r="C18" s="201" t="s">
        <v>3755</v>
      </c>
      <c r="D18" s="201" t="s">
        <v>313</v>
      </c>
      <c r="E18" s="201" t="s">
        <v>135</v>
      </c>
      <c r="F18" s="201" t="s">
        <v>136</v>
      </c>
      <c r="G18" s="201" t="s">
        <v>271</v>
      </c>
      <c r="H18" s="203"/>
      <c r="I18" s="201" t="s">
        <v>136</v>
      </c>
      <c r="J18" s="204">
        <v>45804.888194444444</v>
      </c>
      <c r="K18" s="201" t="s">
        <v>2513</v>
      </c>
      <c r="L18" s="201" t="s">
        <v>312</v>
      </c>
      <c r="P18" s="17">
        <v>11.0</v>
      </c>
      <c r="Q18" s="17" t="s">
        <v>3821</v>
      </c>
    </row>
    <row r="19">
      <c r="A19" s="200">
        <v>21.0</v>
      </c>
      <c r="B19" s="201" t="s">
        <v>6</v>
      </c>
      <c r="C19" s="201" t="s">
        <v>167</v>
      </c>
      <c r="D19" s="201" t="s">
        <v>202</v>
      </c>
      <c r="E19" s="201" t="s">
        <v>135</v>
      </c>
      <c r="F19" s="201" t="s">
        <v>136</v>
      </c>
      <c r="G19" s="201" t="s">
        <v>349</v>
      </c>
      <c r="H19" s="203"/>
      <c r="I19" s="201" t="s">
        <v>135</v>
      </c>
      <c r="J19" s="204">
        <v>45813.55625</v>
      </c>
      <c r="K19" s="201" t="s">
        <v>2513</v>
      </c>
      <c r="L19" s="201" t="s">
        <v>312</v>
      </c>
      <c r="P19" s="17">
        <v>13.0</v>
      </c>
      <c r="Q19" s="17" t="s">
        <v>3822</v>
      </c>
    </row>
    <row r="20">
      <c r="A20" s="200">
        <v>3.0</v>
      </c>
      <c r="B20" s="201" t="s">
        <v>6</v>
      </c>
      <c r="C20" s="201" t="s">
        <v>1515</v>
      </c>
      <c r="D20" s="201" t="s">
        <v>209</v>
      </c>
      <c r="E20" s="201" t="s">
        <v>136</v>
      </c>
      <c r="F20" s="201" t="s">
        <v>136</v>
      </c>
      <c r="G20" s="201" t="s">
        <v>613</v>
      </c>
      <c r="H20" s="202" t="s">
        <v>1178</v>
      </c>
      <c r="I20" s="201" t="s">
        <v>135</v>
      </c>
      <c r="J20" s="204">
        <v>45787.93263888889</v>
      </c>
      <c r="K20" s="201" t="s">
        <v>2507</v>
      </c>
      <c r="L20" s="201" t="s">
        <v>312</v>
      </c>
    </row>
    <row r="21">
      <c r="A21" s="200">
        <v>9.0</v>
      </c>
      <c r="B21" s="201" t="s">
        <v>6</v>
      </c>
      <c r="C21" s="201" t="s">
        <v>2854</v>
      </c>
      <c r="D21" s="201" t="s">
        <v>202</v>
      </c>
      <c r="E21" s="201" t="s">
        <v>136</v>
      </c>
      <c r="F21" s="201" t="s">
        <v>136</v>
      </c>
      <c r="G21" s="201" t="s">
        <v>349</v>
      </c>
      <c r="H21" s="203"/>
      <c r="I21" s="201" t="s">
        <v>135</v>
      </c>
      <c r="J21" s="204">
        <v>45803.54236111111</v>
      </c>
      <c r="K21" s="201" t="s">
        <v>3690</v>
      </c>
      <c r="L21" s="201" t="s">
        <v>312</v>
      </c>
    </row>
    <row r="22">
      <c r="A22" s="200">
        <v>6.0</v>
      </c>
      <c r="B22" s="201" t="s">
        <v>6</v>
      </c>
      <c r="C22" s="201" t="s">
        <v>3756</v>
      </c>
      <c r="D22" s="201" t="s">
        <v>263</v>
      </c>
      <c r="E22" s="201" t="s">
        <v>136</v>
      </c>
      <c r="F22" s="201" t="s">
        <v>136</v>
      </c>
      <c r="G22" s="201" t="s">
        <v>1888</v>
      </c>
      <c r="H22" s="203"/>
      <c r="I22" s="201" t="s">
        <v>136</v>
      </c>
      <c r="J22" s="204">
        <v>45795.70277777778</v>
      </c>
      <c r="K22" s="201" t="s">
        <v>2513</v>
      </c>
      <c r="L22" s="201" t="s">
        <v>312</v>
      </c>
    </row>
    <row r="23">
      <c r="A23" s="200">
        <v>15.0</v>
      </c>
      <c r="B23" s="201" t="s">
        <v>7</v>
      </c>
      <c r="C23" s="201" t="s">
        <v>2829</v>
      </c>
      <c r="D23" s="201" t="s">
        <v>202</v>
      </c>
      <c r="E23" s="201" t="s">
        <v>135</v>
      </c>
      <c r="F23" s="201" t="s">
        <v>136</v>
      </c>
      <c r="G23" s="201" t="s">
        <v>650</v>
      </c>
      <c r="H23" s="203"/>
      <c r="I23" s="201" t="s">
        <v>135</v>
      </c>
      <c r="J23" s="204">
        <v>45806.436111111114</v>
      </c>
      <c r="K23" s="201" t="s">
        <v>2513</v>
      </c>
      <c r="L23" s="201" t="s">
        <v>312</v>
      </c>
    </row>
    <row r="24">
      <c r="A24" s="200">
        <v>17.0</v>
      </c>
      <c r="B24" s="201" t="s">
        <v>6</v>
      </c>
      <c r="C24" s="201" t="s">
        <v>1644</v>
      </c>
      <c r="D24" s="201" t="s">
        <v>143</v>
      </c>
      <c r="E24" s="201" t="s">
        <v>135</v>
      </c>
      <c r="F24" s="201" t="s">
        <v>136</v>
      </c>
      <c r="G24" s="201" t="s">
        <v>168</v>
      </c>
      <c r="H24" s="203"/>
      <c r="I24" s="201" t="s">
        <v>135</v>
      </c>
      <c r="J24" s="204">
        <v>45807.558333333334</v>
      </c>
      <c r="K24" s="201" t="s">
        <v>3690</v>
      </c>
      <c r="L24" s="201" t="s">
        <v>312</v>
      </c>
    </row>
    <row r="25">
      <c r="A25" s="200">
        <v>1.0</v>
      </c>
      <c r="B25" s="201" t="s">
        <v>6</v>
      </c>
      <c r="C25" s="201" t="s">
        <v>245</v>
      </c>
      <c r="D25" s="201" t="s">
        <v>202</v>
      </c>
      <c r="E25" s="201" t="s">
        <v>136</v>
      </c>
      <c r="F25" s="201" t="s">
        <v>136</v>
      </c>
      <c r="G25" s="201" t="s">
        <v>750</v>
      </c>
      <c r="H25" s="203"/>
      <c r="I25" s="201" t="s">
        <v>135</v>
      </c>
      <c r="J25" s="204">
        <v>45777.42916666667</v>
      </c>
      <c r="K25" s="201" t="s">
        <v>2507</v>
      </c>
      <c r="L25" s="201" t="s">
        <v>312</v>
      </c>
    </row>
    <row r="26">
      <c r="A26" s="200">
        <v>8.0</v>
      </c>
      <c r="B26" s="201" t="s">
        <v>6</v>
      </c>
      <c r="C26" s="201" t="s">
        <v>2831</v>
      </c>
      <c r="D26" s="201" t="s">
        <v>164</v>
      </c>
      <c r="E26" s="201" t="s">
        <v>135</v>
      </c>
      <c r="F26" s="201" t="s">
        <v>136</v>
      </c>
      <c r="G26" s="201" t="s">
        <v>2712</v>
      </c>
      <c r="H26" s="203"/>
      <c r="I26" s="201" t="s">
        <v>135</v>
      </c>
      <c r="J26" s="204">
        <v>45800.56875</v>
      </c>
      <c r="K26" s="201" t="s">
        <v>2509</v>
      </c>
      <c r="L26" s="201" t="s">
        <v>312</v>
      </c>
    </row>
    <row r="27">
      <c r="A27" s="200">
        <v>18.0</v>
      </c>
      <c r="B27" s="201" t="s">
        <v>7</v>
      </c>
      <c r="C27" s="201" t="s">
        <v>379</v>
      </c>
      <c r="D27" s="201" t="s">
        <v>202</v>
      </c>
      <c r="E27" s="201" t="s">
        <v>136</v>
      </c>
      <c r="F27" s="201" t="s">
        <v>136</v>
      </c>
      <c r="G27" s="201" t="s">
        <v>606</v>
      </c>
      <c r="H27" s="203"/>
      <c r="I27" s="201" t="s">
        <v>135</v>
      </c>
      <c r="J27" s="204">
        <v>45807.563888888886</v>
      </c>
      <c r="K27" s="201" t="s">
        <v>2509</v>
      </c>
      <c r="L27" s="201" t="s">
        <v>312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0.86"/>
    <col customWidth="1" min="7" max="7" width="66.57"/>
    <col customWidth="1" min="8" max="8" width="43.43"/>
    <col customWidth="1" min="17" max="17" width="20.14"/>
  </cols>
  <sheetData>
    <row r="1">
      <c r="A1" s="202" t="s">
        <v>116</v>
      </c>
      <c r="B1" s="202" t="s">
        <v>117</v>
      </c>
      <c r="C1" s="202" t="s">
        <v>118</v>
      </c>
      <c r="D1" s="202" t="s">
        <v>119</v>
      </c>
      <c r="E1" s="202" t="s">
        <v>120</v>
      </c>
      <c r="F1" s="202" t="s">
        <v>121</v>
      </c>
      <c r="G1" s="202" t="s">
        <v>122</v>
      </c>
      <c r="H1" s="202" t="s">
        <v>123</v>
      </c>
      <c r="I1" s="202" t="s">
        <v>3865</v>
      </c>
      <c r="J1" s="202" t="s">
        <v>125</v>
      </c>
      <c r="K1" s="202" t="s">
        <v>3770</v>
      </c>
      <c r="L1" s="202" t="s">
        <v>3771</v>
      </c>
      <c r="O1" s="123" t="s">
        <v>129</v>
      </c>
      <c r="P1" s="123" t="s">
        <v>130</v>
      </c>
      <c r="Q1" s="123" t="s">
        <v>131</v>
      </c>
    </row>
    <row r="2">
      <c r="A2" s="200">
        <v>38.0</v>
      </c>
      <c r="B2" s="201" t="s">
        <v>6</v>
      </c>
      <c r="C2" s="201" t="s">
        <v>3709</v>
      </c>
      <c r="D2" s="201" t="s">
        <v>279</v>
      </c>
      <c r="E2" s="201" t="s">
        <v>136</v>
      </c>
      <c r="F2" s="201" t="s">
        <v>135</v>
      </c>
      <c r="G2" s="201" t="s">
        <v>3866</v>
      </c>
      <c r="H2" s="201" t="s">
        <v>3867</v>
      </c>
      <c r="I2" s="201" t="s">
        <v>416</v>
      </c>
      <c r="J2" s="204">
        <v>45908.59027777778</v>
      </c>
      <c r="K2" s="201" t="s">
        <v>185</v>
      </c>
      <c r="L2" s="201" t="s">
        <v>56</v>
      </c>
      <c r="O2" s="217" t="str">
        <f t="array" ref="O2:O13">UNIQUE(D2:D187)</f>
        <v>Bangladesh</v>
      </c>
      <c r="P2" s="217">
        <f t="shared" ref="P2:P12" si="1">COUNTIF(D$2:D$120,O2)</f>
        <v>1</v>
      </c>
      <c r="Q2" s="218" t="str">
        <f t="array" ref="Q2">XLOOKUP(O2,Countries!A$2:A$98,Countries!B$2:B$98,"tbd",0)</f>
        <v>Middle East</v>
      </c>
    </row>
    <row r="3">
      <c r="A3" s="200">
        <v>37.0</v>
      </c>
      <c r="B3" s="201" t="s">
        <v>6</v>
      </c>
      <c r="C3" s="201" t="s">
        <v>3712</v>
      </c>
      <c r="D3" s="201" t="s">
        <v>143</v>
      </c>
      <c r="E3" s="201" t="s">
        <v>136</v>
      </c>
      <c r="F3" s="201" t="s">
        <v>136</v>
      </c>
      <c r="G3" s="201" t="s">
        <v>3868</v>
      </c>
      <c r="H3" s="203"/>
      <c r="I3" s="201" t="s">
        <v>416</v>
      </c>
      <c r="J3" s="204">
        <v>45908.52291666667</v>
      </c>
      <c r="K3" s="201" t="s">
        <v>185</v>
      </c>
      <c r="L3" s="201" t="s">
        <v>56</v>
      </c>
      <c r="O3" s="16" t="s">
        <v>143</v>
      </c>
      <c r="P3" s="7">
        <f t="shared" si="1"/>
        <v>12</v>
      </c>
      <c r="Q3" s="215" t="str">
        <f t="array" ref="Q3">XLOOKUP(O3,Countries!A$2:A$98,Countries!B$2:B$98,"tbd",0)</f>
        <v>Europe</v>
      </c>
    </row>
    <row r="4">
      <c r="A4" s="200">
        <v>16.0</v>
      </c>
      <c r="B4" s="201" t="s">
        <v>6</v>
      </c>
      <c r="C4" s="201" t="s">
        <v>2643</v>
      </c>
      <c r="D4" s="201" t="s">
        <v>164</v>
      </c>
      <c r="E4" s="201" t="s">
        <v>136</v>
      </c>
      <c r="F4" s="201" t="s">
        <v>136</v>
      </c>
      <c r="G4" s="201" t="s">
        <v>168</v>
      </c>
      <c r="H4" s="203"/>
      <c r="I4" s="201" t="s">
        <v>416</v>
      </c>
      <c r="J4" s="204">
        <v>45877.683333333334</v>
      </c>
      <c r="K4" s="201" t="s">
        <v>2509</v>
      </c>
      <c r="L4" s="201" t="s">
        <v>56</v>
      </c>
      <c r="O4" s="16" t="s">
        <v>164</v>
      </c>
      <c r="P4" s="7">
        <f t="shared" si="1"/>
        <v>6</v>
      </c>
      <c r="Q4" s="215" t="str">
        <f t="array" ref="Q4">XLOOKUP(O4,Countries!A$2:A$98,Countries!B$2:B$98,"tbd",0)</f>
        <v>Europe</v>
      </c>
    </row>
    <row r="5">
      <c r="A5" s="200">
        <v>18.0</v>
      </c>
      <c r="B5" s="201" t="s">
        <v>8</v>
      </c>
      <c r="C5" s="201" t="s">
        <v>379</v>
      </c>
      <c r="D5" s="201" t="s">
        <v>202</v>
      </c>
      <c r="E5" s="201" t="s">
        <v>136</v>
      </c>
      <c r="F5" s="201" t="s">
        <v>136</v>
      </c>
      <c r="G5" s="201" t="s">
        <v>3714</v>
      </c>
      <c r="H5" s="201" t="s">
        <v>3715</v>
      </c>
      <c r="I5" s="201" t="s">
        <v>416</v>
      </c>
      <c r="J5" s="204">
        <v>45879.88333333333</v>
      </c>
      <c r="K5" s="201" t="s">
        <v>2513</v>
      </c>
      <c r="L5" s="201" t="s">
        <v>56</v>
      </c>
      <c r="O5" s="16" t="s">
        <v>202</v>
      </c>
      <c r="P5" s="7">
        <f t="shared" si="1"/>
        <v>11</v>
      </c>
      <c r="Q5" s="215" t="str">
        <f t="array" ref="Q5">XLOOKUP(O5,Countries!A$2:A$98,Countries!B$2:B$98,"tbd",0)</f>
        <v>Europe</v>
      </c>
    </row>
    <row r="6">
      <c r="A6" s="200">
        <v>8.0</v>
      </c>
      <c r="B6" s="201" t="s">
        <v>7</v>
      </c>
      <c r="C6" s="201" t="s">
        <v>3716</v>
      </c>
      <c r="D6" s="201" t="s">
        <v>369</v>
      </c>
      <c r="E6" s="201" t="s">
        <v>135</v>
      </c>
      <c r="F6" s="201" t="s">
        <v>135</v>
      </c>
      <c r="G6" s="201" t="s">
        <v>594</v>
      </c>
      <c r="H6" s="203"/>
      <c r="I6" s="201" t="s">
        <v>416</v>
      </c>
      <c r="J6" s="204">
        <v>45870.85833333333</v>
      </c>
      <c r="K6" s="201" t="s">
        <v>2509</v>
      </c>
      <c r="L6" s="201" t="s">
        <v>56</v>
      </c>
      <c r="O6" s="216" t="s">
        <v>369</v>
      </c>
      <c r="P6" s="217">
        <f t="shared" si="1"/>
        <v>1</v>
      </c>
      <c r="Q6" s="218" t="str">
        <f t="array" ref="Q6">XLOOKUP(O6,Countries!A$2:A$98,Countries!B$2:B$98,"tbd",0)</f>
        <v>Middle/South America</v>
      </c>
    </row>
    <row r="7">
      <c r="A7" s="200">
        <v>34.0</v>
      </c>
      <c r="B7" s="201" t="s">
        <v>7</v>
      </c>
      <c r="C7" s="201" t="s">
        <v>184</v>
      </c>
      <c r="D7" s="201" t="s">
        <v>143</v>
      </c>
      <c r="E7" s="201" t="s">
        <v>136</v>
      </c>
      <c r="F7" s="201" t="s">
        <v>135</v>
      </c>
      <c r="G7" s="201" t="s">
        <v>174</v>
      </c>
      <c r="H7" s="203"/>
      <c r="I7" s="201" t="s">
        <v>416</v>
      </c>
      <c r="J7" s="204">
        <v>45905.47777777778</v>
      </c>
      <c r="K7" s="201" t="s">
        <v>2502</v>
      </c>
      <c r="L7" s="201" t="s">
        <v>56</v>
      </c>
      <c r="O7" s="83" t="s">
        <v>218</v>
      </c>
      <c r="P7" s="54">
        <f t="shared" si="1"/>
        <v>3</v>
      </c>
      <c r="Q7" s="142" t="str">
        <f t="array" ref="Q7">XLOOKUP(O7,Countries!A$2:A$98,Countries!B$2:B$98,"tbd",0)</f>
        <v>associated countries</v>
      </c>
    </row>
    <row r="8">
      <c r="A8" s="200">
        <v>1.0</v>
      </c>
      <c r="B8" s="201" t="s">
        <v>7</v>
      </c>
      <c r="C8" s="201" t="s">
        <v>195</v>
      </c>
      <c r="D8" s="201" t="s">
        <v>164</v>
      </c>
      <c r="E8" s="201" t="s">
        <v>136</v>
      </c>
      <c r="F8" s="201" t="s">
        <v>136</v>
      </c>
      <c r="G8" s="201" t="s">
        <v>174</v>
      </c>
      <c r="H8" s="201" t="s">
        <v>2787</v>
      </c>
      <c r="I8" s="201" t="s">
        <v>416</v>
      </c>
      <c r="J8" s="204">
        <v>45862.368055555555</v>
      </c>
      <c r="K8" s="201" t="s">
        <v>2509</v>
      </c>
      <c r="L8" s="201" t="s">
        <v>56</v>
      </c>
      <c r="O8" s="216" t="s">
        <v>214</v>
      </c>
      <c r="P8" s="217">
        <f t="shared" si="1"/>
        <v>1</v>
      </c>
      <c r="Q8" s="218" t="str">
        <f t="array" ref="Q8">XLOOKUP(O8,Countries!A$2:A$98,Countries!B$2:B$98,"tbd",0)</f>
        <v>Asia</v>
      </c>
    </row>
    <row r="9">
      <c r="A9" s="200">
        <v>28.0</v>
      </c>
      <c r="B9" s="201" t="s">
        <v>6</v>
      </c>
      <c r="C9" s="201" t="s">
        <v>315</v>
      </c>
      <c r="D9" s="201" t="s">
        <v>164</v>
      </c>
      <c r="E9" s="201" t="s">
        <v>135</v>
      </c>
      <c r="F9" s="201" t="s">
        <v>135</v>
      </c>
      <c r="G9" s="201" t="s">
        <v>174</v>
      </c>
      <c r="H9" s="203"/>
      <c r="I9" s="201" t="s">
        <v>416</v>
      </c>
      <c r="J9" s="204">
        <v>45897.48125</v>
      </c>
      <c r="K9" s="201" t="s">
        <v>2502</v>
      </c>
      <c r="L9" s="201" t="s">
        <v>56</v>
      </c>
      <c r="O9" s="83" t="s">
        <v>228</v>
      </c>
      <c r="P9" s="54">
        <f t="shared" si="1"/>
        <v>1</v>
      </c>
      <c r="Q9" s="142" t="str">
        <f t="array" ref="Q9">XLOOKUP(O9,Countries!A$2:A$98,Countries!B$2:B$98,"tbd",0)</f>
        <v>widening countries</v>
      </c>
    </row>
    <row r="10">
      <c r="A10" s="200">
        <v>14.0</v>
      </c>
      <c r="B10" s="201" t="s">
        <v>7</v>
      </c>
      <c r="C10" s="201" t="s">
        <v>3717</v>
      </c>
      <c r="D10" s="201" t="s">
        <v>202</v>
      </c>
      <c r="E10" s="201" t="s">
        <v>136</v>
      </c>
      <c r="F10" s="201" t="s">
        <v>136</v>
      </c>
      <c r="G10" s="201" t="s">
        <v>157</v>
      </c>
      <c r="H10" s="203"/>
      <c r="I10" s="201" t="s">
        <v>416</v>
      </c>
      <c r="J10" s="204">
        <v>45877.63402777778</v>
      </c>
      <c r="K10" s="201" t="s">
        <v>2509</v>
      </c>
      <c r="L10" s="201" t="s">
        <v>56</v>
      </c>
      <c r="O10" s="83" t="s">
        <v>3729</v>
      </c>
      <c r="P10" s="54">
        <f t="shared" si="1"/>
        <v>1</v>
      </c>
      <c r="Q10" s="142" t="str">
        <f t="array" ref="Q10">XLOOKUP(O10,Countries!A$2:A$98,Countries!B$2:B$98,"tbd",0)</f>
        <v>associated countries</v>
      </c>
    </row>
    <row r="11">
      <c r="A11" s="200">
        <v>17.0</v>
      </c>
      <c r="B11" s="201" t="s">
        <v>6</v>
      </c>
      <c r="C11" s="201" t="s">
        <v>2991</v>
      </c>
      <c r="D11" s="201" t="s">
        <v>202</v>
      </c>
      <c r="E11" s="201" t="s">
        <v>136</v>
      </c>
      <c r="F11" s="201" t="s">
        <v>136</v>
      </c>
      <c r="G11" s="201" t="s">
        <v>3869</v>
      </c>
      <c r="H11" s="203"/>
      <c r="I11" s="201" t="s">
        <v>416</v>
      </c>
      <c r="J11" s="204">
        <v>45879.43402777778</v>
      </c>
      <c r="K11" s="201" t="s">
        <v>2509</v>
      </c>
      <c r="L11" s="201" t="s">
        <v>56</v>
      </c>
      <c r="O11" s="216" t="s">
        <v>177</v>
      </c>
      <c r="P11" s="217">
        <f t="shared" si="1"/>
        <v>1</v>
      </c>
      <c r="Q11" s="218" t="str">
        <f t="array" ref="Q11">XLOOKUP(O11,Countries!A$2:A$98,Countries!B$2:B$98,"tbd",0)</f>
        <v>Africa</v>
      </c>
    </row>
    <row r="12">
      <c r="A12" s="200">
        <v>20.0</v>
      </c>
      <c r="B12" s="201" t="s">
        <v>6</v>
      </c>
      <c r="C12" s="201" t="s">
        <v>1000</v>
      </c>
      <c r="D12" s="201" t="s">
        <v>202</v>
      </c>
      <c r="E12" s="201" t="s">
        <v>135</v>
      </c>
      <c r="F12" s="201" t="s">
        <v>136</v>
      </c>
      <c r="G12" s="201" t="s">
        <v>3870</v>
      </c>
      <c r="H12" s="203"/>
      <c r="I12" s="201" t="s">
        <v>416</v>
      </c>
      <c r="J12" s="204">
        <v>45888.518055555556</v>
      </c>
      <c r="K12" s="201" t="s">
        <v>2509</v>
      </c>
      <c r="L12" s="201" t="s">
        <v>56</v>
      </c>
      <c r="O12" s="83" t="s">
        <v>153</v>
      </c>
      <c r="P12" s="54">
        <f t="shared" si="1"/>
        <v>1</v>
      </c>
      <c r="Q12" s="142" t="str">
        <f t="array" ref="Q12">XLOOKUP(O12,Countries!A$2:A$98,Countries!B$2:B$98,"tbd",0)</f>
        <v>associated countries</v>
      </c>
    </row>
    <row r="13">
      <c r="A13" s="200">
        <v>19.0</v>
      </c>
      <c r="B13" s="201" t="s">
        <v>6</v>
      </c>
      <c r="C13" s="201" t="s">
        <v>342</v>
      </c>
      <c r="D13" s="201" t="s">
        <v>218</v>
      </c>
      <c r="E13" s="201" t="s">
        <v>136</v>
      </c>
      <c r="F13" s="201" t="s">
        <v>136</v>
      </c>
      <c r="G13" s="201" t="s">
        <v>650</v>
      </c>
      <c r="H13" s="203"/>
      <c r="I13" s="201" t="s">
        <v>416</v>
      </c>
      <c r="J13" s="204">
        <v>45879.94861111111</v>
      </c>
      <c r="K13" s="201" t="s">
        <v>2509</v>
      </c>
      <c r="L13" s="201" t="s">
        <v>56</v>
      </c>
      <c r="O13" s="16"/>
      <c r="P13" s="7"/>
    </row>
    <row r="14">
      <c r="A14" s="200">
        <v>10.0</v>
      </c>
      <c r="B14" s="201" t="s">
        <v>7</v>
      </c>
      <c r="C14" s="201" t="s">
        <v>3720</v>
      </c>
      <c r="D14" s="201" t="s">
        <v>202</v>
      </c>
      <c r="E14" s="201" t="s">
        <v>135</v>
      </c>
      <c r="F14" s="201" t="s">
        <v>136</v>
      </c>
      <c r="G14" s="201" t="s">
        <v>1823</v>
      </c>
      <c r="H14" s="203"/>
      <c r="I14" s="201" t="s">
        <v>416</v>
      </c>
      <c r="J14" s="204">
        <v>45877.44305555556</v>
      </c>
      <c r="K14" s="201" t="s">
        <v>185</v>
      </c>
      <c r="L14" s="201" t="s">
        <v>56</v>
      </c>
      <c r="P14" s="7">
        <f>SUM(P2:P12)</f>
        <v>39</v>
      </c>
    </row>
    <row r="15">
      <c r="A15" s="200">
        <v>40.0</v>
      </c>
      <c r="B15" s="201" t="s">
        <v>7</v>
      </c>
      <c r="C15" s="201" t="s">
        <v>245</v>
      </c>
      <c r="D15" s="201" t="s">
        <v>202</v>
      </c>
      <c r="E15" s="201" t="s">
        <v>135</v>
      </c>
      <c r="F15" s="201" t="s">
        <v>136</v>
      </c>
      <c r="G15" s="201" t="s">
        <v>3871</v>
      </c>
      <c r="H15" s="203"/>
      <c r="I15" s="201" t="s">
        <v>416</v>
      </c>
      <c r="J15" s="204">
        <v>45909.42361111111</v>
      </c>
      <c r="K15" s="201" t="s">
        <v>2509</v>
      </c>
      <c r="L15" s="201" t="s">
        <v>56</v>
      </c>
      <c r="P15" s="7"/>
    </row>
    <row r="16">
      <c r="A16" s="200">
        <v>7.0</v>
      </c>
      <c r="B16" s="201" t="s">
        <v>6</v>
      </c>
      <c r="C16" s="201" t="s">
        <v>2643</v>
      </c>
      <c r="D16" s="201" t="s">
        <v>164</v>
      </c>
      <c r="E16" s="201" t="s">
        <v>136</v>
      </c>
      <c r="F16" s="201" t="s">
        <v>136</v>
      </c>
      <c r="G16" s="201" t="s">
        <v>157</v>
      </c>
      <c r="H16" s="203"/>
      <c r="I16" s="201" t="s">
        <v>416</v>
      </c>
      <c r="J16" s="204">
        <v>45869.46388888889</v>
      </c>
      <c r="K16" s="201" t="s">
        <v>2509</v>
      </c>
      <c r="L16" s="201" t="s">
        <v>56</v>
      </c>
      <c r="P16" s="17">
        <v>6.0</v>
      </c>
      <c r="Q16" s="17" t="s">
        <v>3818</v>
      </c>
    </row>
    <row r="17">
      <c r="A17" s="200">
        <v>32.0</v>
      </c>
      <c r="B17" s="201" t="s">
        <v>6</v>
      </c>
      <c r="C17" s="201" t="s">
        <v>3722</v>
      </c>
      <c r="D17" s="201" t="s">
        <v>214</v>
      </c>
      <c r="E17" s="201" t="s">
        <v>135</v>
      </c>
      <c r="F17" s="201" t="s">
        <v>136</v>
      </c>
      <c r="G17" s="201" t="s">
        <v>3872</v>
      </c>
      <c r="H17" s="203"/>
      <c r="I17" s="201" t="s">
        <v>416</v>
      </c>
      <c r="J17" s="204">
        <v>45903.71666666667</v>
      </c>
      <c r="K17" s="201" t="s">
        <v>2502</v>
      </c>
      <c r="L17" s="201" t="s">
        <v>56</v>
      </c>
      <c r="P17" s="17">
        <v>4.0</v>
      </c>
      <c r="Q17" s="17" t="s">
        <v>22</v>
      </c>
    </row>
    <row r="18">
      <c r="A18" s="200">
        <v>9.0</v>
      </c>
      <c r="B18" s="201" t="s">
        <v>7</v>
      </c>
      <c r="C18" s="201" t="s">
        <v>184</v>
      </c>
      <c r="D18" s="201" t="s">
        <v>143</v>
      </c>
      <c r="E18" s="201" t="s">
        <v>136</v>
      </c>
      <c r="F18" s="201" t="s">
        <v>135</v>
      </c>
      <c r="G18" s="201" t="s">
        <v>174</v>
      </c>
      <c r="H18" s="203"/>
      <c r="I18" s="201" t="s">
        <v>416</v>
      </c>
      <c r="J18" s="204">
        <v>45874.350694444445</v>
      </c>
      <c r="K18" s="201" t="s">
        <v>2502</v>
      </c>
      <c r="L18" s="201" t="s">
        <v>56</v>
      </c>
      <c r="P18" s="17">
        <v>11.0</v>
      </c>
      <c r="Q18" s="17" t="s">
        <v>3821</v>
      </c>
    </row>
    <row r="19">
      <c r="A19" s="200">
        <v>22.0</v>
      </c>
      <c r="B19" s="201" t="s">
        <v>6</v>
      </c>
      <c r="C19" s="201" t="s">
        <v>280</v>
      </c>
      <c r="D19" s="201" t="s">
        <v>202</v>
      </c>
      <c r="E19" s="201" t="s">
        <v>136</v>
      </c>
      <c r="F19" s="201" t="s">
        <v>136</v>
      </c>
      <c r="G19" s="201" t="s">
        <v>168</v>
      </c>
      <c r="H19" s="202" t="s">
        <v>3724</v>
      </c>
      <c r="I19" s="201" t="s">
        <v>416</v>
      </c>
      <c r="J19" s="204">
        <v>45891.72152777778</v>
      </c>
      <c r="K19" s="201" t="s">
        <v>2509</v>
      </c>
      <c r="L19" s="201" t="s">
        <v>56</v>
      </c>
      <c r="P19" s="17">
        <v>14.0</v>
      </c>
      <c r="Q19" s="17" t="s">
        <v>3822</v>
      </c>
    </row>
    <row r="20">
      <c r="A20" s="200">
        <v>11.0</v>
      </c>
      <c r="B20" s="201" t="s">
        <v>7</v>
      </c>
      <c r="C20" s="201" t="s">
        <v>342</v>
      </c>
      <c r="D20" s="201" t="s">
        <v>218</v>
      </c>
      <c r="E20" s="201" t="s">
        <v>136</v>
      </c>
      <c r="F20" s="201" t="s">
        <v>136</v>
      </c>
      <c r="G20" s="201" t="s">
        <v>3447</v>
      </c>
      <c r="H20" s="203"/>
      <c r="I20" s="201" t="s">
        <v>416</v>
      </c>
      <c r="J20" s="204">
        <v>45877.46597222222</v>
      </c>
      <c r="K20" s="201" t="s">
        <v>185</v>
      </c>
      <c r="L20" s="201" t="s">
        <v>56</v>
      </c>
    </row>
    <row r="21">
      <c r="A21" s="200">
        <v>6.0</v>
      </c>
      <c r="B21" s="201" t="s">
        <v>6</v>
      </c>
      <c r="C21" s="201" t="s">
        <v>2828</v>
      </c>
      <c r="D21" s="201" t="s">
        <v>228</v>
      </c>
      <c r="E21" s="201" t="s">
        <v>135</v>
      </c>
      <c r="F21" s="201" t="s">
        <v>136</v>
      </c>
      <c r="G21" s="201" t="s">
        <v>256</v>
      </c>
      <c r="H21" s="203"/>
      <c r="I21" s="201" t="s">
        <v>416</v>
      </c>
      <c r="J21" s="204">
        <v>45868.62430555555</v>
      </c>
      <c r="K21" s="201" t="s">
        <v>2502</v>
      </c>
      <c r="L21" s="201" t="s">
        <v>56</v>
      </c>
    </row>
    <row r="22">
      <c r="A22" s="200">
        <v>39.0</v>
      </c>
      <c r="B22" s="201" t="s">
        <v>7</v>
      </c>
      <c r="C22" s="201" t="s">
        <v>245</v>
      </c>
      <c r="D22" s="201" t="s">
        <v>202</v>
      </c>
      <c r="E22" s="201" t="s">
        <v>136</v>
      </c>
      <c r="F22" s="201" t="s">
        <v>136</v>
      </c>
      <c r="G22" s="201" t="s">
        <v>1823</v>
      </c>
      <c r="H22" s="203"/>
      <c r="I22" s="201" t="s">
        <v>416</v>
      </c>
      <c r="J22" s="204">
        <v>45909.41180555556</v>
      </c>
      <c r="K22" s="201" t="s">
        <v>2509</v>
      </c>
      <c r="L22" s="201" t="s">
        <v>56</v>
      </c>
    </row>
    <row r="23">
      <c r="A23" s="200">
        <v>4.0</v>
      </c>
      <c r="B23" s="201" t="s">
        <v>6</v>
      </c>
      <c r="C23" s="201" t="s">
        <v>142</v>
      </c>
      <c r="D23" s="201" t="s">
        <v>143</v>
      </c>
      <c r="E23" s="201" t="s">
        <v>136</v>
      </c>
      <c r="F23" s="201" t="s">
        <v>136</v>
      </c>
      <c r="G23" s="201" t="s">
        <v>144</v>
      </c>
      <c r="H23" s="203"/>
      <c r="I23" s="201" t="s">
        <v>416</v>
      </c>
      <c r="J23" s="204">
        <v>45868.54236111111</v>
      </c>
      <c r="K23" s="201" t="s">
        <v>2509</v>
      </c>
      <c r="L23" s="201" t="s">
        <v>56</v>
      </c>
    </row>
    <row r="24">
      <c r="A24" s="200">
        <v>2.0</v>
      </c>
      <c r="B24" s="201" t="s">
        <v>8</v>
      </c>
      <c r="C24" s="201" t="s">
        <v>167</v>
      </c>
      <c r="D24" s="201" t="s">
        <v>143</v>
      </c>
      <c r="E24" s="201" t="s">
        <v>136</v>
      </c>
      <c r="F24" s="201" t="s">
        <v>136</v>
      </c>
      <c r="G24" s="201" t="s">
        <v>1393</v>
      </c>
      <c r="H24" s="203"/>
      <c r="I24" s="201" t="s">
        <v>416</v>
      </c>
      <c r="J24" s="204">
        <v>45863.59305555555</v>
      </c>
      <c r="K24" s="201" t="s">
        <v>2509</v>
      </c>
      <c r="L24" s="201" t="s">
        <v>56</v>
      </c>
    </row>
    <row r="25">
      <c r="A25" s="200">
        <v>13.0</v>
      </c>
      <c r="B25" s="201" t="s">
        <v>7</v>
      </c>
      <c r="C25" s="201" t="s">
        <v>469</v>
      </c>
      <c r="D25" s="201" t="s">
        <v>202</v>
      </c>
      <c r="E25" s="201" t="s">
        <v>136</v>
      </c>
      <c r="F25" s="201" t="s">
        <v>136</v>
      </c>
      <c r="G25" s="201" t="s">
        <v>221</v>
      </c>
      <c r="H25" s="203"/>
      <c r="I25" s="201" t="s">
        <v>416</v>
      </c>
      <c r="J25" s="204">
        <v>45877.618055555555</v>
      </c>
      <c r="K25" s="201" t="s">
        <v>2509</v>
      </c>
      <c r="L25" s="201" t="s">
        <v>56</v>
      </c>
    </row>
    <row r="26">
      <c r="A26" s="200">
        <v>26.0</v>
      </c>
      <c r="B26" s="201" t="s">
        <v>6</v>
      </c>
      <c r="C26" s="201" t="s">
        <v>3725</v>
      </c>
      <c r="D26" s="201" t="s">
        <v>218</v>
      </c>
      <c r="E26" s="201" t="s">
        <v>136</v>
      </c>
      <c r="F26" s="201" t="s">
        <v>136</v>
      </c>
      <c r="G26" s="201" t="s">
        <v>2756</v>
      </c>
      <c r="H26" s="203"/>
      <c r="I26" s="201" t="s">
        <v>416</v>
      </c>
      <c r="J26" s="204">
        <v>45896.59583333333</v>
      </c>
      <c r="K26" s="201" t="s">
        <v>2502</v>
      </c>
      <c r="L26" s="201" t="s">
        <v>56</v>
      </c>
    </row>
    <row r="27">
      <c r="A27" s="200">
        <v>25.0</v>
      </c>
      <c r="B27" s="201" t="s">
        <v>6</v>
      </c>
      <c r="C27" s="201" t="s">
        <v>2854</v>
      </c>
      <c r="D27" s="201" t="s">
        <v>202</v>
      </c>
      <c r="E27" s="201" t="s">
        <v>135</v>
      </c>
      <c r="F27" s="201" t="s">
        <v>136</v>
      </c>
      <c r="G27" s="201" t="s">
        <v>3726</v>
      </c>
      <c r="H27" s="203"/>
      <c r="I27" s="201" t="s">
        <v>416</v>
      </c>
      <c r="J27" s="204">
        <v>45895.47222222222</v>
      </c>
      <c r="K27" s="201" t="s">
        <v>2509</v>
      </c>
      <c r="L27" s="201" t="s">
        <v>56</v>
      </c>
    </row>
    <row r="28">
      <c r="A28" s="200">
        <v>30.0</v>
      </c>
      <c r="B28" s="201" t="s">
        <v>6</v>
      </c>
      <c r="C28" s="201" t="s">
        <v>3727</v>
      </c>
      <c r="D28" s="201" t="s">
        <v>143</v>
      </c>
      <c r="E28" s="201" t="s">
        <v>135</v>
      </c>
      <c r="F28" s="201" t="s">
        <v>136</v>
      </c>
      <c r="G28" s="201" t="s">
        <v>320</v>
      </c>
      <c r="H28" s="203"/>
      <c r="I28" s="201" t="s">
        <v>416</v>
      </c>
      <c r="J28" s="204">
        <v>45901.694444444445</v>
      </c>
      <c r="K28" s="201" t="s">
        <v>2513</v>
      </c>
      <c r="L28" s="201" t="s">
        <v>56</v>
      </c>
    </row>
    <row r="29">
      <c r="A29" s="200">
        <v>15.0</v>
      </c>
      <c r="B29" s="201" t="s">
        <v>6</v>
      </c>
      <c r="C29" s="201" t="s">
        <v>338</v>
      </c>
      <c r="D29" s="201" t="s">
        <v>143</v>
      </c>
      <c r="E29" s="201" t="s">
        <v>136</v>
      </c>
      <c r="F29" s="201" t="s">
        <v>136</v>
      </c>
      <c r="G29" s="201" t="s">
        <v>180</v>
      </c>
      <c r="H29" s="203"/>
      <c r="I29" s="201" t="s">
        <v>416</v>
      </c>
      <c r="J29" s="204">
        <v>45877.63680555556</v>
      </c>
      <c r="K29" s="201" t="s">
        <v>2509</v>
      </c>
      <c r="L29" s="201" t="s">
        <v>56</v>
      </c>
    </row>
    <row r="30">
      <c r="A30" s="200">
        <v>23.0</v>
      </c>
      <c r="B30" s="201" t="s">
        <v>7</v>
      </c>
      <c r="C30" s="201" t="s">
        <v>3728</v>
      </c>
      <c r="D30" s="201" t="s">
        <v>3729</v>
      </c>
      <c r="E30" s="201" t="s">
        <v>135</v>
      </c>
      <c r="F30" s="201" t="s">
        <v>136</v>
      </c>
      <c r="G30" s="201" t="s">
        <v>221</v>
      </c>
      <c r="H30" s="203"/>
      <c r="I30" s="201" t="s">
        <v>416</v>
      </c>
      <c r="J30" s="204">
        <v>45894.69305555556</v>
      </c>
      <c r="K30" s="201" t="s">
        <v>2502</v>
      </c>
      <c r="L30" s="201" t="s">
        <v>56</v>
      </c>
    </row>
    <row r="31">
      <c r="A31" s="200">
        <v>35.0</v>
      </c>
      <c r="B31" s="201" t="s">
        <v>7</v>
      </c>
      <c r="C31" s="201" t="s">
        <v>338</v>
      </c>
      <c r="D31" s="201" t="s">
        <v>143</v>
      </c>
      <c r="E31" s="201" t="s">
        <v>136</v>
      </c>
      <c r="F31" s="201" t="s">
        <v>136</v>
      </c>
      <c r="G31" s="201" t="s">
        <v>1872</v>
      </c>
      <c r="H31" s="203"/>
      <c r="I31" s="201" t="s">
        <v>416</v>
      </c>
      <c r="J31" s="204">
        <v>45905.629166666666</v>
      </c>
      <c r="K31" s="201" t="s">
        <v>2509</v>
      </c>
      <c r="L31" s="201" t="s">
        <v>56</v>
      </c>
    </row>
    <row r="32">
      <c r="A32" s="200">
        <v>3.0</v>
      </c>
      <c r="B32" s="201" t="s">
        <v>7</v>
      </c>
      <c r="C32" s="201" t="s">
        <v>3730</v>
      </c>
      <c r="D32" s="201" t="s">
        <v>177</v>
      </c>
      <c r="E32" s="201" t="s">
        <v>135</v>
      </c>
      <c r="F32" s="201" t="s">
        <v>136</v>
      </c>
      <c r="G32" s="201" t="s">
        <v>599</v>
      </c>
      <c r="H32" s="202" t="s">
        <v>3731</v>
      </c>
      <c r="I32" s="201" t="s">
        <v>416</v>
      </c>
      <c r="J32" s="204">
        <v>45866.595138888886</v>
      </c>
      <c r="K32" s="201" t="s">
        <v>2502</v>
      </c>
      <c r="L32" s="201" t="s">
        <v>56</v>
      </c>
    </row>
    <row r="33">
      <c r="A33" s="200">
        <v>21.0</v>
      </c>
      <c r="B33" s="201" t="s">
        <v>6</v>
      </c>
      <c r="C33" s="201" t="s">
        <v>1644</v>
      </c>
      <c r="D33" s="201" t="s">
        <v>143</v>
      </c>
      <c r="E33" s="201" t="s">
        <v>135</v>
      </c>
      <c r="F33" s="201" t="s">
        <v>136</v>
      </c>
      <c r="G33" s="201" t="s">
        <v>606</v>
      </c>
      <c r="H33" s="203"/>
      <c r="I33" s="201" t="s">
        <v>416</v>
      </c>
      <c r="J33" s="204">
        <v>45889.56875</v>
      </c>
      <c r="K33" s="201" t="s">
        <v>2502</v>
      </c>
      <c r="L33" s="201" t="s">
        <v>56</v>
      </c>
    </row>
    <row r="34">
      <c r="A34" s="200">
        <v>36.0</v>
      </c>
      <c r="B34" s="201" t="s">
        <v>7</v>
      </c>
      <c r="C34" s="201" t="s">
        <v>3209</v>
      </c>
      <c r="D34" s="201" t="s">
        <v>153</v>
      </c>
      <c r="E34" s="201" t="s">
        <v>135</v>
      </c>
      <c r="F34" s="201" t="s">
        <v>136</v>
      </c>
      <c r="G34" s="201" t="s">
        <v>137</v>
      </c>
      <c r="H34" s="203"/>
      <c r="I34" s="201" t="s">
        <v>416</v>
      </c>
      <c r="J34" s="204">
        <v>45905.99652777778</v>
      </c>
      <c r="K34" s="201" t="s">
        <v>2502</v>
      </c>
      <c r="L34" s="201" t="s">
        <v>56</v>
      </c>
    </row>
    <row r="35">
      <c r="A35" s="200">
        <v>33.0</v>
      </c>
      <c r="B35" s="201" t="s">
        <v>6</v>
      </c>
      <c r="C35" s="201" t="s">
        <v>167</v>
      </c>
      <c r="D35" s="201" t="s">
        <v>143</v>
      </c>
      <c r="E35" s="201" t="s">
        <v>136</v>
      </c>
      <c r="F35" s="201" t="s">
        <v>136</v>
      </c>
      <c r="G35" s="201" t="s">
        <v>349</v>
      </c>
      <c r="H35" s="203"/>
      <c r="I35" s="201" t="s">
        <v>416</v>
      </c>
      <c r="J35" s="204">
        <v>45904.55902777778</v>
      </c>
      <c r="K35" s="201" t="s">
        <v>2513</v>
      </c>
      <c r="L35" s="201" t="s">
        <v>56</v>
      </c>
    </row>
    <row r="36">
      <c r="A36" s="200">
        <v>31.0</v>
      </c>
      <c r="B36" s="201" t="s">
        <v>6</v>
      </c>
      <c r="C36" s="201" t="s">
        <v>3732</v>
      </c>
      <c r="D36" s="201" t="s">
        <v>143</v>
      </c>
      <c r="E36" s="201" t="s">
        <v>136</v>
      </c>
      <c r="F36" s="201" t="s">
        <v>135</v>
      </c>
      <c r="G36" s="201" t="s">
        <v>1257</v>
      </c>
      <c r="H36" s="203"/>
      <c r="I36" s="201" t="s">
        <v>416</v>
      </c>
      <c r="J36" s="204">
        <v>45902.728472222225</v>
      </c>
      <c r="K36" s="201" t="s">
        <v>2513</v>
      </c>
      <c r="L36" s="201" t="s">
        <v>56</v>
      </c>
    </row>
    <row r="37">
      <c r="A37" s="200">
        <v>24.0</v>
      </c>
      <c r="B37" s="201" t="s">
        <v>7</v>
      </c>
      <c r="C37" s="201" t="s">
        <v>338</v>
      </c>
      <c r="D37" s="201" t="s">
        <v>143</v>
      </c>
      <c r="E37" s="201" t="s">
        <v>136</v>
      </c>
      <c r="F37" s="201" t="s">
        <v>136</v>
      </c>
      <c r="G37" s="201" t="s">
        <v>168</v>
      </c>
      <c r="H37" s="203"/>
      <c r="I37" s="201" t="s">
        <v>416</v>
      </c>
      <c r="J37" s="204">
        <v>45895.40555555555</v>
      </c>
      <c r="K37" s="201" t="s">
        <v>2509</v>
      </c>
      <c r="L37" s="201" t="s">
        <v>56</v>
      </c>
    </row>
    <row r="38">
      <c r="A38" s="200">
        <v>27.0</v>
      </c>
      <c r="B38" s="201" t="s">
        <v>6</v>
      </c>
      <c r="C38" s="201" t="s">
        <v>3733</v>
      </c>
      <c r="D38" s="201" t="s">
        <v>164</v>
      </c>
      <c r="E38" s="201" t="s">
        <v>136</v>
      </c>
      <c r="F38" s="201" t="s">
        <v>135</v>
      </c>
      <c r="G38" s="201" t="s">
        <v>174</v>
      </c>
      <c r="H38" s="202" t="s">
        <v>3734</v>
      </c>
      <c r="I38" s="201" t="s">
        <v>416</v>
      </c>
      <c r="J38" s="204">
        <v>45897.475694444445</v>
      </c>
      <c r="K38" s="201" t="s">
        <v>2513</v>
      </c>
      <c r="L38" s="201" t="s">
        <v>56</v>
      </c>
    </row>
    <row r="39">
      <c r="A39" s="200">
        <v>29.0</v>
      </c>
      <c r="B39" s="201" t="s">
        <v>7</v>
      </c>
      <c r="C39" s="201" t="s">
        <v>379</v>
      </c>
      <c r="D39" s="201" t="s">
        <v>202</v>
      </c>
      <c r="E39" s="201" t="s">
        <v>136</v>
      </c>
      <c r="F39" s="201" t="s">
        <v>136</v>
      </c>
      <c r="G39" s="201" t="s">
        <v>606</v>
      </c>
      <c r="H39" s="203"/>
      <c r="I39" s="201" t="s">
        <v>416</v>
      </c>
      <c r="J39" s="204">
        <v>45901.68958333333</v>
      </c>
      <c r="K39" s="201" t="s">
        <v>2509</v>
      </c>
      <c r="L39" s="201" t="s">
        <v>56</v>
      </c>
    </row>
    <row r="40">
      <c r="A40" s="200">
        <v>5.0</v>
      </c>
      <c r="B40" s="201" t="s">
        <v>6</v>
      </c>
      <c r="C40" s="201" t="s">
        <v>3735</v>
      </c>
      <c r="D40" s="201" t="s">
        <v>164</v>
      </c>
      <c r="E40" s="201" t="s">
        <v>135</v>
      </c>
      <c r="F40" s="201" t="s">
        <v>136</v>
      </c>
      <c r="G40" s="201" t="s">
        <v>150</v>
      </c>
      <c r="H40" s="203"/>
      <c r="I40" s="201" t="s">
        <v>416</v>
      </c>
      <c r="J40" s="204">
        <v>45868.549305555556</v>
      </c>
      <c r="K40" s="201" t="s">
        <v>2513</v>
      </c>
      <c r="L40" s="201" t="s">
        <v>56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7.57"/>
    <col customWidth="1" min="4" max="4" width="12.0"/>
    <col customWidth="1" min="5" max="5" width="8.14"/>
    <col customWidth="1" min="6" max="6" width="6.0"/>
    <col customWidth="1" min="7" max="7" width="66.71"/>
    <col customWidth="1" min="8" max="8" width="117.86"/>
  </cols>
  <sheetData>
    <row r="1">
      <c r="A1" s="202" t="s">
        <v>116</v>
      </c>
      <c r="B1" s="202" t="s">
        <v>117</v>
      </c>
      <c r="C1" s="202" t="s">
        <v>118</v>
      </c>
      <c r="D1" s="202" t="s">
        <v>119</v>
      </c>
      <c r="E1" s="202" t="s">
        <v>120</v>
      </c>
      <c r="F1" s="202" t="s">
        <v>121</v>
      </c>
      <c r="G1" s="202" t="s">
        <v>122</v>
      </c>
      <c r="H1" s="202" t="s">
        <v>123</v>
      </c>
      <c r="I1" s="202" t="s">
        <v>3794</v>
      </c>
      <c r="J1" s="202" t="s">
        <v>125</v>
      </c>
      <c r="K1" s="202" t="s">
        <v>3873</v>
      </c>
      <c r="L1" s="202" t="s">
        <v>3771</v>
      </c>
      <c r="O1" s="123" t="s">
        <v>129</v>
      </c>
      <c r="P1" s="123" t="s">
        <v>130</v>
      </c>
      <c r="Q1" s="123" t="s">
        <v>131</v>
      </c>
    </row>
    <row r="2">
      <c r="A2" s="200">
        <v>22.0</v>
      </c>
      <c r="B2" s="201" t="s">
        <v>6</v>
      </c>
      <c r="C2" s="201" t="s">
        <v>3682</v>
      </c>
      <c r="D2" s="201" t="s">
        <v>143</v>
      </c>
      <c r="E2" s="201" t="s">
        <v>135</v>
      </c>
      <c r="F2" s="201" t="s">
        <v>136</v>
      </c>
      <c r="G2" s="202" t="s">
        <v>221</v>
      </c>
      <c r="H2" s="203"/>
      <c r="I2" s="201" t="s">
        <v>135</v>
      </c>
      <c r="J2" s="204">
        <v>45890.75833333333</v>
      </c>
      <c r="K2" s="201" t="s">
        <v>2513</v>
      </c>
      <c r="L2" s="201" t="s">
        <v>55</v>
      </c>
      <c r="O2" s="7" t="str">
        <f t="array" ref="O2:O5">UNIQUE(D2:D187)</f>
        <v>Italy</v>
      </c>
      <c r="P2" s="7">
        <f t="shared" ref="P2:P4" si="1">COUNTIF(D$2:D$120,O2)</f>
        <v>13</v>
      </c>
      <c r="Q2" s="215" t="str">
        <f t="array" ref="Q2">XLOOKUP(O2,Countries!A$2:A$98,Countries!B$2:B$98,"tbd",0)</f>
        <v>Europe</v>
      </c>
    </row>
    <row r="3">
      <c r="A3" s="200">
        <v>12.0</v>
      </c>
      <c r="B3" s="201" t="s">
        <v>6</v>
      </c>
      <c r="C3" s="201" t="s">
        <v>3683</v>
      </c>
      <c r="D3" s="201" t="s">
        <v>143</v>
      </c>
      <c r="E3" s="201" t="s">
        <v>136</v>
      </c>
      <c r="F3" s="201" t="s">
        <v>136</v>
      </c>
      <c r="G3" s="201" t="s">
        <v>3874</v>
      </c>
      <c r="H3" s="203"/>
      <c r="I3" s="201" t="s">
        <v>136</v>
      </c>
      <c r="J3" s="204">
        <v>45814.489583333336</v>
      </c>
      <c r="K3" s="201" t="s">
        <v>2513</v>
      </c>
      <c r="L3" s="201" t="s">
        <v>55</v>
      </c>
      <c r="O3" s="83" t="s">
        <v>233</v>
      </c>
      <c r="P3" s="54">
        <f t="shared" si="1"/>
        <v>2</v>
      </c>
      <c r="Q3" s="142" t="str">
        <f t="array" ref="Q3">XLOOKUP(O3,Countries!A$2:A$98,Countries!B$2:B$98,"tbd",0)</f>
        <v>widening countries</v>
      </c>
    </row>
    <row r="4">
      <c r="A4" s="200">
        <v>11.0</v>
      </c>
      <c r="B4" s="201" t="s">
        <v>7</v>
      </c>
      <c r="C4" s="201" t="s">
        <v>3685</v>
      </c>
      <c r="D4" s="201" t="s">
        <v>143</v>
      </c>
      <c r="E4" s="201" t="s">
        <v>135</v>
      </c>
      <c r="F4" s="201" t="s">
        <v>136</v>
      </c>
      <c r="G4" s="201" t="s">
        <v>3686</v>
      </c>
      <c r="H4" s="201" t="s">
        <v>3875</v>
      </c>
      <c r="I4" s="201" t="s">
        <v>136</v>
      </c>
      <c r="J4" s="204">
        <v>45813.65625</v>
      </c>
      <c r="K4" s="201" t="s">
        <v>2509</v>
      </c>
      <c r="L4" s="201" t="s">
        <v>55</v>
      </c>
      <c r="O4" s="83" t="s">
        <v>352</v>
      </c>
      <c r="P4" s="54">
        <f t="shared" si="1"/>
        <v>1</v>
      </c>
      <c r="Q4" s="142" t="str">
        <f t="array" ref="Q4">XLOOKUP(O4,Countries!A$2:A$98,Countries!B$2:B$98,"tbd",0)</f>
        <v>widening countries</v>
      </c>
    </row>
    <row r="5">
      <c r="A5" s="200">
        <v>10.0</v>
      </c>
      <c r="B5" s="201" t="s">
        <v>6</v>
      </c>
      <c r="C5" s="201" t="s">
        <v>3688</v>
      </c>
      <c r="D5" s="201" t="s">
        <v>143</v>
      </c>
      <c r="E5" s="201" t="s">
        <v>135</v>
      </c>
      <c r="F5" s="201" t="s">
        <v>136</v>
      </c>
      <c r="G5" s="201" t="s">
        <v>3876</v>
      </c>
      <c r="H5" s="203"/>
      <c r="I5" s="201" t="s">
        <v>135</v>
      </c>
      <c r="J5" s="204">
        <v>45811.708333333336</v>
      </c>
      <c r="K5" s="201" t="s">
        <v>3690</v>
      </c>
      <c r="L5" s="201" t="s">
        <v>55</v>
      </c>
      <c r="O5" s="16"/>
    </row>
    <row r="6">
      <c r="A6" s="200">
        <v>13.0</v>
      </c>
      <c r="B6" s="201" t="s">
        <v>7</v>
      </c>
      <c r="C6" s="201" t="s">
        <v>3691</v>
      </c>
      <c r="D6" s="201" t="s">
        <v>143</v>
      </c>
      <c r="E6" s="201" t="s">
        <v>135</v>
      </c>
      <c r="F6" s="201" t="s">
        <v>136</v>
      </c>
      <c r="G6" s="201" t="s">
        <v>1393</v>
      </c>
      <c r="H6" s="203"/>
      <c r="I6" s="201" t="s">
        <v>136</v>
      </c>
      <c r="J6" s="204">
        <v>45817.665972222225</v>
      </c>
      <c r="K6" s="201" t="s">
        <v>2513</v>
      </c>
      <c r="L6" s="201" t="s">
        <v>55</v>
      </c>
    </row>
    <row r="7">
      <c r="A7" s="200">
        <v>4.0</v>
      </c>
      <c r="B7" s="201" t="s">
        <v>7</v>
      </c>
      <c r="C7" s="201" t="s">
        <v>3692</v>
      </c>
      <c r="D7" s="201" t="s">
        <v>143</v>
      </c>
      <c r="E7" s="201" t="s">
        <v>135</v>
      </c>
      <c r="F7" s="201" t="s">
        <v>136</v>
      </c>
      <c r="G7" s="201" t="s">
        <v>457</v>
      </c>
      <c r="H7" s="203"/>
      <c r="I7" s="201" t="s">
        <v>136</v>
      </c>
      <c r="J7" s="204">
        <v>45798.433333333334</v>
      </c>
      <c r="K7" s="201" t="s">
        <v>2513</v>
      </c>
      <c r="L7" s="201" t="s">
        <v>55</v>
      </c>
    </row>
    <row r="8">
      <c r="A8" s="200">
        <v>21.0</v>
      </c>
      <c r="B8" s="201" t="s">
        <v>7</v>
      </c>
      <c r="C8" s="201" t="s">
        <v>719</v>
      </c>
      <c r="D8" s="201" t="s">
        <v>143</v>
      </c>
      <c r="E8" s="201" t="s">
        <v>135</v>
      </c>
      <c r="F8" s="201" t="s">
        <v>135</v>
      </c>
      <c r="G8" s="201" t="s">
        <v>157</v>
      </c>
      <c r="H8" s="203"/>
      <c r="I8" s="201" t="s">
        <v>136</v>
      </c>
      <c r="J8" s="204">
        <v>45878.90625</v>
      </c>
      <c r="K8" s="201" t="s">
        <v>3690</v>
      </c>
      <c r="L8" s="201" t="s">
        <v>55</v>
      </c>
    </row>
    <row r="9">
      <c r="A9" s="200">
        <v>15.0</v>
      </c>
      <c r="B9" s="201" t="s">
        <v>6</v>
      </c>
      <c r="C9" s="201" t="s">
        <v>3693</v>
      </c>
      <c r="D9" s="201" t="s">
        <v>143</v>
      </c>
      <c r="E9" s="201" t="s">
        <v>135</v>
      </c>
      <c r="F9" s="201" t="s">
        <v>136</v>
      </c>
      <c r="G9" s="201" t="s">
        <v>582</v>
      </c>
      <c r="H9" s="201" t="s">
        <v>3694</v>
      </c>
      <c r="I9" s="201" t="s">
        <v>136</v>
      </c>
      <c r="J9" s="204">
        <v>45817.847916666666</v>
      </c>
      <c r="K9" s="201" t="s">
        <v>2507</v>
      </c>
      <c r="L9" s="201" t="s">
        <v>55</v>
      </c>
    </row>
    <row r="10">
      <c r="A10" s="200">
        <v>3.0</v>
      </c>
      <c r="B10" s="201" t="s">
        <v>6</v>
      </c>
      <c r="C10" s="201" t="s">
        <v>3695</v>
      </c>
      <c r="D10" s="201" t="s">
        <v>233</v>
      </c>
      <c r="E10" s="201" t="s">
        <v>136</v>
      </c>
      <c r="F10" s="201" t="s">
        <v>136</v>
      </c>
      <c r="G10" s="201" t="s">
        <v>3877</v>
      </c>
      <c r="H10" s="202" t="s">
        <v>3697</v>
      </c>
      <c r="I10" s="201" t="s">
        <v>136</v>
      </c>
      <c r="J10" s="204">
        <v>45791.82916666667</v>
      </c>
      <c r="K10" s="201" t="s">
        <v>2513</v>
      </c>
      <c r="L10" s="201" t="s">
        <v>55</v>
      </c>
      <c r="P10" s="17">
        <v>3.0</v>
      </c>
      <c r="Q10" s="17" t="s">
        <v>3818</v>
      </c>
    </row>
    <row r="11">
      <c r="A11" s="200">
        <v>6.0</v>
      </c>
      <c r="B11" s="201" t="s">
        <v>6</v>
      </c>
      <c r="C11" s="201" t="s">
        <v>3698</v>
      </c>
      <c r="D11" s="201" t="s">
        <v>143</v>
      </c>
      <c r="E11" s="201" t="s">
        <v>135</v>
      </c>
      <c r="F11" s="201" t="s">
        <v>136</v>
      </c>
      <c r="G11" s="201" t="s">
        <v>3699</v>
      </c>
      <c r="H11" s="201" t="s">
        <v>3878</v>
      </c>
      <c r="I11" s="201" t="s">
        <v>136</v>
      </c>
      <c r="J11" s="204">
        <v>45804.50486111111</v>
      </c>
      <c r="K11" s="201" t="s">
        <v>2513</v>
      </c>
      <c r="L11" s="201" t="s">
        <v>55</v>
      </c>
      <c r="P11" s="17">
        <v>0.0</v>
      </c>
      <c r="Q11" s="17" t="s">
        <v>22</v>
      </c>
    </row>
    <row r="12">
      <c r="A12" s="200">
        <v>5.0</v>
      </c>
      <c r="B12" s="201" t="s">
        <v>7</v>
      </c>
      <c r="C12" s="201" t="s">
        <v>3701</v>
      </c>
      <c r="D12" s="201" t="s">
        <v>143</v>
      </c>
      <c r="E12" s="201" t="s">
        <v>135</v>
      </c>
      <c r="F12" s="201" t="s">
        <v>136</v>
      </c>
      <c r="G12" s="201" t="s">
        <v>1225</v>
      </c>
      <c r="H12" s="203"/>
      <c r="I12" s="201" t="s">
        <v>136</v>
      </c>
      <c r="J12" s="204">
        <v>45804.42291666667</v>
      </c>
      <c r="K12" s="201" t="s">
        <v>2513</v>
      </c>
      <c r="L12" s="201" t="s">
        <v>55</v>
      </c>
      <c r="P12" s="17">
        <v>3.0</v>
      </c>
      <c r="Q12" s="17" t="s">
        <v>3821</v>
      </c>
    </row>
    <row r="13">
      <c r="A13" s="200">
        <v>20.0</v>
      </c>
      <c r="B13" s="201" t="s">
        <v>7</v>
      </c>
      <c r="C13" s="201" t="s">
        <v>306</v>
      </c>
      <c r="D13" s="201" t="s">
        <v>143</v>
      </c>
      <c r="E13" s="201" t="s">
        <v>135</v>
      </c>
      <c r="F13" s="201" t="s">
        <v>136</v>
      </c>
      <c r="G13" s="201" t="s">
        <v>150</v>
      </c>
      <c r="H13" s="203"/>
      <c r="I13" s="201" t="s">
        <v>135</v>
      </c>
      <c r="J13" s="204">
        <v>45869.57430555556</v>
      </c>
      <c r="K13" s="201" t="s">
        <v>2513</v>
      </c>
      <c r="L13" s="201" t="s">
        <v>55</v>
      </c>
      <c r="P13" s="17">
        <v>14.0</v>
      </c>
      <c r="Q13" s="17" t="s">
        <v>3822</v>
      </c>
    </row>
    <row r="14">
      <c r="A14" s="200">
        <v>16.0</v>
      </c>
      <c r="B14" s="201" t="s">
        <v>7</v>
      </c>
      <c r="C14" s="201" t="s">
        <v>3702</v>
      </c>
      <c r="D14" s="201" t="s">
        <v>143</v>
      </c>
      <c r="E14" s="201" t="s">
        <v>135</v>
      </c>
      <c r="F14" s="201" t="s">
        <v>136</v>
      </c>
      <c r="G14" s="201" t="s">
        <v>3879</v>
      </c>
      <c r="H14" s="203"/>
      <c r="I14" s="201" t="s">
        <v>136</v>
      </c>
      <c r="J14" s="204">
        <v>45818.614583333336</v>
      </c>
      <c r="K14" s="201" t="s">
        <v>2513</v>
      </c>
      <c r="L14" s="201" t="s">
        <v>55</v>
      </c>
    </row>
    <row r="15">
      <c r="A15" s="200">
        <v>7.0</v>
      </c>
      <c r="B15" s="201" t="s">
        <v>6</v>
      </c>
      <c r="C15" s="201" t="s">
        <v>3704</v>
      </c>
      <c r="D15" s="201" t="s">
        <v>352</v>
      </c>
      <c r="E15" s="201" t="s">
        <v>135</v>
      </c>
      <c r="F15" s="201" t="s">
        <v>136</v>
      </c>
      <c r="G15" s="201" t="s">
        <v>3705</v>
      </c>
      <c r="H15" s="203"/>
      <c r="I15" s="201" t="s">
        <v>136</v>
      </c>
      <c r="J15" s="204">
        <v>45806.90902777778</v>
      </c>
      <c r="K15" s="201" t="s">
        <v>2513</v>
      </c>
      <c r="L15" s="201" t="s">
        <v>55</v>
      </c>
    </row>
    <row r="16">
      <c r="A16" s="200">
        <v>2.0</v>
      </c>
      <c r="B16" s="201" t="s">
        <v>7</v>
      </c>
      <c r="C16" s="201" t="s">
        <v>3695</v>
      </c>
      <c r="D16" s="201" t="s">
        <v>233</v>
      </c>
      <c r="E16" s="201" t="s">
        <v>135</v>
      </c>
      <c r="F16" s="201" t="s">
        <v>136</v>
      </c>
      <c r="G16" s="201" t="s">
        <v>1225</v>
      </c>
      <c r="H16" s="203"/>
      <c r="I16" s="201" t="s">
        <v>136</v>
      </c>
      <c r="J16" s="204">
        <v>45791.82916666667</v>
      </c>
      <c r="K16" s="201" t="s">
        <v>2513</v>
      </c>
      <c r="L16" s="201" t="s">
        <v>55</v>
      </c>
    </row>
    <row r="17">
      <c r="A17" s="200">
        <v>9.0</v>
      </c>
      <c r="B17" s="201" t="s">
        <v>7</v>
      </c>
      <c r="C17" s="201" t="s">
        <v>3706</v>
      </c>
      <c r="D17" s="201" t="s">
        <v>143</v>
      </c>
      <c r="E17" s="201" t="s">
        <v>135</v>
      </c>
      <c r="F17" s="201" t="s">
        <v>136</v>
      </c>
      <c r="G17" s="201" t="s">
        <v>3707</v>
      </c>
      <c r="H17" s="202" t="s">
        <v>3708</v>
      </c>
      <c r="I17" s="201" t="s">
        <v>135</v>
      </c>
      <c r="J17" s="204">
        <v>45808.85208333333</v>
      </c>
      <c r="K17" s="201" t="s">
        <v>3690</v>
      </c>
      <c r="L17" s="201" t="s">
        <v>55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9.29"/>
    <col customWidth="1" min="3" max="3" width="33.57"/>
    <col customWidth="1" min="4" max="4" width="72.14"/>
    <col customWidth="1" min="5" max="5" width="31.71"/>
    <col customWidth="1" min="6" max="6" width="21.57"/>
    <col customWidth="1" min="7" max="7" width="105.14"/>
    <col customWidth="1" min="8" max="8" width="26.86"/>
    <col customWidth="1" min="9" max="9" width="48.86"/>
    <col customWidth="1" min="10" max="10" width="20.29"/>
    <col customWidth="1" min="11" max="11" width="16.29"/>
    <col customWidth="1" min="14" max="14" width="9.57"/>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5"/>
      <c r="N1" s="123" t="s">
        <v>129</v>
      </c>
      <c r="O1" s="123" t="s">
        <v>130</v>
      </c>
      <c r="P1" s="123" t="s">
        <v>131</v>
      </c>
      <c r="Q1" s="123" t="s">
        <v>3880</v>
      </c>
      <c r="R1" s="123"/>
      <c r="S1" s="2"/>
      <c r="T1" s="2"/>
      <c r="U1" s="2"/>
    </row>
    <row r="2">
      <c r="A2" s="168">
        <v>1.0</v>
      </c>
      <c r="B2" s="193" t="s">
        <v>6</v>
      </c>
      <c r="C2" s="193" t="s">
        <v>225</v>
      </c>
      <c r="D2" s="193" t="s">
        <v>143</v>
      </c>
      <c r="E2" s="170" t="s">
        <v>136</v>
      </c>
      <c r="F2" s="170" t="s">
        <v>3655</v>
      </c>
      <c r="G2" s="193" t="s">
        <v>3667</v>
      </c>
      <c r="H2" s="171"/>
      <c r="I2" s="193" t="s">
        <v>135</v>
      </c>
      <c r="J2" s="186">
        <v>45728.46051827546</v>
      </c>
      <c r="K2" s="173" t="s">
        <v>139</v>
      </c>
      <c r="L2" s="170" t="s">
        <v>300</v>
      </c>
      <c r="M2" s="226"/>
      <c r="N2" s="227" t="s">
        <v>134</v>
      </c>
      <c r="O2" s="169">
        <f>COUNTIF(D2:D26,"France")</f>
        <v>2</v>
      </c>
      <c r="P2" s="228" t="s">
        <v>328</v>
      </c>
      <c r="Q2" s="229"/>
      <c r="S2" s="230"/>
      <c r="T2" s="185"/>
    </row>
    <row r="3">
      <c r="A3" s="168">
        <v>2.0</v>
      </c>
      <c r="B3" s="196" t="s">
        <v>6</v>
      </c>
      <c r="C3" s="199"/>
      <c r="D3" s="196" t="s">
        <v>202</v>
      </c>
      <c r="E3" s="170" t="s">
        <v>136</v>
      </c>
      <c r="F3" s="170" t="s">
        <v>3655</v>
      </c>
      <c r="G3" s="196" t="s">
        <v>137</v>
      </c>
      <c r="H3" s="174"/>
      <c r="I3" s="196" t="s">
        <v>136</v>
      </c>
      <c r="J3" s="189">
        <v>45728.462027800924</v>
      </c>
      <c r="K3" s="173" t="s">
        <v>139</v>
      </c>
      <c r="L3" s="170" t="s">
        <v>300</v>
      </c>
      <c r="M3" s="226"/>
      <c r="N3" s="227" t="s">
        <v>143</v>
      </c>
      <c r="O3" s="169">
        <f>COUNTIF(D2:D26,"Italy")</f>
        <v>2</v>
      </c>
      <c r="P3" s="228" t="s">
        <v>328</v>
      </c>
      <c r="Q3" s="229"/>
      <c r="S3" s="231"/>
      <c r="T3" s="184"/>
    </row>
    <row r="4">
      <c r="A4" s="168">
        <v>3.0</v>
      </c>
      <c r="B4" s="193" t="s">
        <v>7</v>
      </c>
      <c r="C4" s="193" t="s">
        <v>3668</v>
      </c>
      <c r="D4" s="193" t="s">
        <v>374</v>
      </c>
      <c r="E4" s="170" t="s">
        <v>136</v>
      </c>
      <c r="F4" s="170" t="s">
        <v>3655</v>
      </c>
      <c r="G4" s="193" t="s">
        <v>3643</v>
      </c>
      <c r="H4" s="171"/>
      <c r="I4" s="193" t="s">
        <v>136</v>
      </c>
      <c r="J4" s="186">
        <v>45728.465437858795</v>
      </c>
      <c r="K4" s="173" t="s">
        <v>139</v>
      </c>
      <c r="L4" s="170" t="s">
        <v>300</v>
      </c>
      <c r="M4" s="226"/>
      <c r="N4" s="232" t="s">
        <v>374</v>
      </c>
      <c r="O4" s="169">
        <f>COUNTIF(D2:D26,"Sweden")+COUNTIF(D2:D26,"Sverige")</f>
        <v>3</v>
      </c>
      <c r="P4" s="228" t="s">
        <v>328</v>
      </c>
      <c r="Q4" s="229"/>
      <c r="S4" s="230"/>
      <c r="T4" s="185"/>
    </row>
    <row r="5">
      <c r="A5" s="168">
        <v>4.0</v>
      </c>
      <c r="B5" s="196" t="s">
        <v>6</v>
      </c>
      <c r="C5" s="199"/>
      <c r="D5" s="196" t="s">
        <v>202</v>
      </c>
      <c r="E5" s="170" t="s">
        <v>135</v>
      </c>
      <c r="F5" s="170" t="s">
        <v>3655</v>
      </c>
      <c r="G5" s="196" t="s">
        <v>3669</v>
      </c>
      <c r="H5" s="174"/>
      <c r="I5" s="196" t="s">
        <v>136</v>
      </c>
      <c r="J5" s="189">
        <v>45728.46645770833</v>
      </c>
      <c r="K5" s="173" t="s">
        <v>139</v>
      </c>
      <c r="L5" s="170" t="s">
        <v>300</v>
      </c>
      <c r="M5" s="226"/>
      <c r="N5" s="232" t="s">
        <v>209</v>
      </c>
      <c r="O5" s="169">
        <f>COUNTIF(D2:D26,"Iceland")</f>
        <v>2</v>
      </c>
      <c r="P5" s="7" t="s">
        <v>269</v>
      </c>
      <c r="Q5" s="229"/>
      <c r="S5" s="231"/>
      <c r="T5" s="233"/>
    </row>
    <row r="6">
      <c r="A6" s="168">
        <v>5.0</v>
      </c>
      <c r="B6" s="193" t="s">
        <v>7</v>
      </c>
      <c r="C6" s="198"/>
      <c r="D6" s="193" t="s">
        <v>3670</v>
      </c>
      <c r="E6" s="170" t="s">
        <v>136</v>
      </c>
      <c r="F6" s="170" t="s">
        <v>3655</v>
      </c>
      <c r="G6" s="193" t="s">
        <v>137</v>
      </c>
      <c r="H6" s="171"/>
      <c r="I6" s="193" t="s">
        <v>135</v>
      </c>
      <c r="J6" s="186">
        <v>45728.46652259259</v>
      </c>
      <c r="K6" s="173" t="s">
        <v>139</v>
      </c>
      <c r="L6" s="170" t="s">
        <v>300</v>
      </c>
      <c r="M6" s="226"/>
      <c r="N6" s="232" t="s">
        <v>202</v>
      </c>
      <c r="O6" s="169">
        <f>COUNTIF(D2:D26,"Spain")</f>
        <v>7</v>
      </c>
      <c r="P6" s="7" t="s">
        <v>328</v>
      </c>
      <c r="Q6" s="229"/>
      <c r="S6" s="230"/>
      <c r="T6" s="185"/>
    </row>
    <row r="7">
      <c r="A7" s="168">
        <v>6.0</v>
      </c>
      <c r="B7" s="196" t="s">
        <v>6</v>
      </c>
      <c r="C7" s="196" t="s">
        <v>3671</v>
      </c>
      <c r="D7" s="196" t="s">
        <v>3672</v>
      </c>
      <c r="E7" s="170" t="s">
        <v>136</v>
      </c>
      <c r="F7" s="170" t="s">
        <v>3655</v>
      </c>
      <c r="G7" s="196" t="s">
        <v>3673</v>
      </c>
      <c r="H7" s="174"/>
      <c r="I7" s="196" t="s">
        <v>136</v>
      </c>
      <c r="J7" s="189">
        <v>45728.46732628472</v>
      </c>
      <c r="K7" s="173" t="s">
        <v>139</v>
      </c>
      <c r="L7" s="170" t="s">
        <v>300</v>
      </c>
      <c r="M7" s="226"/>
      <c r="N7" s="232" t="s">
        <v>218</v>
      </c>
      <c r="O7" s="169">
        <f>COUNTIF(D2:D26,"Norway")</f>
        <v>1</v>
      </c>
      <c r="P7" s="7" t="s">
        <v>269</v>
      </c>
      <c r="Q7" s="229"/>
      <c r="S7" s="231"/>
      <c r="T7" s="233"/>
    </row>
    <row r="8">
      <c r="A8" s="168">
        <v>7.0</v>
      </c>
      <c r="B8" s="193" t="s">
        <v>7</v>
      </c>
      <c r="C8" s="193" t="s">
        <v>1991</v>
      </c>
      <c r="D8" s="193" t="s">
        <v>209</v>
      </c>
      <c r="E8" s="170" t="s">
        <v>135</v>
      </c>
      <c r="F8" s="170" t="s">
        <v>3655</v>
      </c>
      <c r="G8" s="193" t="s">
        <v>137</v>
      </c>
      <c r="H8" s="171"/>
      <c r="I8" s="193" t="s">
        <v>136</v>
      </c>
      <c r="J8" s="186">
        <v>45728.47033768518</v>
      </c>
      <c r="K8" s="173" t="s">
        <v>139</v>
      </c>
      <c r="L8" s="170" t="s">
        <v>300</v>
      </c>
      <c r="M8" s="226"/>
      <c r="N8" s="232"/>
      <c r="O8" s="169"/>
      <c r="P8" s="7"/>
      <c r="Q8" s="229"/>
      <c r="S8" s="230"/>
      <c r="T8" s="185"/>
    </row>
    <row r="9">
      <c r="A9" s="168">
        <v>8.0</v>
      </c>
      <c r="B9" s="196" t="s">
        <v>7</v>
      </c>
      <c r="C9" s="196" t="s">
        <v>3674</v>
      </c>
      <c r="D9" s="196" t="s">
        <v>209</v>
      </c>
      <c r="E9" s="170" t="s">
        <v>136</v>
      </c>
      <c r="F9" s="170" t="s">
        <v>3655</v>
      </c>
      <c r="G9" s="196" t="s">
        <v>1053</v>
      </c>
      <c r="H9" s="174"/>
      <c r="I9" s="196" t="s">
        <v>135</v>
      </c>
      <c r="J9" s="189">
        <v>45728.47261597222</v>
      </c>
      <c r="K9" s="173" t="s">
        <v>139</v>
      </c>
      <c r="L9" s="170" t="s">
        <v>300</v>
      </c>
      <c r="M9" s="226"/>
      <c r="N9" s="232"/>
      <c r="O9" s="169"/>
      <c r="P9" s="228"/>
      <c r="Q9" s="229"/>
      <c r="S9" s="231"/>
      <c r="T9" s="233"/>
    </row>
    <row r="10">
      <c r="A10" s="168">
        <v>9.0</v>
      </c>
      <c r="B10" s="193" t="s">
        <v>6</v>
      </c>
      <c r="C10" s="193" t="s">
        <v>3675</v>
      </c>
      <c r="D10" s="193" t="s">
        <v>202</v>
      </c>
      <c r="E10" s="170" t="s">
        <v>136</v>
      </c>
      <c r="F10" s="170" t="s">
        <v>3655</v>
      </c>
      <c r="G10" s="193" t="s">
        <v>3676</v>
      </c>
      <c r="H10" s="171"/>
      <c r="I10" s="193" t="s">
        <v>136</v>
      </c>
      <c r="J10" s="186">
        <v>45728.47306240741</v>
      </c>
      <c r="K10" s="173" t="s">
        <v>139</v>
      </c>
      <c r="L10" s="170" t="s">
        <v>300</v>
      </c>
      <c r="M10" s="226"/>
      <c r="N10" s="234"/>
      <c r="O10" s="169"/>
      <c r="P10" s="7"/>
      <c r="Q10" s="229"/>
      <c r="S10" s="230"/>
      <c r="T10" s="235"/>
    </row>
    <row r="11">
      <c r="A11" s="168">
        <v>10.0</v>
      </c>
      <c r="B11" s="196" t="s">
        <v>7</v>
      </c>
      <c r="C11" s="199"/>
      <c r="D11" s="196" t="s">
        <v>370</v>
      </c>
      <c r="E11" s="170" t="s">
        <v>136</v>
      </c>
      <c r="F11" s="170" t="s">
        <v>3655</v>
      </c>
      <c r="G11" s="196" t="s">
        <v>3590</v>
      </c>
      <c r="H11" s="174"/>
      <c r="I11" s="196" t="s">
        <v>136</v>
      </c>
      <c r="J11" s="189">
        <v>45728.47350047454</v>
      </c>
      <c r="K11" s="173" t="s">
        <v>139</v>
      </c>
      <c r="L11" s="170" t="s">
        <v>300</v>
      </c>
      <c r="M11" s="226"/>
      <c r="N11" s="232"/>
      <c r="O11" s="169"/>
      <c r="P11" s="7"/>
      <c r="Q11" s="229"/>
      <c r="S11" s="231"/>
      <c r="T11" s="233"/>
    </row>
    <row r="12">
      <c r="A12" s="168">
        <v>11.0</v>
      </c>
      <c r="B12" s="193" t="s">
        <v>7</v>
      </c>
      <c r="C12" s="193" t="s">
        <v>3640</v>
      </c>
      <c r="D12" s="193" t="s">
        <v>202</v>
      </c>
      <c r="E12" s="170" t="s">
        <v>136</v>
      </c>
      <c r="F12" s="170" t="s">
        <v>3655</v>
      </c>
      <c r="G12" s="193" t="s">
        <v>3605</v>
      </c>
      <c r="H12" s="171"/>
      <c r="I12" s="193" t="s">
        <v>136</v>
      </c>
      <c r="J12" s="186">
        <v>45728.47708914352</v>
      </c>
      <c r="K12" s="173" t="s">
        <v>139</v>
      </c>
      <c r="L12" s="170" t="s">
        <v>300</v>
      </c>
      <c r="M12" s="226"/>
      <c r="N12" s="232"/>
      <c r="O12" s="169"/>
      <c r="P12" s="7"/>
      <c r="Q12" s="229"/>
      <c r="S12" s="230"/>
      <c r="T12" s="235"/>
    </row>
    <row r="13">
      <c r="A13" s="168">
        <v>12.0</v>
      </c>
      <c r="B13" s="196" t="s">
        <v>7</v>
      </c>
      <c r="C13" s="196" t="s">
        <v>366</v>
      </c>
      <c r="D13" s="196" t="s">
        <v>218</v>
      </c>
      <c r="E13" s="170" t="s">
        <v>136</v>
      </c>
      <c r="F13" s="170" t="s">
        <v>3655</v>
      </c>
      <c r="G13" s="196" t="s">
        <v>1053</v>
      </c>
      <c r="H13" s="174"/>
      <c r="I13" s="196" t="s">
        <v>135</v>
      </c>
      <c r="J13" s="189">
        <v>45728.47923181713</v>
      </c>
      <c r="K13" s="173" t="s">
        <v>139</v>
      </c>
      <c r="L13" s="170" t="s">
        <v>300</v>
      </c>
      <c r="M13" s="226"/>
      <c r="N13" s="234"/>
      <c r="O13" s="169"/>
      <c r="P13" s="7"/>
      <c r="Q13" s="229"/>
      <c r="S13" s="231"/>
      <c r="T13" s="184"/>
    </row>
    <row r="14">
      <c r="A14" s="168">
        <v>13.0</v>
      </c>
      <c r="B14" s="193" t="s">
        <v>6</v>
      </c>
      <c r="C14" s="193" t="s">
        <v>225</v>
      </c>
      <c r="D14" s="193" t="s">
        <v>143</v>
      </c>
      <c r="E14" s="170" t="s">
        <v>136</v>
      </c>
      <c r="F14" s="170" t="s">
        <v>3655</v>
      </c>
      <c r="G14" s="193" t="s">
        <v>3666</v>
      </c>
      <c r="H14" s="171"/>
      <c r="I14" s="193" t="s">
        <v>136</v>
      </c>
      <c r="J14" s="186">
        <v>45728.47995234954</v>
      </c>
      <c r="K14" s="173" t="s">
        <v>139</v>
      </c>
      <c r="L14" s="170" t="s">
        <v>300</v>
      </c>
      <c r="M14" s="226"/>
      <c r="N14" s="232"/>
      <c r="Q14" s="229"/>
      <c r="S14" s="230"/>
      <c r="T14" s="235"/>
    </row>
    <row r="15">
      <c r="A15" s="168">
        <v>14.0</v>
      </c>
      <c r="B15" s="196" t="s">
        <v>6</v>
      </c>
      <c r="C15" s="196" t="s">
        <v>3677</v>
      </c>
      <c r="D15" s="196" t="s">
        <v>202</v>
      </c>
      <c r="E15" s="170" t="s">
        <v>136</v>
      </c>
      <c r="F15" s="170" t="s">
        <v>3655</v>
      </c>
      <c r="G15" s="196" t="s">
        <v>3678</v>
      </c>
      <c r="H15" s="174"/>
      <c r="I15" s="196" t="s">
        <v>136</v>
      </c>
      <c r="J15" s="189">
        <v>45728.48003366898</v>
      </c>
      <c r="K15" s="173" t="s">
        <v>139</v>
      </c>
      <c r="L15" s="170" t="s">
        <v>300</v>
      </c>
      <c r="M15" s="226"/>
      <c r="N15" s="227"/>
      <c r="O15" s="169"/>
      <c r="P15" s="7"/>
      <c r="Q15" s="229"/>
      <c r="S15" s="231"/>
      <c r="T15" s="233"/>
    </row>
    <row r="16">
      <c r="A16" s="168">
        <v>15.0</v>
      </c>
      <c r="B16" s="193" t="s">
        <v>7</v>
      </c>
      <c r="C16" s="193" t="s">
        <v>3679</v>
      </c>
      <c r="D16" s="193" t="s">
        <v>374</v>
      </c>
      <c r="E16" s="170" t="s">
        <v>135</v>
      </c>
      <c r="F16" s="170" t="s">
        <v>3655</v>
      </c>
      <c r="G16" s="193" t="s">
        <v>3643</v>
      </c>
      <c r="H16" s="171"/>
      <c r="I16" s="193" t="s">
        <v>136</v>
      </c>
      <c r="J16" s="186">
        <v>45728.48076021991</v>
      </c>
      <c r="K16" s="173" t="s">
        <v>139</v>
      </c>
      <c r="L16" s="170" t="s">
        <v>300</v>
      </c>
      <c r="M16" s="226"/>
      <c r="N16" s="227"/>
      <c r="O16" s="169"/>
      <c r="P16" s="169"/>
      <c r="Q16" s="229"/>
      <c r="S16" s="230"/>
      <c r="T16" s="235"/>
    </row>
    <row r="17">
      <c r="A17" s="168">
        <v>16.0</v>
      </c>
      <c r="B17" s="196" t="s">
        <v>6</v>
      </c>
      <c r="C17" s="196" t="s">
        <v>3680</v>
      </c>
      <c r="D17" s="196" t="s">
        <v>134</v>
      </c>
      <c r="E17" s="170" t="s">
        <v>136</v>
      </c>
      <c r="F17" s="170" t="s">
        <v>3655</v>
      </c>
      <c r="G17" s="196" t="s">
        <v>3681</v>
      </c>
      <c r="H17" s="174"/>
      <c r="I17" s="196" t="s">
        <v>135</v>
      </c>
      <c r="J17" s="189">
        <v>45728.48143356481</v>
      </c>
      <c r="K17" s="173" t="s">
        <v>139</v>
      </c>
      <c r="L17" s="170" t="s">
        <v>300</v>
      </c>
      <c r="M17" s="226"/>
      <c r="N17" s="232"/>
      <c r="O17" s="169"/>
      <c r="P17" s="7"/>
      <c r="Q17" s="229"/>
      <c r="S17" s="231"/>
      <c r="T17" s="233"/>
    </row>
    <row r="18">
      <c r="A18" s="168">
        <v>17.0</v>
      </c>
      <c r="B18" s="193" t="s">
        <v>7</v>
      </c>
      <c r="C18" s="193" t="s">
        <v>2826</v>
      </c>
      <c r="D18" s="193" t="s">
        <v>202</v>
      </c>
      <c r="E18" s="170" t="s">
        <v>136</v>
      </c>
      <c r="F18" s="170" t="s">
        <v>3655</v>
      </c>
      <c r="G18" s="193" t="s">
        <v>2179</v>
      </c>
      <c r="H18" s="171"/>
      <c r="I18" s="193" t="s">
        <v>136</v>
      </c>
      <c r="J18" s="186">
        <v>45728.50333289352</v>
      </c>
      <c r="K18" s="173" t="s">
        <v>139</v>
      </c>
      <c r="L18" s="170" t="s">
        <v>300</v>
      </c>
      <c r="M18" s="226"/>
      <c r="N18" s="232"/>
      <c r="O18" s="169"/>
      <c r="P18" s="7"/>
      <c r="Q18" s="229"/>
      <c r="S18" s="230"/>
      <c r="T18" s="235"/>
    </row>
    <row r="19">
      <c r="A19" s="168"/>
      <c r="B19" s="196"/>
      <c r="C19" s="196"/>
      <c r="D19" s="196"/>
      <c r="E19" s="170"/>
      <c r="F19" s="170"/>
      <c r="G19" s="196"/>
      <c r="H19" s="174"/>
      <c r="I19" s="196"/>
      <c r="J19" s="188"/>
      <c r="K19" s="173"/>
      <c r="L19" s="170"/>
      <c r="M19" s="226"/>
      <c r="N19" s="232"/>
      <c r="O19" s="169"/>
      <c r="P19" s="7"/>
      <c r="Q19" s="229"/>
      <c r="S19" s="231"/>
      <c r="T19" s="233"/>
    </row>
    <row r="20">
      <c r="A20" s="168"/>
      <c r="B20" s="193"/>
      <c r="C20" s="198"/>
      <c r="D20" s="193"/>
      <c r="E20" s="170"/>
      <c r="F20" s="170"/>
      <c r="G20" s="193"/>
      <c r="H20" s="171"/>
      <c r="I20" s="193"/>
      <c r="J20" s="188"/>
      <c r="K20" s="173"/>
      <c r="L20" s="170"/>
      <c r="M20" s="226"/>
      <c r="N20" s="234"/>
      <c r="O20" s="169"/>
      <c r="P20" s="7"/>
      <c r="Q20" s="229"/>
      <c r="S20" s="230"/>
      <c r="T20" s="235"/>
    </row>
    <row r="21">
      <c r="A21" s="168"/>
      <c r="B21" s="196"/>
      <c r="C21" s="196"/>
      <c r="D21" s="196"/>
      <c r="E21" s="170"/>
      <c r="F21" s="170"/>
      <c r="G21" s="196"/>
      <c r="H21" s="174"/>
      <c r="I21" s="196"/>
      <c r="J21" s="188"/>
      <c r="K21" s="173"/>
      <c r="L21" s="170"/>
      <c r="M21" s="226"/>
      <c r="N21" s="232"/>
      <c r="O21" s="169"/>
      <c r="P21" s="7"/>
      <c r="Q21" s="229"/>
      <c r="S21" s="231"/>
      <c r="T21" s="233"/>
    </row>
    <row r="22">
      <c r="A22" s="168"/>
      <c r="B22" s="193"/>
      <c r="C22" s="193"/>
      <c r="D22" s="193"/>
      <c r="E22" s="170"/>
      <c r="F22" s="170"/>
      <c r="G22" s="193"/>
      <c r="H22" s="171"/>
      <c r="I22" s="193"/>
      <c r="J22" s="188"/>
      <c r="K22" s="173"/>
      <c r="L22" s="170"/>
      <c r="M22" s="226"/>
      <c r="N22" s="227"/>
      <c r="O22" s="228"/>
      <c r="P22" s="228"/>
      <c r="Q22" s="229"/>
      <c r="S22" s="230"/>
      <c r="T22" s="235"/>
    </row>
    <row r="23">
      <c r="A23" s="168"/>
      <c r="B23" s="196"/>
      <c r="C23" s="196"/>
      <c r="D23" s="196"/>
      <c r="E23" s="170"/>
      <c r="F23" s="170"/>
      <c r="G23" s="196"/>
      <c r="H23" s="174"/>
      <c r="I23" s="196"/>
      <c r="J23" s="188"/>
      <c r="K23" s="173"/>
      <c r="L23" s="236"/>
      <c r="M23" s="226"/>
      <c r="N23" s="227"/>
      <c r="O23" s="228"/>
      <c r="P23" s="228"/>
      <c r="Q23" s="229"/>
      <c r="S23" s="231"/>
      <c r="T23" s="184"/>
    </row>
    <row r="24">
      <c r="A24" s="168"/>
      <c r="B24" s="193"/>
      <c r="C24" s="193"/>
      <c r="D24" s="193"/>
      <c r="E24" s="170"/>
      <c r="F24" s="170"/>
      <c r="G24" s="183"/>
      <c r="I24" s="183"/>
      <c r="J24" s="188"/>
      <c r="K24" s="173"/>
      <c r="L24" s="236"/>
      <c r="S24" s="230"/>
      <c r="T24" s="185"/>
    </row>
    <row r="25">
      <c r="A25" s="168"/>
      <c r="B25" s="196"/>
      <c r="C25" s="196"/>
      <c r="D25" s="196"/>
      <c r="E25" s="170"/>
      <c r="F25" s="170"/>
      <c r="G25" s="188"/>
      <c r="I25" s="188"/>
      <c r="J25" s="188"/>
      <c r="K25" s="173"/>
      <c r="L25" s="236"/>
      <c r="O25" s="17">
        <v>3.0</v>
      </c>
      <c r="P25" s="17" t="s">
        <v>269</v>
      </c>
      <c r="S25" s="231"/>
      <c r="T25" s="233"/>
    </row>
    <row r="26">
      <c r="A26" s="168"/>
      <c r="B26" s="193"/>
      <c r="C26" s="193"/>
      <c r="D26" s="193"/>
      <c r="E26" s="170"/>
      <c r="F26" s="170"/>
      <c r="G26" s="183"/>
      <c r="I26" s="183"/>
      <c r="J26" s="188"/>
      <c r="K26" s="173"/>
      <c r="L26" s="236"/>
      <c r="O26" s="17">
        <v>14.0</v>
      </c>
      <c r="P26" s="17" t="s">
        <v>328</v>
      </c>
      <c r="S26" s="230"/>
      <c r="T26" s="185"/>
    </row>
    <row r="27">
      <c r="A27" s="168"/>
      <c r="B27" s="193"/>
      <c r="C27" s="193"/>
      <c r="D27" s="193"/>
      <c r="E27" s="170"/>
      <c r="F27" s="170"/>
      <c r="J27" s="172"/>
      <c r="K27" s="173"/>
      <c r="L27" s="170"/>
      <c r="O27" s="82">
        <v>0.0</v>
      </c>
      <c r="P27" s="237" t="s">
        <v>451</v>
      </c>
      <c r="S27" s="7"/>
      <c r="T27" s="7"/>
    </row>
    <row r="28">
      <c r="A28" s="168"/>
      <c r="B28" s="197"/>
      <c r="E28" s="170"/>
      <c r="F28" s="170"/>
      <c r="J28" s="172"/>
      <c r="K28" s="173"/>
      <c r="L28" s="170"/>
      <c r="O28" s="238">
        <v>0.0</v>
      </c>
      <c r="P28" s="239" t="s">
        <v>22</v>
      </c>
      <c r="S28" s="7"/>
      <c r="T28" s="7"/>
    </row>
    <row r="29">
      <c r="A29" s="168"/>
      <c r="B29" s="169"/>
      <c r="C29" s="169"/>
      <c r="D29" s="169"/>
      <c r="E29" s="170"/>
      <c r="F29" s="170"/>
      <c r="J29" s="172"/>
      <c r="K29" s="173"/>
      <c r="L29" s="170"/>
      <c r="S29" s="7"/>
      <c r="T29" s="7"/>
    </row>
    <row r="30">
      <c r="A30" s="168"/>
      <c r="B30" s="169"/>
      <c r="C30" s="169"/>
      <c r="D30" s="169"/>
      <c r="E30" s="170"/>
      <c r="F30" s="170"/>
      <c r="J30" s="172"/>
      <c r="K30" s="173"/>
      <c r="L30" s="170"/>
      <c r="S30" s="7"/>
      <c r="T30" s="7"/>
    </row>
    <row r="31">
      <c r="A31" s="168"/>
      <c r="B31" s="169"/>
      <c r="C31" s="169"/>
      <c r="D31" s="169"/>
      <c r="E31" s="170"/>
      <c r="F31" s="170"/>
      <c r="J31" s="172"/>
      <c r="K31" s="173"/>
      <c r="L31" s="170"/>
      <c r="S31" s="7"/>
      <c r="T31" s="7"/>
    </row>
    <row r="32">
      <c r="A32" s="168"/>
      <c r="B32" s="169"/>
      <c r="C32" s="169"/>
      <c r="D32" s="169"/>
      <c r="E32" s="170"/>
      <c r="F32" s="170"/>
      <c r="J32" s="172"/>
      <c r="K32" s="173"/>
      <c r="L32" s="170"/>
      <c r="S32" s="7"/>
      <c r="T32" s="7"/>
    </row>
    <row r="33">
      <c r="A33" s="168"/>
      <c r="B33" s="169"/>
      <c r="C33" s="169"/>
      <c r="D33" s="169"/>
      <c r="E33" s="170"/>
      <c r="F33" s="170"/>
      <c r="J33" s="172"/>
      <c r="K33" s="173"/>
      <c r="L33" s="170"/>
      <c r="S33" s="7"/>
      <c r="T33" s="7"/>
    </row>
    <row r="34">
      <c r="A34" s="168"/>
      <c r="B34" s="169"/>
      <c r="C34" s="169"/>
      <c r="D34" s="169"/>
      <c r="E34" s="170"/>
      <c r="F34" s="170"/>
      <c r="J34" s="172"/>
      <c r="K34" s="173"/>
      <c r="L34" s="170"/>
      <c r="S34" s="7"/>
      <c r="T34" s="7"/>
    </row>
    <row r="35">
      <c r="A35" s="168"/>
      <c r="B35" s="169"/>
      <c r="C35" s="169"/>
      <c r="D35" s="169"/>
      <c r="E35" s="170"/>
      <c r="F35" s="170"/>
      <c r="J35" s="172"/>
      <c r="K35" s="173"/>
      <c r="L35" s="170"/>
      <c r="S35" s="7"/>
      <c r="T35" s="7"/>
    </row>
    <row r="36">
      <c r="A36" s="168"/>
      <c r="B36" s="169"/>
      <c r="C36" s="169"/>
      <c r="D36" s="169"/>
      <c r="E36" s="170"/>
      <c r="F36" s="170"/>
      <c r="J36" s="172"/>
      <c r="K36" s="173"/>
      <c r="L36" s="170"/>
      <c r="S36" s="7"/>
      <c r="T36" s="7"/>
    </row>
    <row r="37">
      <c r="A37" s="168"/>
      <c r="B37" s="169"/>
      <c r="C37" s="169"/>
      <c r="D37" s="169"/>
      <c r="E37" s="170"/>
      <c r="F37" s="170"/>
      <c r="J37" s="172"/>
      <c r="K37" s="173"/>
      <c r="L37" s="170"/>
      <c r="S37" s="7"/>
      <c r="T37" s="7"/>
    </row>
    <row r="38">
      <c r="A38" s="168"/>
      <c r="B38" s="169"/>
      <c r="C38" s="169"/>
      <c r="D38" s="169"/>
      <c r="E38" s="170"/>
      <c r="F38" s="170"/>
      <c r="J38" s="172"/>
      <c r="K38" s="173"/>
      <c r="L38" s="170"/>
      <c r="S38" s="7"/>
      <c r="T38" s="7"/>
    </row>
    <row r="39">
      <c r="A39" s="168"/>
      <c r="B39" s="169"/>
      <c r="C39" s="169"/>
      <c r="D39" s="169"/>
      <c r="E39" s="170"/>
      <c r="F39" s="170"/>
      <c r="J39" s="172"/>
      <c r="K39" s="173"/>
      <c r="L39" s="170"/>
      <c r="S39" s="7"/>
      <c r="T39" s="7"/>
    </row>
    <row r="40">
      <c r="A40" s="168"/>
      <c r="B40" s="169"/>
      <c r="C40" s="169"/>
      <c r="D40" s="169"/>
      <c r="E40" s="170"/>
      <c r="F40" s="170"/>
      <c r="J40" s="172"/>
      <c r="K40" s="173"/>
      <c r="L40" s="170"/>
      <c r="S40" s="7"/>
      <c r="T40" s="7"/>
    </row>
    <row r="41">
      <c r="A41" s="168"/>
      <c r="B41" s="169"/>
      <c r="C41" s="169"/>
      <c r="D41" s="169"/>
      <c r="E41" s="170"/>
      <c r="F41" s="170"/>
      <c r="J41" s="172"/>
      <c r="K41" s="173"/>
      <c r="L41" s="170"/>
      <c r="S41" s="7"/>
      <c r="T41" s="7"/>
    </row>
    <row r="42">
      <c r="A42" s="168"/>
      <c r="B42" s="169"/>
      <c r="C42" s="169"/>
      <c r="D42" s="169"/>
      <c r="F42" s="170"/>
      <c r="J42" s="172"/>
      <c r="K42" s="173"/>
      <c r="L42" s="170"/>
      <c r="S42" s="7"/>
      <c r="T42" s="7"/>
    </row>
    <row r="43">
      <c r="A43" s="168"/>
      <c r="B43" s="169"/>
      <c r="C43" s="169"/>
      <c r="D43" s="169"/>
      <c r="F43" s="170"/>
      <c r="J43" s="172"/>
      <c r="K43" s="173"/>
      <c r="L43" s="170"/>
      <c r="S43" s="7"/>
      <c r="T43" s="7"/>
    </row>
    <row r="44">
      <c r="A44" s="168"/>
      <c r="B44" s="169"/>
      <c r="C44" s="169"/>
      <c r="D44" s="169"/>
      <c r="F44" s="170"/>
      <c r="J44" s="172"/>
      <c r="K44" s="173"/>
      <c r="L44" s="170"/>
      <c r="S44" s="7"/>
      <c r="T44" s="7"/>
    </row>
    <row r="45">
      <c r="A45" s="168"/>
      <c r="B45" s="169"/>
      <c r="C45" s="169"/>
      <c r="D45" s="169"/>
      <c r="F45" s="170"/>
      <c r="J45" s="172"/>
      <c r="K45" s="173"/>
      <c r="L45" s="170"/>
      <c r="S45" s="7"/>
      <c r="T45" s="7"/>
    </row>
    <row r="46">
      <c r="A46" s="168"/>
      <c r="B46" s="169"/>
      <c r="C46" s="169"/>
      <c r="D46" s="169"/>
      <c r="F46" s="170"/>
      <c r="J46" s="172"/>
      <c r="K46" s="173"/>
      <c r="L46" s="170"/>
      <c r="S46" s="7"/>
      <c r="T46" s="7"/>
    </row>
    <row r="47">
      <c r="A47" s="168"/>
      <c r="B47" s="169"/>
      <c r="C47" s="169"/>
      <c r="D47" s="169"/>
      <c r="F47" s="170"/>
      <c r="J47" s="172"/>
      <c r="K47" s="173"/>
      <c r="L47" s="170"/>
      <c r="S47" s="7"/>
      <c r="T47" s="7"/>
    </row>
    <row r="48">
      <c r="A48" s="168"/>
      <c r="B48" s="169"/>
      <c r="C48" s="169"/>
      <c r="D48" s="169"/>
      <c r="F48" s="170"/>
      <c r="J48" s="172"/>
      <c r="K48" s="173"/>
      <c r="L48" s="170"/>
      <c r="S48" s="7"/>
      <c r="T48" s="7"/>
    </row>
    <row r="49">
      <c r="A49" s="168"/>
      <c r="B49" s="169"/>
      <c r="C49" s="169"/>
      <c r="D49" s="169"/>
      <c r="F49" s="170"/>
      <c r="J49" s="172"/>
      <c r="K49" s="173"/>
      <c r="L49" s="170"/>
      <c r="S49" s="7"/>
      <c r="T49" s="7"/>
    </row>
    <row r="50">
      <c r="A50" s="168"/>
      <c r="B50" s="169"/>
      <c r="C50" s="169"/>
      <c r="D50" s="169"/>
      <c r="F50" s="170"/>
      <c r="J50" s="172"/>
      <c r="K50" s="173"/>
      <c r="L50" s="170"/>
      <c r="S50" s="7"/>
      <c r="T50" s="7"/>
    </row>
    <row r="51">
      <c r="A51" s="168"/>
      <c r="B51" s="169"/>
      <c r="C51" s="169"/>
      <c r="D51" s="169"/>
      <c r="F51" s="170"/>
      <c r="J51" s="172"/>
      <c r="K51" s="173"/>
      <c r="L51" s="170"/>
      <c r="S51" s="7"/>
      <c r="T51" s="7"/>
    </row>
    <row r="52">
      <c r="A52" s="168"/>
      <c r="B52" s="169"/>
      <c r="C52" s="169"/>
      <c r="D52" s="169"/>
      <c r="F52" s="170"/>
      <c r="J52" s="172"/>
      <c r="K52" s="173"/>
      <c r="L52" s="170"/>
      <c r="S52" s="7"/>
      <c r="T52" s="7"/>
    </row>
    <row r="53">
      <c r="A53" s="168"/>
      <c r="B53" s="169"/>
      <c r="C53" s="169"/>
      <c r="D53" s="169"/>
      <c r="F53" s="170"/>
      <c r="J53" s="172"/>
      <c r="K53" s="173"/>
      <c r="L53" s="170"/>
      <c r="S53" s="7"/>
      <c r="T53" s="7"/>
    </row>
    <row r="54">
      <c r="A54" s="168"/>
      <c r="B54" s="169"/>
      <c r="C54" s="169"/>
      <c r="D54" s="169"/>
      <c r="F54" s="170"/>
      <c r="J54" s="172"/>
      <c r="K54" s="173"/>
      <c r="L54" s="170"/>
      <c r="S54" s="7"/>
      <c r="T54" s="7"/>
    </row>
    <row r="55">
      <c r="A55" s="168"/>
      <c r="B55" s="169"/>
      <c r="C55" s="169"/>
      <c r="D55" s="169"/>
      <c r="F55" s="170"/>
      <c r="J55" s="172"/>
      <c r="K55" s="173"/>
      <c r="L55" s="170"/>
      <c r="S55" s="7"/>
      <c r="T55" s="7"/>
    </row>
    <row r="56">
      <c r="A56" s="168"/>
      <c r="B56" s="169"/>
      <c r="C56" s="169"/>
      <c r="D56" s="169"/>
      <c r="F56" s="170"/>
      <c r="J56" s="172"/>
      <c r="K56" s="173"/>
      <c r="L56" s="170"/>
      <c r="S56" s="7"/>
      <c r="T56" s="7"/>
    </row>
    <row r="57">
      <c r="A57" s="168"/>
      <c r="B57" s="169"/>
      <c r="C57" s="169"/>
      <c r="D57" s="169"/>
      <c r="F57" s="170"/>
      <c r="J57" s="172"/>
      <c r="K57" s="173"/>
      <c r="L57" s="170"/>
      <c r="S57" s="7"/>
      <c r="T57" s="7"/>
    </row>
    <row r="58">
      <c r="A58" s="168"/>
      <c r="B58" s="169"/>
      <c r="C58" s="169"/>
      <c r="D58" s="169"/>
      <c r="F58" s="170"/>
      <c r="J58" s="172"/>
      <c r="K58" s="173"/>
      <c r="L58" s="170"/>
      <c r="S58" s="7"/>
      <c r="T58" s="7"/>
    </row>
    <row r="59">
      <c r="A59" s="168"/>
      <c r="B59" s="169"/>
      <c r="C59" s="169"/>
      <c r="D59" s="169"/>
      <c r="F59" s="170"/>
      <c r="J59" s="172"/>
      <c r="K59" s="173"/>
      <c r="L59" s="170"/>
      <c r="S59" s="7"/>
      <c r="T59" s="7"/>
    </row>
    <row r="60">
      <c r="A60" s="168"/>
      <c r="B60" s="169"/>
      <c r="C60" s="169"/>
      <c r="D60" s="169"/>
      <c r="F60" s="170"/>
      <c r="J60" s="172"/>
      <c r="K60" s="173"/>
      <c r="L60" s="170"/>
      <c r="S60" s="7"/>
      <c r="T60" s="7"/>
    </row>
    <row r="61">
      <c r="A61" s="168"/>
      <c r="B61" s="169"/>
      <c r="C61" s="169"/>
      <c r="D61" s="169"/>
      <c r="F61" s="170"/>
      <c r="J61" s="172"/>
      <c r="K61" s="173"/>
      <c r="L61" s="170"/>
      <c r="S61" s="7"/>
      <c r="T61" s="7"/>
    </row>
    <row r="62">
      <c r="A62" s="168"/>
      <c r="B62" s="169"/>
      <c r="C62" s="169"/>
      <c r="D62" s="169"/>
      <c r="F62" s="170"/>
      <c r="J62" s="172"/>
      <c r="K62" s="173"/>
      <c r="L62" s="170"/>
      <c r="S62" s="7"/>
      <c r="T62" s="7"/>
    </row>
    <row r="63">
      <c r="A63" s="168"/>
      <c r="B63" s="169"/>
      <c r="C63" s="169"/>
      <c r="D63" s="169"/>
      <c r="F63" s="170"/>
      <c r="J63" s="172"/>
      <c r="K63" s="173"/>
      <c r="L63" s="170"/>
      <c r="S63" s="7"/>
      <c r="T63" s="7"/>
    </row>
    <row r="64">
      <c r="A64" s="168"/>
      <c r="B64" s="169"/>
      <c r="C64" s="169"/>
      <c r="D64" s="169"/>
      <c r="F64" s="170"/>
      <c r="J64" s="172"/>
      <c r="K64" s="173"/>
      <c r="L64" s="170"/>
      <c r="S64" s="7"/>
      <c r="T64" s="7"/>
    </row>
    <row r="65">
      <c r="A65" s="168"/>
      <c r="B65" s="169"/>
      <c r="C65" s="169"/>
      <c r="D65" s="169"/>
      <c r="F65" s="170"/>
      <c r="J65" s="172"/>
      <c r="K65" s="173"/>
      <c r="L65" s="170"/>
      <c r="S65" s="7"/>
      <c r="T65" s="7"/>
    </row>
    <row r="66">
      <c r="A66" s="168"/>
      <c r="B66" s="169"/>
      <c r="C66" s="169"/>
      <c r="D66" s="169"/>
      <c r="F66" s="170"/>
      <c r="J66" s="172"/>
      <c r="K66" s="173"/>
      <c r="L66" s="170"/>
      <c r="S66" s="7"/>
      <c r="T66" s="7"/>
    </row>
    <row r="67">
      <c r="A67" s="168"/>
      <c r="B67" s="169"/>
      <c r="C67" s="169"/>
      <c r="D67" s="169"/>
      <c r="F67" s="170"/>
      <c r="J67" s="172"/>
      <c r="K67" s="173"/>
      <c r="L67" s="170"/>
      <c r="S67" s="7"/>
      <c r="T67" s="7"/>
    </row>
    <row r="68">
      <c r="A68" s="168"/>
      <c r="B68" s="169"/>
      <c r="C68" s="169"/>
      <c r="D68" s="169"/>
      <c r="F68" s="170"/>
      <c r="J68" s="172"/>
      <c r="K68" s="173"/>
      <c r="L68" s="170"/>
      <c r="S68" s="7"/>
      <c r="T68" s="7"/>
    </row>
    <row r="69">
      <c r="A69" s="168"/>
      <c r="B69" s="169"/>
      <c r="C69" s="169"/>
      <c r="D69" s="169"/>
      <c r="F69" s="170"/>
      <c r="J69" s="172"/>
      <c r="K69" s="173"/>
      <c r="L69" s="170"/>
      <c r="S69" s="7"/>
      <c r="T69" s="7"/>
    </row>
    <row r="70">
      <c r="A70" s="168"/>
      <c r="B70" s="169"/>
      <c r="C70" s="169"/>
      <c r="D70" s="169"/>
      <c r="F70" s="170"/>
      <c r="J70" s="172"/>
      <c r="K70" s="173"/>
      <c r="L70" s="170"/>
      <c r="S70" s="7"/>
      <c r="T70" s="7"/>
    </row>
    <row r="71">
      <c r="A71" s="168"/>
      <c r="B71" s="169"/>
      <c r="C71" s="169"/>
      <c r="D71" s="169"/>
      <c r="F71" s="170"/>
      <c r="J71" s="172"/>
      <c r="K71" s="173"/>
      <c r="L71" s="170"/>
      <c r="S71" s="7"/>
      <c r="T71" s="7"/>
    </row>
    <row r="72">
      <c r="A72" s="168"/>
      <c r="B72" s="169"/>
      <c r="C72" s="169"/>
      <c r="D72" s="169"/>
      <c r="F72" s="170"/>
      <c r="J72" s="172"/>
      <c r="K72" s="173"/>
      <c r="L72" s="170"/>
      <c r="S72" s="7"/>
      <c r="T72" s="7"/>
    </row>
    <row r="73">
      <c r="A73" s="168"/>
      <c r="B73" s="169"/>
      <c r="C73" s="169"/>
      <c r="D73" s="169"/>
      <c r="F73" s="170"/>
      <c r="J73" s="172"/>
      <c r="K73" s="173"/>
      <c r="L73" s="170"/>
      <c r="S73" s="7"/>
      <c r="T73" s="7"/>
    </row>
    <row r="74">
      <c r="S74" s="7"/>
      <c r="T74" s="7"/>
    </row>
    <row r="75">
      <c r="S75" s="7"/>
      <c r="T75" s="7"/>
    </row>
    <row r="76">
      <c r="S76" s="7"/>
      <c r="T76" s="7"/>
    </row>
    <row r="77">
      <c r="S77" s="7"/>
      <c r="T77" s="7"/>
    </row>
    <row r="78">
      <c r="S78" s="7"/>
      <c r="T78" s="7"/>
    </row>
    <row r="79">
      <c r="S79" s="7"/>
      <c r="T79" s="7"/>
      <c r="U79" s="11"/>
    </row>
    <row r="80">
      <c r="S80" s="7"/>
      <c r="T80" s="7"/>
      <c r="U80" s="11"/>
    </row>
    <row r="81">
      <c r="S81" s="7"/>
      <c r="T81" s="7"/>
      <c r="U81" s="11"/>
    </row>
    <row r="82">
      <c r="S82" s="7"/>
      <c r="T82" s="7"/>
      <c r="U82" s="11"/>
    </row>
    <row r="83">
      <c r="S83" s="7"/>
      <c r="T83" s="7"/>
    </row>
    <row r="87">
      <c r="T87" s="7"/>
    </row>
    <row r="88">
      <c r="T88" s="7"/>
    </row>
  </sheetData>
  <drawing r:id="rId1"/>
  <tableParts count="6">
    <tablePart r:id="rId8"/>
    <tablePart r:id="rId9"/>
    <tablePart r:id="rId10"/>
    <tablePart r:id="rId11"/>
    <tablePart r:id="rId12"/>
    <tablePart r:id="rId1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0" t="s">
        <v>116</v>
      </c>
      <c r="B1" s="240" t="s">
        <v>117</v>
      </c>
      <c r="C1" s="240" t="s">
        <v>118</v>
      </c>
      <c r="D1" s="240" t="s">
        <v>119</v>
      </c>
      <c r="E1" s="240" t="s">
        <v>120</v>
      </c>
      <c r="F1" s="240" t="s">
        <v>121</v>
      </c>
      <c r="G1" s="240" t="s">
        <v>122</v>
      </c>
      <c r="H1" s="240" t="s">
        <v>123</v>
      </c>
      <c r="I1" s="240" t="s">
        <v>3780</v>
      </c>
      <c r="J1" s="240" t="s">
        <v>125</v>
      </c>
      <c r="K1" s="240" t="s">
        <v>126</v>
      </c>
      <c r="L1" s="241" t="s">
        <v>3771</v>
      </c>
      <c r="M1" s="240"/>
      <c r="N1" s="240" t="s">
        <v>129</v>
      </c>
      <c r="O1" s="123" t="s">
        <v>130</v>
      </c>
      <c r="P1" s="123" t="s">
        <v>131</v>
      </c>
      <c r="Q1" s="123" t="s">
        <v>3880</v>
      </c>
    </row>
    <row r="2">
      <c r="A2" s="168">
        <v>1.0</v>
      </c>
      <c r="B2" s="196" t="s">
        <v>7</v>
      </c>
      <c r="C2" s="196" t="s">
        <v>3654</v>
      </c>
      <c r="D2" s="196" t="s">
        <v>209</v>
      </c>
      <c r="E2" s="170" t="s">
        <v>136</v>
      </c>
      <c r="F2" s="170" t="s">
        <v>3655</v>
      </c>
      <c r="G2" s="196" t="s">
        <v>3614</v>
      </c>
      <c r="H2" s="174"/>
      <c r="I2" s="196" t="s">
        <v>135</v>
      </c>
      <c r="J2" s="189">
        <v>45777.62832761574</v>
      </c>
      <c r="K2" s="173" t="s">
        <v>139</v>
      </c>
      <c r="L2" s="170" t="s">
        <v>295</v>
      </c>
      <c r="N2" s="196" t="s">
        <v>209</v>
      </c>
      <c r="O2" s="184">
        <v>1.0</v>
      </c>
      <c r="P2" s="17" t="s">
        <v>269</v>
      </c>
    </row>
    <row r="3">
      <c r="A3" s="168">
        <v>2.0</v>
      </c>
      <c r="B3" s="193" t="s">
        <v>7</v>
      </c>
      <c r="C3" s="198"/>
      <c r="D3" s="193" t="s">
        <v>218</v>
      </c>
      <c r="E3" s="170" t="s">
        <v>135</v>
      </c>
      <c r="F3" s="170" t="s">
        <v>3655</v>
      </c>
      <c r="G3" s="193" t="s">
        <v>3656</v>
      </c>
      <c r="H3" s="171"/>
      <c r="I3" s="193" t="s">
        <v>136</v>
      </c>
      <c r="J3" s="186">
        <v>45777.628622118056</v>
      </c>
      <c r="K3" s="173" t="s">
        <v>139</v>
      </c>
      <c r="L3" s="170" t="s">
        <v>295</v>
      </c>
      <c r="N3" s="193" t="s">
        <v>218</v>
      </c>
      <c r="O3" s="185">
        <v>1.0</v>
      </c>
      <c r="P3" s="17" t="s">
        <v>269</v>
      </c>
    </row>
    <row r="4">
      <c r="A4" s="168">
        <v>3.0</v>
      </c>
      <c r="B4" s="196" t="s">
        <v>6</v>
      </c>
      <c r="C4" s="196" t="s">
        <v>1614</v>
      </c>
      <c r="D4" s="196" t="s">
        <v>143</v>
      </c>
      <c r="E4" s="170" t="s">
        <v>135</v>
      </c>
      <c r="F4" s="170" t="s">
        <v>3655</v>
      </c>
      <c r="G4" s="196" t="s">
        <v>3657</v>
      </c>
      <c r="H4" s="174"/>
      <c r="I4" s="196" t="s">
        <v>136</v>
      </c>
      <c r="J4" s="189">
        <v>45777.630954837965</v>
      </c>
      <c r="K4" s="173" t="s">
        <v>139</v>
      </c>
      <c r="L4" s="170" t="s">
        <v>295</v>
      </c>
      <c r="N4" s="196" t="s">
        <v>143</v>
      </c>
      <c r="O4" s="184">
        <v>3.0</v>
      </c>
      <c r="P4" s="17" t="s">
        <v>328</v>
      </c>
    </row>
    <row r="5">
      <c r="A5" s="168">
        <v>4.0</v>
      </c>
      <c r="B5" s="193" t="s">
        <v>6</v>
      </c>
      <c r="C5" s="193" t="s">
        <v>1852</v>
      </c>
      <c r="D5" s="193" t="s">
        <v>143</v>
      </c>
      <c r="E5" s="170" t="s">
        <v>136</v>
      </c>
      <c r="F5" s="170" t="s">
        <v>3655</v>
      </c>
      <c r="G5" s="193" t="s">
        <v>137</v>
      </c>
      <c r="H5" s="171"/>
      <c r="I5" s="193" t="s">
        <v>136</v>
      </c>
      <c r="J5" s="186">
        <v>45777.6338813426</v>
      </c>
      <c r="K5" s="173" t="s">
        <v>139</v>
      </c>
      <c r="L5" s="170" t="s">
        <v>295</v>
      </c>
      <c r="N5" s="196" t="s">
        <v>3660</v>
      </c>
      <c r="O5" s="185">
        <v>1.0</v>
      </c>
      <c r="P5" s="17" t="s">
        <v>328</v>
      </c>
    </row>
    <row r="6">
      <c r="A6" s="168">
        <v>5.0</v>
      </c>
      <c r="B6" s="196" t="s">
        <v>3658</v>
      </c>
      <c r="C6" s="196" t="s">
        <v>3659</v>
      </c>
      <c r="D6" s="196" t="s">
        <v>3660</v>
      </c>
      <c r="E6" s="170" t="s">
        <v>136</v>
      </c>
      <c r="F6" s="170" t="s">
        <v>3655</v>
      </c>
      <c r="G6" s="196" t="s">
        <v>3661</v>
      </c>
      <c r="H6" s="174"/>
      <c r="I6" s="196" t="s">
        <v>136</v>
      </c>
      <c r="J6" s="189">
        <v>45777.6391259375</v>
      </c>
      <c r="K6" s="173" t="s">
        <v>139</v>
      </c>
      <c r="L6" s="170" t="s">
        <v>295</v>
      </c>
      <c r="N6" s="193" t="s">
        <v>223</v>
      </c>
      <c r="O6" s="184">
        <v>1.0</v>
      </c>
      <c r="P6" s="237" t="s">
        <v>451</v>
      </c>
    </row>
    <row r="7">
      <c r="A7" s="168">
        <v>6.0</v>
      </c>
      <c r="B7" s="193" t="s">
        <v>7</v>
      </c>
      <c r="C7" s="193" t="s">
        <v>3662</v>
      </c>
      <c r="D7" s="193" t="s">
        <v>248</v>
      </c>
      <c r="E7" s="170" t="s">
        <v>136</v>
      </c>
      <c r="F7" s="170" t="s">
        <v>3655</v>
      </c>
      <c r="G7" s="183" t="s">
        <v>3663</v>
      </c>
      <c r="I7" s="183" t="s">
        <v>135</v>
      </c>
      <c r="J7" s="186">
        <v>45777.64683774306</v>
      </c>
      <c r="K7" s="173" t="s">
        <v>139</v>
      </c>
      <c r="L7" s="170" t="s">
        <v>295</v>
      </c>
      <c r="N7" s="193" t="s">
        <v>248</v>
      </c>
      <c r="O7" s="185">
        <v>1.0</v>
      </c>
      <c r="P7" s="242" t="s">
        <v>328</v>
      </c>
    </row>
    <row r="8">
      <c r="A8" s="168">
        <v>7.0</v>
      </c>
      <c r="B8" s="196" t="s">
        <v>7</v>
      </c>
      <c r="C8" s="196" t="s">
        <v>602</v>
      </c>
      <c r="D8" s="196" t="s">
        <v>143</v>
      </c>
      <c r="E8" s="170" t="s">
        <v>135</v>
      </c>
      <c r="F8" s="170" t="s">
        <v>3655</v>
      </c>
      <c r="G8" s="188" t="s">
        <v>3664</v>
      </c>
      <c r="I8" s="188" t="s">
        <v>135</v>
      </c>
      <c r="J8" s="189">
        <v>45777.6532778588</v>
      </c>
      <c r="K8" s="173" t="s">
        <v>139</v>
      </c>
      <c r="L8" s="170" t="s">
        <v>295</v>
      </c>
      <c r="N8" s="196"/>
      <c r="O8" s="188"/>
    </row>
    <row r="9">
      <c r="A9" s="168">
        <v>8.0</v>
      </c>
      <c r="B9" s="193" t="s">
        <v>7</v>
      </c>
      <c r="C9" s="193" t="s">
        <v>3665</v>
      </c>
      <c r="D9" s="193" t="s">
        <v>223</v>
      </c>
      <c r="E9" s="170" t="s">
        <v>135</v>
      </c>
      <c r="F9" s="170" t="s">
        <v>3655</v>
      </c>
      <c r="G9" s="183" t="s">
        <v>3666</v>
      </c>
      <c r="I9" s="183" t="s">
        <v>136</v>
      </c>
      <c r="J9" s="186">
        <v>45777.65486207176</v>
      </c>
      <c r="K9" s="173" t="s">
        <v>139</v>
      </c>
      <c r="L9" s="170" t="s">
        <v>295</v>
      </c>
      <c r="N9" s="193"/>
      <c r="O9" s="183"/>
      <c r="P9" s="183"/>
    </row>
    <row r="10">
      <c r="A10" s="168"/>
      <c r="B10" s="196"/>
      <c r="C10" s="196"/>
      <c r="D10" s="196"/>
      <c r="E10" s="170"/>
      <c r="F10" s="170"/>
      <c r="G10" s="188"/>
      <c r="J10" s="172"/>
      <c r="K10" s="173"/>
      <c r="L10" s="170"/>
    </row>
    <row r="11">
      <c r="O11" s="228"/>
      <c r="P11" s="228"/>
    </row>
    <row r="13">
      <c r="O13" s="17">
        <v>2.0</v>
      </c>
      <c r="P13" s="17" t="s">
        <v>269</v>
      </c>
    </row>
    <row r="14">
      <c r="O14" s="17">
        <v>5.0</v>
      </c>
      <c r="P14" s="17" t="s">
        <v>328</v>
      </c>
    </row>
    <row r="15">
      <c r="O15" s="82">
        <v>1.0</v>
      </c>
      <c r="P15" s="237" t="s">
        <v>451</v>
      </c>
    </row>
    <row r="16">
      <c r="O16" s="238">
        <v>0.0</v>
      </c>
      <c r="P16" s="239" t="s">
        <v>22</v>
      </c>
    </row>
  </sheetData>
  <drawing r:id="rId1"/>
  <tableParts count="6">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9.29"/>
    <col customWidth="1" min="3" max="3" width="33.57"/>
    <col customWidth="1" min="4" max="4" width="72.14"/>
    <col customWidth="1" min="5" max="5" width="31.71"/>
    <col customWidth="1" min="6" max="6" width="21.57"/>
    <col customWidth="1" min="7" max="7" width="105.14"/>
    <col customWidth="1" min="8" max="8" width="26.86"/>
    <col customWidth="1" min="9" max="9" width="48.86"/>
    <col customWidth="1" min="10" max="10" width="20.29"/>
    <col customWidth="1" min="11" max="11" width="16.29"/>
    <col customWidth="1" min="14" max="14" width="9.57"/>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3"/>
      <c r="N1" s="223" t="s">
        <v>129</v>
      </c>
      <c r="O1" s="223" t="s">
        <v>130</v>
      </c>
      <c r="P1" s="223" t="s">
        <v>131</v>
      </c>
      <c r="Q1" s="223" t="s">
        <v>3880</v>
      </c>
      <c r="R1" s="223"/>
      <c r="S1" s="2"/>
      <c r="T1" s="2"/>
      <c r="U1" s="2"/>
    </row>
    <row r="2">
      <c r="A2" s="168">
        <v>1.0</v>
      </c>
      <c r="B2" s="193" t="s">
        <v>6</v>
      </c>
      <c r="C2" s="193" t="s">
        <v>3644</v>
      </c>
      <c r="D2" s="193" t="s">
        <v>134</v>
      </c>
      <c r="E2" s="194" t="s">
        <v>136</v>
      </c>
      <c r="F2" s="194" t="s">
        <v>136</v>
      </c>
      <c r="G2" s="193" t="s">
        <v>3645</v>
      </c>
      <c r="H2" s="171"/>
      <c r="I2" s="193" t="s">
        <v>136</v>
      </c>
      <c r="J2" s="186">
        <v>45791.427673136575</v>
      </c>
      <c r="K2" s="195" t="s">
        <v>3612</v>
      </c>
      <c r="L2" s="195" t="s">
        <v>289</v>
      </c>
      <c r="M2" s="226"/>
      <c r="N2" s="227" t="s">
        <v>134</v>
      </c>
      <c r="O2" s="169">
        <f>COUNTIF(D2:D26,"France")</f>
        <v>8</v>
      </c>
      <c r="P2" s="228" t="s">
        <v>328</v>
      </c>
      <c r="Q2" s="229"/>
      <c r="S2" s="193"/>
      <c r="T2" s="185"/>
    </row>
    <row r="3">
      <c r="A3" s="168">
        <v>2.0</v>
      </c>
      <c r="B3" s="196" t="s">
        <v>6</v>
      </c>
      <c r="C3" s="196" t="s">
        <v>3646</v>
      </c>
      <c r="D3" s="196" t="s">
        <v>134</v>
      </c>
      <c r="E3" s="197" t="s">
        <v>135</v>
      </c>
      <c r="F3" s="194" t="s">
        <v>136</v>
      </c>
      <c r="G3" s="196" t="s">
        <v>3647</v>
      </c>
      <c r="H3" s="174"/>
      <c r="I3" s="196" t="s">
        <v>135</v>
      </c>
      <c r="J3" s="189">
        <v>45791.42889585649</v>
      </c>
      <c r="K3" s="195" t="s">
        <v>3612</v>
      </c>
      <c r="L3" s="195" t="s">
        <v>289</v>
      </c>
      <c r="M3" s="226"/>
      <c r="N3" s="227"/>
      <c r="O3" s="169"/>
      <c r="P3" s="228"/>
      <c r="Q3" s="229"/>
      <c r="S3" s="196"/>
      <c r="T3" s="184"/>
    </row>
    <row r="4">
      <c r="A4" s="168">
        <v>3.0</v>
      </c>
      <c r="B4" s="193" t="s">
        <v>6</v>
      </c>
      <c r="C4" s="193" t="s">
        <v>3648</v>
      </c>
      <c r="D4" s="193" t="s">
        <v>134</v>
      </c>
      <c r="E4" s="194" t="s">
        <v>136</v>
      </c>
      <c r="F4" s="194" t="s">
        <v>136</v>
      </c>
      <c r="G4" s="193" t="s">
        <v>3649</v>
      </c>
      <c r="H4" s="171"/>
      <c r="I4" s="193" t="s">
        <v>135</v>
      </c>
      <c r="J4" s="186">
        <v>45791.43114403935</v>
      </c>
      <c r="K4" s="195" t="s">
        <v>3612</v>
      </c>
      <c r="L4" s="195" t="s">
        <v>289</v>
      </c>
      <c r="M4" s="226"/>
      <c r="N4" s="232"/>
      <c r="O4" s="169"/>
      <c r="P4" s="228"/>
      <c r="Q4" s="229"/>
      <c r="S4" s="193"/>
      <c r="T4" s="185"/>
    </row>
    <row r="5">
      <c r="A5" s="168">
        <v>4.0</v>
      </c>
      <c r="B5" s="196" t="s">
        <v>7</v>
      </c>
      <c r="C5" s="196" t="s">
        <v>3650</v>
      </c>
      <c r="D5" s="196" t="s">
        <v>134</v>
      </c>
      <c r="E5" s="197" t="s">
        <v>135</v>
      </c>
      <c r="F5" s="194" t="s">
        <v>136</v>
      </c>
      <c r="G5" s="196" t="s">
        <v>3651</v>
      </c>
      <c r="H5" s="174"/>
      <c r="I5" s="196" t="s">
        <v>136</v>
      </c>
      <c r="J5" s="189">
        <v>45791.43374547454</v>
      </c>
      <c r="K5" s="195" t="s">
        <v>3612</v>
      </c>
      <c r="L5" s="195" t="s">
        <v>289</v>
      </c>
      <c r="M5" s="226"/>
      <c r="N5" s="232"/>
      <c r="O5" s="169"/>
      <c r="P5" s="7"/>
      <c r="Q5" s="229"/>
      <c r="S5" s="196"/>
      <c r="T5" s="233"/>
    </row>
    <row r="6">
      <c r="A6" s="168">
        <v>5.0</v>
      </c>
      <c r="B6" s="193" t="s">
        <v>6</v>
      </c>
      <c r="C6" s="198"/>
      <c r="D6" s="193" t="s">
        <v>134</v>
      </c>
      <c r="E6" s="194" t="s">
        <v>136</v>
      </c>
      <c r="F6" s="194" t="s">
        <v>136</v>
      </c>
      <c r="G6" s="193" t="s">
        <v>385</v>
      </c>
      <c r="H6" s="171"/>
      <c r="I6" s="193" t="s">
        <v>135</v>
      </c>
      <c r="J6" s="186">
        <v>45791.43416466435</v>
      </c>
      <c r="K6" s="195" t="s">
        <v>3612</v>
      </c>
      <c r="L6" s="195" t="s">
        <v>289</v>
      </c>
      <c r="M6" s="226"/>
      <c r="N6" s="232"/>
      <c r="O6" s="169"/>
      <c r="P6" s="7"/>
      <c r="Q6" s="229"/>
      <c r="S6" s="193"/>
      <c r="T6" s="185"/>
    </row>
    <row r="7">
      <c r="A7" s="168">
        <v>6.0</v>
      </c>
      <c r="B7" s="196" t="s">
        <v>7</v>
      </c>
      <c r="C7" s="196" t="s">
        <v>3652</v>
      </c>
      <c r="D7" s="196" t="s">
        <v>134</v>
      </c>
      <c r="E7" s="194" t="s">
        <v>136</v>
      </c>
      <c r="F7" s="194" t="s">
        <v>136</v>
      </c>
      <c r="G7" s="196" t="s">
        <v>3653</v>
      </c>
      <c r="H7" s="174"/>
      <c r="I7" s="196" t="s">
        <v>136</v>
      </c>
      <c r="J7" s="189">
        <v>45791.44163825232</v>
      </c>
      <c r="K7" s="195" t="s">
        <v>3612</v>
      </c>
      <c r="L7" s="195" t="s">
        <v>289</v>
      </c>
      <c r="M7" s="226"/>
      <c r="N7" s="232"/>
      <c r="O7" s="169"/>
      <c r="P7" s="7"/>
      <c r="Q7" s="229"/>
      <c r="S7" s="196"/>
      <c r="T7" s="233"/>
    </row>
    <row r="8">
      <c r="A8" s="168">
        <v>7.0</v>
      </c>
      <c r="B8" s="193" t="s">
        <v>7</v>
      </c>
      <c r="C8" s="193" t="s">
        <v>1360</v>
      </c>
      <c r="D8" s="193" t="s">
        <v>134</v>
      </c>
      <c r="E8" s="194" t="s">
        <v>136</v>
      </c>
      <c r="F8" s="194" t="s">
        <v>136</v>
      </c>
      <c r="G8" s="193" t="s">
        <v>3605</v>
      </c>
      <c r="H8" s="171"/>
      <c r="I8" s="193" t="s">
        <v>136</v>
      </c>
      <c r="J8" s="186">
        <v>45791.44304076389</v>
      </c>
      <c r="K8" s="195" t="s">
        <v>3612</v>
      </c>
      <c r="L8" s="195" t="s">
        <v>289</v>
      </c>
      <c r="M8" s="226"/>
      <c r="N8" s="232"/>
      <c r="O8" s="169"/>
      <c r="P8" s="7"/>
      <c r="Q8" s="229"/>
      <c r="S8" s="193"/>
      <c r="T8" s="185"/>
    </row>
    <row r="9">
      <c r="A9" s="168">
        <v>8.0</v>
      </c>
      <c r="B9" s="196" t="s">
        <v>7</v>
      </c>
      <c r="C9" s="196" t="s">
        <v>3644</v>
      </c>
      <c r="D9" s="196" t="s">
        <v>134</v>
      </c>
      <c r="E9" s="197" t="s">
        <v>135</v>
      </c>
      <c r="F9" s="194" t="s">
        <v>136</v>
      </c>
      <c r="G9" s="196" t="s">
        <v>3605</v>
      </c>
      <c r="H9" s="174"/>
      <c r="I9" s="196" t="s">
        <v>136</v>
      </c>
      <c r="J9" s="189">
        <v>45791.44375017361</v>
      </c>
      <c r="K9" s="195" t="s">
        <v>3612</v>
      </c>
      <c r="L9" s="195" t="s">
        <v>289</v>
      </c>
      <c r="M9" s="226"/>
      <c r="N9" s="232"/>
      <c r="O9" s="169"/>
      <c r="P9" s="228"/>
      <c r="Q9" s="229"/>
      <c r="S9" s="196"/>
      <c r="T9" s="233"/>
    </row>
    <row r="10">
      <c r="A10" s="168"/>
      <c r="B10" s="197"/>
      <c r="C10" s="197"/>
      <c r="D10" s="197"/>
      <c r="E10" s="197"/>
      <c r="F10" s="197"/>
      <c r="G10" s="193"/>
      <c r="H10" s="171"/>
      <c r="I10" s="193"/>
      <c r="J10" s="186"/>
      <c r="K10" s="195"/>
      <c r="L10" s="195"/>
      <c r="M10" s="226"/>
      <c r="N10" s="234"/>
      <c r="O10" s="169"/>
      <c r="P10" s="7"/>
      <c r="Q10" s="229"/>
      <c r="S10" s="193"/>
      <c r="T10" s="235"/>
    </row>
    <row r="11">
      <c r="A11" s="168"/>
      <c r="B11" s="169"/>
      <c r="C11" s="169"/>
      <c r="D11" s="169"/>
      <c r="E11" s="170"/>
      <c r="F11" s="170"/>
      <c r="J11" s="172"/>
      <c r="K11" s="243"/>
      <c r="L11" s="243"/>
      <c r="M11" s="226"/>
      <c r="N11" s="232"/>
      <c r="O11" s="169"/>
      <c r="P11" s="7"/>
      <c r="Q11" s="229"/>
      <c r="S11" s="196"/>
      <c r="T11" s="233"/>
    </row>
    <row r="12">
      <c r="A12" s="168"/>
      <c r="B12" s="169"/>
      <c r="C12" s="169"/>
      <c r="D12" s="169"/>
      <c r="E12" s="170"/>
      <c r="F12" s="170"/>
      <c r="J12" s="172"/>
      <c r="K12" s="243"/>
      <c r="L12" s="243"/>
      <c r="M12" s="226"/>
      <c r="N12" s="232"/>
      <c r="O12" s="169"/>
      <c r="P12" s="7"/>
      <c r="Q12" s="229"/>
      <c r="S12" s="193"/>
      <c r="T12" s="235"/>
    </row>
    <row r="13">
      <c r="A13" s="168"/>
      <c r="B13" s="169"/>
      <c r="C13" s="169"/>
      <c r="D13" s="169"/>
      <c r="E13" s="170"/>
      <c r="F13" s="170"/>
      <c r="J13" s="172"/>
      <c r="K13" s="243"/>
      <c r="L13" s="243"/>
      <c r="M13" s="226"/>
      <c r="N13" s="234"/>
      <c r="O13" s="169"/>
      <c r="P13" s="7"/>
      <c r="Q13" s="229"/>
      <c r="S13" s="196"/>
      <c r="T13" s="184"/>
    </row>
    <row r="14">
      <c r="A14" s="168"/>
      <c r="B14" s="169"/>
      <c r="C14" s="169"/>
      <c r="D14" s="169"/>
      <c r="E14" s="170"/>
      <c r="F14" s="170"/>
      <c r="J14" s="172"/>
      <c r="K14" s="243"/>
      <c r="L14" s="243"/>
      <c r="M14" s="226"/>
      <c r="N14" s="232"/>
      <c r="Q14" s="229"/>
      <c r="S14" s="193"/>
      <c r="T14" s="235"/>
    </row>
    <row r="15">
      <c r="A15" s="168"/>
      <c r="B15" s="169"/>
      <c r="C15" s="169"/>
      <c r="D15" s="169"/>
      <c r="E15" s="170"/>
      <c r="F15" s="170"/>
      <c r="J15" s="172"/>
      <c r="K15" s="243"/>
      <c r="L15" s="243"/>
      <c r="M15" s="226"/>
      <c r="N15" s="227"/>
      <c r="O15" s="169"/>
      <c r="P15" s="7"/>
      <c r="Q15" s="229"/>
      <c r="S15" s="196"/>
      <c r="T15" s="233"/>
    </row>
    <row r="16">
      <c r="A16" s="168"/>
      <c r="B16" s="169"/>
      <c r="C16" s="169"/>
      <c r="D16" s="169"/>
      <c r="E16" s="170"/>
      <c r="F16" s="170"/>
      <c r="J16" s="172"/>
      <c r="K16" s="243"/>
      <c r="L16" s="243"/>
      <c r="M16" s="226"/>
      <c r="N16" s="227"/>
      <c r="O16" s="169"/>
      <c r="P16" s="169"/>
      <c r="Q16" s="229"/>
      <c r="S16" s="193"/>
      <c r="T16" s="235"/>
    </row>
    <row r="17">
      <c r="A17" s="168"/>
      <c r="B17" s="169"/>
      <c r="C17" s="169"/>
      <c r="D17" s="169"/>
      <c r="E17" s="170"/>
      <c r="F17" s="170"/>
      <c r="J17" s="172"/>
      <c r="K17" s="243"/>
      <c r="L17" s="243"/>
      <c r="M17" s="226"/>
      <c r="N17" s="232"/>
      <c r="O17" s="169"/>
      <c r="P17" s="7"/>
      <c r="Q17" s="229"/>
      <c r="S17" s="196"/>
      <c r="T17" s="233"/>
    </row>
    <row r="18">
      <c r="A18" s="168"/>
      <c r="B18" s="169"/>
      <c r="C18" s="169"/>
      <c r="D18" s="169"/>
      <c r="E18" s="170"/>
      <c r="F18" s="170"/>
      <c r="J18" s="172"/>
      <c r="K18" s="243"/>
      <c r="L18" s="243"/>
      <c r="M18" s="226"/>
      <c r="N18" s="232"/>
      <c r="O18" s="169"/>
      <c r="P18" s="7"/>
      <c r="Q18" s="229"/>
      <c r="S18" s="193"/>
      <c r="T18" s="235"/>
    </row>
    <row r="19">
      <c r="A19" s="168"/>
      <c r="B19" s="169"/>
      <c r="C19" s="169"/>
      <c r="D19" s="169"/>
      <c r="E19" s="170"/>
      <c r="F19" s="170"/>
      <c r="J19" s="172"/>
      <c r="K19" s="243"/>
      <c r="L19" s="243"/>
      <c r="M19" s="226"/>
      <c r="N19" s="232"/>
      <c r="O19" s="169"/>
      <c r="P19" s="7"/>
      <c r="Q19" s="229"/>
      <c r="S19" s="196"/>
      <c r="T19" s="233"/>
    </row>
    <row r="20">
      <c r="A20" s="168"/>
      <c r="B20" s="169"/>
      <c r="C20" s="169"/>
      <c r="D20" s="169"/>
      <c r="E20" s="170"/>
      <c r="F20" s="170"/>
      <c r="J20" s="172"/>
      <c r="K20" s="243"/>
      <c r="L20" s="243"/>
      <c r="M20" s="226"/>
      <c r="N20" s="234"/>
      <c r="O20" s="169"/>
      <c r="P20" s="7"/>
      <c r="Q20" s="229"/>
      <c r="S20" s="193"/>
      <c r="T20" s="235"/>
    </row>
    <row r="21">
      <c r="A21" s="168"/>
      <c r="B21" s="169"/>
      <c r="C21" s="169"/>
      <c r="D21" s="169"/>
      <c r="E21" s="170"/>
      <c r="F21" s="170"/>
      <c r="J21" s="172"/>
      <c r="K21" s="243"/>
      <c r="L21" s="243"/>
      <c r="M21" s="226"/>
      <c r="N21" s="232"/>
      <c r="O21" s="169"/>
      <c r="P21" s="7"/>
      <c r="Q21" s="229"/>
      <c r="S21" s="196"/>
      <c r="T21" s="233"/>
    </row>
    <row r="22">
      <c r="A22" s="168"/>
      <c r="B22" s="169"/>
      <c r="C22" s="169"/>
      <c r="D22" s="169"/>
      <c r="F22" s="170"/>
      <c r="J22" s="172"/>
      <c r="K22" s="243"/>
      <c r="L22" s="243"/>
      <c r="M22" s="226"/>
      <c r="N22" s="227"/>
      <c r="O22" s="228"/>
      <c r="P22" s="228"/>
      <c r="Q22" s="229"/>
      <c r="S22" s="193"/>
      <c r="T22" s="235"/>
    </row>
    <row r="23">
      <c r="A23" s="168"/>
      <c r="B23" s="169"/>
      <c r="C23" s="169"/>
      <c r="D23" s="169"/>
      <c r="F23" s="170"/>
      <c r="J23" s="172"/>
      <c r="K23" s="243"/>
      <c r="L23" s="243"/>
      <c r="M23" s="226"/>
      <c r="N23" s="227"/>
      <c r="O23" s="228"/>
      <c r="P23" s="228"/>
      <c r="Q23" s="229"/>
      <c r="S23" s="196"/>
      <c r="T23" s="184"/>
    </row>
    <row r="24">
      <c r="A24" s="168"/>
      <c r="B24" s="169"/>
      <c r="C24" s="169"/>
      <c r="D24" s="169"/>
      <c r="F24" s="170"/>
      <c r="J24" s="172"/>
      <c r="K24" s="243"/>
      <c r="L24" s="243"/>
      <c r="S24" s="193"/>
      <c r="T24" s="185"/>
    </row>
    <row r="25">
      <c r="A25" s="168"/>
      <c r="B25" s="169"/>
      <c r="C25" s="169"/>
      <c r="D25" s="169"/>
      <c r="F25" s="170"/>
      <c r="J25" s="172"/>
      <c r="K25" s="243"/>
      <c r="L25" s="243"/>
      <c r="O25" s="17">
        <v>0.0</v>
      </c>
      <c r="P25" s="17" t="s">
        <v>269</v>
      </c>
      <c r="S25" s="196"/>
      <c r="T25" s="233"/>
    </row>
    <row r="26">
      <c r="A26" s="168"/>
      <c r="B26" s="169"/>
      <c r="C26" s="169"/>
      <c r="D26" s="169"/>
      <c r="F26" s="170"/>
      <c r="J26" s="172"/>
      <c r="K26" s="243"/>
      <c r="L26" s="243"/>
      <c r="O26" s="17">
        <v>8.0</v>
      </c>
      <c r="P26" s="17" t="s">
        <v>328</v>
      </c>
      <c r="S26" s="193"/>
      <c r="T26" s="185"/>
    </row>
    <row r="27">
      <c r="A27" s="168"/>
      <c r="B27" s="169"/>
      <c r="C27" s="169"/>
      <c r="D27" s="169"/>
      <c r="E27" s="243"/>
      <c r="F27" s="243"/>
      <c r="G27" s="188"/>
      <c r="J27" s="172"/>
      <c r="K27" s="243"/>
      <c r="L27" s="243"/>
      <c r="O27" s="82">
        <v>0.0</v>
      </c>
      <c r="P27" s="237" t="s">
        <v>451</v>
      </c>
      <c r="S27" s="7"/>
      <c r="T27" s="7"/>
    </row>
    <row r="28">
      <c r="A28" s="168"/>
      <c r="B28" s="169"/>
      <c r="C28" s="169"/>
      <c r="D28" s="169"/>
      <c r="E28" s="243"/>
      <c r="F28" s="243"/>
      <c r="J28" s="172"/>
      <c r="K28" s="243"/>
      <c r="L28" s="243"/>
      <c r="O28" s="238">
        <v>0.0</v>
      </c>
      <c r="P28" s="239" t="s">
        <v>22</v>
      </c>
      <c r="S28" s="7"/>
      <c r="T28" s="7"/>
    </row>
    <row r="29">
      <c r="A29" s="168"/>
      <c r="B29" s="169"/>
      <c r="C29" s="169"/>
      <c r="D29" s="169"/>
      <c r="E29" s="243"/>
      <c r="F29" s="243"/>
      <c r="J29" s="172"/>
      <c r="K29" s="173"/>
      <c r="L29" s="170"/>
      <c r="S29" s="7"/>
      <c r="T29" s="7"/>
    </row>
    <row r="30">
      <c r="A30" s="168"/>
      <c r="B30" s="243"/>
      <c r="C30" s="243"/>
      <c r="D30" s="243"/>
      <c r="E30" s="243"/>
      <c r="F30" s="243"/>
      <c r="J30" s="172"/>
      <c r="K30" s="173"/>
      <c r="L30" s="170"/>
      <c r="S30" s="7"/>
      <c r="T30" s="7"/>
    </row>
    <row r="31">
      <c r="A31" s="168"/>
      <c r="B31" s="243"/>
      <c r="C31" s="243"/>
      <c r="D31" s="243"/>
      <c r="E31" s="243"/>
      <c r="F31" s="243"/>
      <c r="J31" s="172"/>
      <c r="K31" s="173"/>
      <c r="L31" s="170"/>
      <c r="S31" s="7"/>
      <c r="T31" s="7"/>
    </row>
    <row r="32">
      <c r="A32" s="168"/>
      <c r="B32" s="243"/>
      <c r="C32" s="243"/>
      <c r="D32" s="243"/>
      <c r="E32" s="243"/>
      <c r="F32" s="243"/>
      <c r="J32" s="172"/>
      <c r="K32" s="173"/>
      <c r="L32" s="170"/>
      <c r="S32" s="7"/>
      <c r="T32" s="7"/>
    </row>
    <row r="33">
      <c r="A33" s="168"/>
      <c r="B33" s="243"/>
      <c r="C33" s="243"/>
      <c r="D33" s="243"/>
      <c r="E33" s="243"/>
      <c r="F33" s="243"/>
      <c r="J33" s="172"/>
      <c r="K33" s="173"/>
      <c r="L33" s="170"/>
      <c r="S33" s="7"/>
      <c r="T33" s="7"/>
    </row>
    <row r="34">
      <c r="A34" s="168"/>
      <c r="B34" s="243"/>
      <c r="C34" s="243"/>
      <c r="D34" s="243"/>
      <c r="E34" s="243"/>
      <c r="F34" s="243"/>
      <c r="J34" s="172"/>
      <c r="K34" s="173"/>
      <c r="L34" s="170"/>
      <c r="S34" s="7"/>
      <c r="T34" s="7"/>
    </row>
    <row r="35">
      <c r="A35" s="168"/>
      <c r="B35" s="243"/>
      <c r="C35" s="243"/>
      <c r="D35" s="243"/>
      <c r="E35" s="243"/>
      <c r="F35" s="243"/>
      <c r="J35" s="172"/>
      <c r="K35" s="173"/>
      <c r="L35" s="170"/>
      <c r="S35" s="7"/>
      <c r="T35" s="7"/>
    </row>
    <row r="36">
      <c r="A36" s="168"/>
      <c r="B36" s="243"/>
      <c r="C36" s="243"/>
      <c r="D36" s="243"/>
      <c r="E36" s="243"/>
      <c r="F36" s="243"/>
      <c r="J36" s="172"/>
      <c r="K36" s="173"/>
      <c r="L36" s="170"/>
      <c r="S36" s="7"/>
      <c r="T36" s="7"/>
    </row>
    <row r="37">
      <c r="A37" s="168"/>
      <c r="B37" s="243"/>
      <c r="C37" s="243"/>
      <c r="D37" s="243"/>
      <c r="E37" s="243"/>
      <c r="F37" s="243"/>
      <c r="J37" s="172"/>
      <c r="K37" s="173"/>
      <c r="L37" s="170"/>
      <c r="S37" s="7"/>
      <c r="T37" s="7"/>
    </row>
    <row r="38">
      <c r="A38" s="168"/>
      <c r="B38" s="243"/>
      <c r="C38" s="243"/>
      <c r="D38" s="243"/>
      <c r="E38" s="243"/>
      <c r="F38" s="243"/>
      <c r="J38" s="172"/>
      <c r="K38" s="173"/>
      <c r="L38" s="170"/>
      <c r="S38" s="7"/>
      <c r="T38" s="7"/>
    </row>
    <row r="39">
      <c r="A39" s="168"/>
      <c r="B39" s="243"/>
      <c r="C39" s="243"/>
      <c r="D39" s="243"/>
      <c r="E39" s="243"/>
      <c r="F39" s="243"/>
      <c r="J39" s="172"/>
      <c r="K39" s="173"/>
      <c r="L39" s="170"/>
      <c r="S39" s="7"/>
      <c r="T39" s="7"/>
    </row>
    <row r="40">
      <c r="A40" s="168"/>
      <c r="B40" s="243"/>
      <c r="C40" s="243"/>
      <c r="D40" s="243"/>
      <c r="E40" s="243"/>
      <c r="F40" s="243"/>
      <c r="J40" s="172"/>
      <c r="K40" s="173"/>
      <c r="L40" s="170"/>
      <c r="S40" s="7"/>
      <c r="T40" s="7"/>
    </row>
    <row r="41">
      <c r="A41" s="168"/>
      <c r="B41" s="243"/>
      <c r="C41" s="243"/>
      <c r="D41" s="243"/>
      <c r="E41" s="244"/>
      <c r="F41" s="243"/>
      <c r="J41" s="172"/>
      <c r="K41" s="173"/>
      <c r="L41" s="170"/>
      <c r="S41" s="7"/>
      <c r="T41" s="7"/>
    </row>
    <row r="42">
      <c r="A42" s="168"/>
      <c r="B42" s="243"/>
      <c r="C42" s="243"/>
      <c r="D42" s="243"/>
      <c r="E42" s="244"/>
      <c r="F42" s="243"/>
      <c r="J42" s="172"/>
      <c r="K42" s="173"/>
      <c r="L42" s="170"/>
      <c r="S42" s="7"/>
      <c r="T42" s="7"/>
    </row>
    <row r="43">
      <c r="A43" s="168"/>
      <c r="B43" s="243"/>
      <c r="C43" s="243"/>
      <c r="D43" s="243"/>
      <c r="E43" s="244"/>
      <c r="F43" s="243"/>
      <c r="J43" s="172"/>
      <c r="K43" s="173"/>
      <c r="L43" s="170"/>
      <c r="S43" s="7"/>
      <c r="T43" s="7"/>
    </row>
    <row r="44">
      <c r="A44" s="168"/>
      <c r="B44" s="243"/>
      <c r="C44" s="243"/>
      <c r="D44" s="243"/>
      <c r="E44" s="244"/>
      <c r="F44" s="243"/>
      <c r="J44" s="172"/>
      <c r="K44" s="173"/>
      <c r="L44" s="170"/>
      <c r="S44" s="7"/>
      <c r="T44" s="7"/>
    </row>
    <row r="45">
      <c r="A45" s="168"/>
      <c r="B45" s="169"/>
      <c r="C45" s="169"/>
      <c r="D45" s="169"/>
      <c r="F45" s="170"/>
      <c r="J45" s="172"/>
      <c r="K45" s="173"/>
      <c r="L45" s="170"/>
      <c r="S45" s="7"/>
      <c r="T45" s="7"/>
    </row>
    <row r="46">
      <c r="A46" s="245"/>
      <c r="B46" s="245"/>
      <c r="C46" s="245"/>
      <c r="D46" s="245"/>
      <c r="E46" s="246"/>
      <c r="F46" s="245"/>
      <c r="G46" s="246"/>
      <c r="H46" s="246"/>
      <c r="I46" s="246"/>
      <c r="J46" s="247"/>
      <c r="K46" s="245"/>
      <c r="L46" s="170"/>
      <c r="S46" s="7"/>
      <c r="T46" s="7"/>
    </row>
    <row r="47">
      <c r="A47" s="245"/>
      <c r="B47" s="245"/>
      <c r="C47" s="245"/>
      <c r="D47" s="245"/>
      <c r="E47" s="246"/>
      <c r="F47" s="245"/>
      <c r="G47" s="246"/>
      <c r="H47" s="246"/>
      <c r="I47" s="246"/>
      <c r="J47" s="247"/>
      <c r="K47" s="245"/>
      <c r="L47" s="170"/>
      <c r="S47" s="7"/>
      <c r="T47" s="7"/>
    </row>
    <row r="48">
      <c r="A48" s="245"/>
      <c r="B48" s="245"/>
      <c r="C48" s="245"/>
      <c r="D48" s="245"/>
      <c r="E48" s="246"/>
      <c r="F48" s="245"/>
      <c r="G48" s="246"/>
      <c r="H48" s="246"/>
      <c r="I48" s="246"/>
      <c r="J48" s="247"/>
      <c r="K48" s="245"/>
      <c r="L48" s="170"/>
      <c r="S48" s="7"/>
      <c r="T48" s="7"/>
    </row>
    <row r="49">
      <c r="A49" s="245"/>
      <c r="B49" s="245"/>
      <c r="C49" s="245"/>
      <c r="D49" s="245"/>
      <c r="E49" s="246"/>
      <c r="F49" s="245"/>
      <c r="G49" s="246"/>
      <c r="H49" s="246"/>
      <c r="I49" s="246"/>
      <c r="J49" s="247"/>
      <c r="K49" s="245"/>
      <c r="L49" s="170"/>
      <c r="S49" s="7"/>
      <c r="T49" s="7"/>
    </row>
    <row r="50">
      <c r="A50" s="245"/>
      <c r="B50" s="245"/>
      <c r="C50" s="245"/>
      <c r="D50" s="245"/>
      <c r="E50" s="246"/>
      <c r="F50" s="245"/>
      <c r="G50" s="246"/>
      <c r="H50" s="246"/>
      <c r="I50" s="246"/>
      <c r="J50" s="247"/>
      <c r="K50" s="245"/>
      <c r="L50" s="170"/>
      <c r="S50" s="7"/>
      <c r="T50" s="7"/>
    </row>
    <row r="51">
      <c r="A51" s="245"/>
      <c r="B51" s="245"/>
      <c r="C51" s="245"/>
      <c r="D51" s="245"/>
      <c r="E51" s="246"/>
      <c r="F51" s="245"/>
      <c r="G51" s="246"/>
      <c r="H51" s="246"/>
      <c r="I51" s="246"/>
      <c r="J51" s="247"/>
      <c r="K51" s="245"/>
      <c r="L51" s="170"/>
      <c r="S51" s="7"/>
      <c r="T51" s="7"/>
    </row>
    <row r="52">
      <c r="A52" s="245"/>
      <c r="B52" s="245"/>
      <c r="C52" s="245"/>
      <c r="D52" s="245"/>
      <c r="E52" s="246"/>
      <c r="F52" s="245"/>
      <c r="G52" s="246"/>
      <c r="H52" s="246"/>
      <c r="I52" s="246"/>
      <c r="J52" s="247"/>
      <c r="K52" s="245"/>
      <c r="L52" s="170"/>
      <c r="S52" s="7"/>
      <c r="T52" s="7"/>
    </row>
    <row r="53">
      <c r="A53" s="245"/>
      <c r="B53" s="245"/>
      <c r="C53" s="245"/>
      <c r="D53" s="245"/>
      <c r="E53" s="246"/>
      <c r="F53" s="245"/>
      <c r="G53" s="246"/>
      <c r="H53" s="246"/>
      <c r="I53" s="246"/>
      <c r="J53" s="247"/>
      <c r="K53" s="245"/>
      <c r="L53" s="170"/>
      <c r="S53" s="7"/>
      <c r="T53" s="7"/>
    </row>
    <row r="54">
      <c r="A54" s="245"/>
      <c r="B54" s="245"/>
      <c r="C54" s="245"/>
      <c r="D54" s="245"/>
      <c r="E54" s="246"/>
      <c r="F54" s="245"/>
      <c r="G54" s="246"/>
      <c r="H54" s="246"/>
      <c r="I54" s="246"/>
      <c r="J54" s="247"/>
      <c r="K54" s="245"/>
      <c r="L54" s="170"/>
      <c r="S54" s="7"/>
      <c r="T54" s="7"/>
    </row>
    <row r="55">
      <c r="A55" s="245"/>
      <c r="B55" s="245"/>
      <c r="C55" s="245"/>
      <c r="D55" s="245"/>
      <c r="E55" s="246"/>
      <c r="F55" s="245"/>
      <c r="G55" s="246"/>
      <c r="H55" s="246"/>
      <c r="I55" s="246"/>
      <c r="J55" s="247"/>
      <c r="K55" s="245"/>
      <c r="L55" s="170"/>
      <c r="S55" s="7"/>
      <c r="T55" s="7"/>
    </row>
    <row r="56">
      <c r="A56" s="245"/>
      <c r="B56" s="245"/>
      <c r="C56" s="245"/>
      <c r="D56" s="245"/>
      <c r="E56" s="246"/>
      <c r="F56" s="245"/>
      <c r="G56" s="246"/>
      <c r="H56" s="246"/>
      <c r="I56" s="246"/>
      <c r="J56" s="247"/>
      <c r="K56" s="245"/>
      <c r="L56" s="170"/>
      <c r="S56" s="7"/>
      <c r="T56" s="7"/>
    </row>
    <row r="57">
      <c r="A57" s="245"/>
      <c r="B57" s="245"/>
      <c r="C57" s="245"/>
      <c r="D57" s="245"/>
      <c r="E57" s="246"/>
      <c r="F57" s="245"/>
      <c r="G57" s="246"/>
      <c r="H57" s="246"/>
      <c r="I57" s="246"/>
      <c r="J57" s="247"/>
      <c r="K57" s="245"/>
      <c r="L57" s="170"/>
      <c r="S57" s="7"/>
      <c r="T57" s="7"/>
    </row>
    <row r="58">
      <c r="A58" s="245"/>
      <c r="B58" s="245"/>
      <c r="C58" s="245"/>
      <c r="D58" s="245"/>
      <c r="E58" s="246"/>
      <c r="F58" s="245"/>
      <c r="G58" s="246"/>
      <c r="H58" s="246"/>
      <c r="I58" s="246"/>
      <c r="J58" s="247"/>
      <c r="K58" s="245"/>
      <c r="L58" s="170"/>
      <c r="S58" s="7"/>
      <c r="T58" s="7"/>
    </row>
    <row r="59">
      <c r="A59" s="245"/>
      <c r="B59" s="245"/>
      <c r="C59" s="245"/>
      <c r="D59" s="245"/>
      <c r="E59" s="246"/>
      <c r="F59" s="245"/>
      <c r="G59" s="246"/>
      <c r="H59" s="246"/>
      <c r="I59" s="246"/>
      <c r="J59" s="247"/>
      <c r="K59" s="245"/>
      <c r="L59" s="170"/>
      <c r="S59" s="7"/>
      <c r="T59" s="7"/>
    </row>
    <row r="60">
      <c r="A60" s="245"/>
      <c r="B60" s="245"/>
      <c r="C60" s="245"/>
      <c r="D60" s="245"/>
      <c r="E60" s="246"/>
      <c r="F60" s="245"/>
      <c r="G60" s="246"/>
      <c r="H60" s="246"/>
      <c r="I60" s="246"/>
      <c r="J60" s="247"/>
      <c r="K60" s="245"/>
      <c r="L60" s="170"/>
      <c r="S60" s="7"/>
      <c r="T60" s="7"/>
    </row>
    <row r="61">
      <c r="A61" s="245"/>
      <c r="B61" s="245"/>
      <c r="C61" s="245"/>
      <c r="D61" s="245"/>
      <c r="E61" s="246"/>
      <c r="F61" s="245"/>
      <c r="G61" s="246"/>
      <c r="H61" s="246"/>
      <c r="I61" s="246"/>
      <c r="J61" s="247"/>
      <c r="K61" s="245"/>
      <c r="L61" s="170"/>
      <c r="S61" s="7"/>
      <c r="T61" s="7"/>
    </row>
    <row r="62">
      <c r="A62" s="168"/>
      <c r="B62" s="169"/>
      <c r="C62" s="169"/>
      <c r="D62" s="169"/>
      <c r="F62" s="170"/>
      <c r="J62" s="172"/>
      <c r="K62" s="173"/>
      <c r="L62" s="170"/>
      <c r="S62" s="7"/>
      <c r="T62" s="7"/>
    </row>
    <row r="63">
      <c r="A63" s="168"/>
      <c r="B63" s="169"/>
      <c r="C63" s="169"/>
      <c r="D63" s="169"/>
      <c r="F63" s="170"/>
      <c r="J63" s="172"/>
      <c r="K63" s="173"/>
      <c r="L63" s="170"/>
      <c r="S63" s="7"/>
      <c r="T63" s="7"/>
    </row>
    <row r="64">
      <c r="A64" s="168"/>
      <c r="B64" s="169"/>
      <c r="C64" s="169"/>
      <c r="D64" s="169"/>
      <c r="F64" s="170"/>
      <c r="J64" s="172"/>
      <c r="K64" s="173"/>
      <c r="L64" s="170"/>
      <c r="S64" s="7"/>
      <c r="T64" s="7"/>
    </row>
    <row r="65">
      <c r="A65" s="168"/>
      <c r="B65" s="169"/>
      <c r="C65" s="169"/>
      <c r="D65" s="169"/>
      <c r="F65" s="170"/>
      <c r="J65" s="172"/>
      <c r="K65" s="173"/>
      <c r="L65" s="170"/>
      <c r="S65" s="7"/>
      <c r="T65" s="7"/>
    </row>
    <row r="66">
      <c r="A66" s="168"/>
      <c r="B66" s="169"/>
      <c r="C66" s="169"/>
      <c r="D66" s="169"/>
      <c r="F66" s="170"/>
      <c r="J66" s="172"/>
      <c r="K66" s="173"/>
      <c r="L66" s="170"/>
      <c r="S66" s="7"/>
      <c r="T66" s="7"/>
    </row>
    <row r="67">
      <c r="A67" s="168"/>
      <c r="B67" s="169"/>
      <c r="C67" s="169"/>
      <c r="D67" s="169"/>
      <c r="F67" s="170"/>
      <c r="J67" s="172"/>
      <c r="K67" s="173"/>
      <c r="L67" s="170"/>
      <c r="S67" s="7"/>
      <c r="T67" s="7"/>
    </row>
    <row r="68">
      <c r="A68" s="168"/>
      <c r="B68" s="169"/>
      <c r="C68" s="169"/>
      <c r="D68" s="169"/>
      <c r="F68" s="170"/>
      <c r="J68" s="172"/>
      <c r="K68" s="173"/>
      <c r="L68" s="170"/>
      <c r="S68" s="7"/>
      <c r="T68" s="7"/>
    </row>
    <row r="69">
      <c r="A69" s="168"/>
      <c r="B69" s="169"/>
      <c r="C69" s="169"/>
      <c r="D69" s="169"/>
      <c r="F69" s="170"/>
      <c r="J69" s="172"/>
      <c r="K69" s="173"/>
      <c r="L69" s="170"/>
      <c r="S69" s="7"/>
      <c r="T69" s="7"/>
    </row>
    <row r="70">
      <c r="A70" s="168"/>
      <c r="B70" s="169"/>
      <c r="C70" s="169"/>
      <c r="D70" s="169"/>
      <c r="F70" s="170"/>
      <c r="J70" s="172"/>
      <c r="K70" s="173"/>
      <c r="L70" s="170"/>
      <c r="S70" s="7"/>
      <c r="T70" s="7"/>
    </row>
    <row r="71">
      <c r="A71" s="168"/>
      <c r="B71" s="169"/>
      <c r="C71" s="169"/>
      <c r="D71" s="169"/>
      <c r="F71" s="170"/>
      <c r="J71" s="172"/>
      <c r="K71" s="173"/>
      <c r="L71" s="170"/>
      <c r="S71" s="7"/>
      <c r="T71" s="7"/>
    </row>
    <row r="72">
      <c r="A72" s="168"/>
      <c r="B72" s="169"/>
      <c r="C72" s="169"/>
      <c r="D72" s="169"/>
      <c r="F72" s="170"/>
      <c r="J72" s="172"/>
      <c r="K72" s="173"/>
      <c r="L72" s="170"/>
      <c r="S72" s="7"/>
      <c r="T72" s="7"/>
    </row>
    <row r="73">
      <c r="A73" s="168"/>
      <c r="B73" s="169"/>
      <c r="C73" s="169"/>
      <c r="D73" s="169"/>
      <c r="F73" s="170"/>
      <c r="J73" s="172"/>
      <c r="K73" s="173"/>
      <c r="L73" s="170"/>
      <c r="S73" s="7"/>
      <c r="T73" s="7"/>
    </row>
    <row r="74">
      <c r="S74" s="7"/>
      <c r="T74" s="7"/>
    </row>
    <row r="75">
      <c r="S75" s="7"/>
      <c r="T75" s="7"/>
    </row>
    <row r="76">
      <c r="S76" s="7"/>
      <c r="T76" s="7"/>
    </row>
    <row r="77">
      <c r="S77" s="7"/>
      <c r="T77" s="7"/>
    </row>
    <row r="78">
      <c r="S78" s="7"/>
      <c r="T78" s="7"/>
    </row>
    <row r="79">
      <c r="S79" s="7"/>
      <c r="T79" s="7"/>
      <c r="U79" s="11"/>
    </row>
    <row r="80">
      <c r="S80" s="7"/>
      <c r="T80" s="7"/>
      <c r="U80" s="11"/>
    </row>
    <row r="81">
      <c r="S81" s="7"/>
      <c r="T81" s="7"/>
      <c r="U81" s="11"/>
    </row>
    <row r="82">
      <c r="S82" s="7"/>
      <c r="T82" s="7"/>
      <c r="U82" s="11"/>
    </row>
    <row r="83">
      <c r="S83" s="7"/>
      <c r="T83" s="7"/>
    </row>
    <row r="87">
      <c r="T87" s="7"/>
    </row>
    <row r="88">
      <c r="T88" s="7"/>
    </row>
  </sheetData>
  <drawing r:id="rId1"/>
  <tableParts count="6">
    <tablePart r:id="rId8"/>
    <tablePart r:id="rId9"/>
    <tablePart r:id="rId10"/>
    <tablePart r:id="rId11"/>
    <tablePart r:id="rId12"/>
    <tablePart r:id="rId1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8.0"/>
    <col customWidth="1" min="3" max="3" width="39.14"/>
    <col customWidth="1" min="4" max="4" width="19.43"/>
    <col customWidth="1" min="5" max="5" width="30.14"/>
    <col customWidth="1" min="6" max="6" width="60.86"/>
    <col customWidth="1" min="7" max="7" width="45.14"/>
    <col customWidth="1" min="8" max="8" width="26.86"/>
    <col customWidth="1" min="9" max="9" width="41.14"/>
    <col customWidth="1" min="10" max="10" width="20.29"/>
    <col customWidth="1" min="11" max="11" width="16.29"/>
    <col customWidth="1" min="14" max="14" width="9.43"/>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3"/>
      <c r="N1" s="223" t="s">
        <v>129</v>
      </c>
      <c r="O1" s="223" t="s">
        <v>130</v>
      </c>
      <c r="P1" s="223" t="s">
        <v>131</v>
      </c>
      <c r="Q1" s="223" t="s">
        <v>3880</v>
      </c>
      <c r="R1" s="223"/>
      <c r="S1" s="2"/>
      <c r="T1" s="2"/>
      <c r="U1" s="2"/>
    </row>
    <row r="2">
      <c r="A2" s="17">
        <v>1.0</v>
      </c>
      <c r="B2" s="183" t="s">
        <v>7</v>
      </c>
      <c r="C2" s="183" t="s">
        <v>3640</v>
      </c>
      <c r="D2" s="183" t="s">
        <v>202</v>
      </c>
      <c r="E2" s="185" t="s">
        <v>135</v>
      </c>
      <c r="F2" s="185" t="s">
        <v>136</v>
      </c>
      <c r="G2" s="183" t="s">
        <v>1053</v>
      </c>
      <c r="I2" s="183" t="s">
        <v>136</v>
      </c>
      <c r="J2" s="186">
        <v>45800.44815646991</v>
      </c>
      <c r="K2" s="187" t="s">
        <v>3612</v>
      </c>
      <c r="L2" s="187" t="s">
        <v>283</v>
      </c>
      <c r="N2" s="227" t="s">
        <v>134</v>
      </c>
      <c r="O2" s="169">
        <f>COUNTIF(D2:D26,"France")</f>
        <v>2</v>
      </c>
      <c r="P2" s="228" t="s">
        <v>328</v>
      </c>
      <c r="Q2" s="229"/>
    </row>
    <row r="3">
      <c r="A3" s="17">
        <v>2.0</v>
      </c>
      <c r="B3" s="188" t="s">
        <v>6</v>
      </c>
      <c r="C3" s="188" t="s">
        <v>1282</v>
      </c>
      <c r="D3" s="188" t="s">
        <v>134</v>
      </c>
      <c r="E3" s="185" t="s">
        <v>136</v>
      </c>
      <c r="F3" s="185" t="s">
        <v>136</v>
      </c>
      <c r="G3" s="188" t="s">
        <v>3100</v>
      </c>
      <c r="I3" s="188" t="s">
        <v>135</v>
      </c>
      <c r="J3" s="189">
        <v>45800.450118622684</v>
      </c>
      <c r="K3" s="187" t="s">
        <v>3612</v>
      </c>
      <c r="L3" s="187" t="s">
        <v>283</v>
      </c>
      <c r="N3" s="232" t="s">
        <v>202</v>
      </c>
      <c r="O3" s="169">
        <v>4.0</v>
      </c>
      <c r="P3" s="169" t="s">
        <v>328</v>
      </c>
      <c r="Q3" s="229"/>
    </row>
    <row r="4">
      <c r="A4" s="17">
        <v>3.0</v>
      </c>
      <c r="B4" s="183" t="s">
        <v>7</v>
      </c>
      <c r="C4" s="183" t="s">
        <v>3641</v>
      </c>
      <c r="D4" s="183" t="s">
        <v>134</v>
      </c>
      <c r="E4" s="185" t="s">
        <v>136</v>
      </c>
      <c r="F4" s="185" t="s">
        <v>136</v>
      </c>
      <c r="G4" s="183" t="s">
        <v>3600</v>
      </c>
      <c r="I4" s="183" t="s">
        <v>136</v>
      </c>
      <c r="J4" s="186">
        <v>45800.46023815972</v>
      </c>
      <c r="K4" s="187" t="s">
        <v>3612</v>
      </c>
      <c r="L4" s="187" t="s">
        <v>283</v>
      </c>
      <c r="N4" s="232"/>
      <c r="O4" s="169"/>
      <c r="P4" s="228"/>
      <c r="Q4" s="229"/>
    </row>
    <row r="5">
      <c r="A5" s="17">
        <v>4.0</v>
      </c>
      <c r="B5" s="188" t="s">
        <v>6</v>
      </c>
      <c r="C5" s="188" t="s">
        <v>245</v>
      </c>
      <c r="D5" s="188" t="s">
        <v>202</v>
      </c>
      <c r="E5" s="184" t="s">
        <v>135</v>
      </c>
      <c r="F5" s="185" t="s">
        <v>136</v>
      </c>
      <c r="G5" s="188" t="s">
        <v>3605</v>
      </c>
      <c r="I5" s="188" t="s">
        <v>136</v>
      </c>
      <c r="J5" s="189">
        <v>45800.46231716435</v>
      </c>
      <c r="K5" s="187" t="s">
        <v>3612</v>
      </c>
      <c r="L5" s="187" t="s">
        <v>283</v>
      </c>
      <c r="N5" s="232"/>
      <c r="O5" s="169"/>
      <c r="P5" s="7"/>
      <c r="Q5" s="229"/>
    </row>
    <row r="6">
      <c r="A6" s="17">
        <v>5.0</v>
      </c>
      <c r="B6" s="183" t="s">
        <v>6</v>
      </c>
      <c r="C6" s="183" t="s">
        <v>3642</v>
      </c>
      <c r="D6" s="183" t="s">
        <v>202</v>
      </c>
      <c r="E6" s="184" t="s">
        <v>135</v>
      </c>
      <c r="F6" s="185" t="s">
        <v>136</v>
      </c>
      <c r="G6" s="183" t="s">
        <v>3643</v>
      </c>
      <c r="I6" s="183" t="s">
        <v>136</v>
      </c>
      <c r="J6" s="186">
        <v>45800.462820162036</v>
      </c>
      <c r="K6" s="187" t="s">
        <v>3612</v>
      </c>
      <c r="L6" s="187" t="s">
        <v>283</v>
      </c>
      <c r="N6" s="232"/>
      <c r="O6" s="169"/>
      <c r="P6" s="7"/>
      <c r="Q6" s="229"/>
    </row>
    <row r="7">
      <c r="A7" s="17">
        <v>6.0</v>
      </c>
      <c r="B7" s="188" t="s">
        <v>7</v>
      </c>
      <c r="C7" s="188" t="s">
        <v>245</v>
      </c>
      <c r="D7" s="188" t="s">
        <v>202</v>
      </c>
      <c r="E7" s="184" t="s">
        <v>135</v>
      </c>
      <c r="F7" s="185" t="s">
        <v>136</v>
      </c>
      <c r="G7" s="188" t="s">
        <v>1053</v>
      </c>
      <c r="I7" s="188" t="s">
        <v>136</v>
      </c>
      <c r="J7" s="189">
        <v>45800.46316868055</v>
      </c>
      <c r="K7" s="187" t="s">
        <v>3612</v>
      </c>
      <c r="L7" s="187" t="s">
        <v>283</v>
      </c>
      <c r="N7" s="232"/>
      <c r="O7" s="169"/>
      <c r="P7" s="7"/>
      <c r="Q7" s="229"/>
    </row>
    <row r="8">
      <c r="N8" s="232"/>
      <c r="O8" s="169"/>
      <c r="P8" s="7"/>
      <c r="Q8" s="229"/>
    </row>
    <row r="9">
      <c r="N9" s="232"/>
      <c r="O9" s="169"/>
      <c r="P9" s="228"/>
      <c r="Q9" s="229"/>
    </row>
    <row r="10">
      <c r="N10" s="234"/>
      <c r="O10" s="169"/>
      <c r="P10" s="7"/>
      <c r="Q10" s="229"/>
    </row>
    <row r="11">
      <c r="N11" s="232"/>
      <c r="O11" s="169"/>
      <c r="P11" s="7"/>
      <c r="Q11" s="229"/>
    </row>
    <row r="12">
      <c r="N12" s="232"/>
      <c r="O12" s="169"/>
      <c r="P12" s="7"/>
      <c r="Q12" s="229"/>
    </row>
    <row r="13">
      <c r="N13" s="234"/>
      <c r="O13" s="169"/>
      <c r="P13" s="7"/>
      <c r="Q13" s="229"/>
    </row>
    <row r="14">
      <c r="N14" s="232"/>
      <c r="Q14" s="229"/>
    </row>
    <row r="15">
      <c r="N15" s="227"/>
      <c r="O15" s="169"/>
      <c r="P15" s="7"/>
      <c r="Q15" s="229"/>
    </row>
    <row r="16">
      <c r="N16" s="227"/>
      <c r="O16" s="169"/>
      <c r="P16" s="169"/>
      <c r="Q16" s="229"/>
    </row>
    <row r="17">
      <c r="N17" s="232"/>
      <c r="O17" s="169"/>
      <c r="P17" s="7"/>
      <c r="Q17" s="229"/>
    </row>
    <row r="18">
      <c r="N18" s="232"/>
      <c r="O18" s="169"/>
      <c r="P18" s="7"/>
      <c r="Q18" s="229"/>
    </row>
    <row r="19">
      <c r="N19" s="232"/>
      <c r="O19" s="169"/>
      <c r="P19" s="7"/>
      <c r="Q19" s="229"/>
    </row>
    <row r="20">
      <c r="N20" s="234"/>
      <c r="O20" s="169"/>
      <c r="P20" s="7"/>
      <c r="Q20" s="229"/>
    </row>
    <row r="21">
      <c r="N21" s="232"/>
      <c r="O21" s="169"/>
      <c r="P21" s="7"/>
      <c r="Q21" s="229"/>
    </row>
    <row r="22">
      <c r="N22" s="227"/>
      <c r="O22" s="228"/>
      <c r="P22" s="228"/>
      <c r="Q22" s="229"/>
    </row>
    <row r="23">
      <c r="N23" s="227"/>
      <c r="O23" s="228"/>
      <c r="P23" s="228"/>
      <c r="Q23" s="229"/>
    </row>
    <row r="25">
      <c r="O25" s="17">
        <v>0.0</v>
      </c>
      <c r="P25" s="17" t="s">
        <v>269</v>
      </c>
    </row>
    <row r="26">
      <c r="O26" s="17">
        <v>6.0</v>
      </c>
      <c r="P26" s="17" t="s">
        <v>328</v>
      </c>
    </row>
    <row r="27">
      <c r="O27" s="82">
        <v>0.0</v>
      </c>
      <c r="P27" s="237" t="s">
        <v>451</v>
      </c>
    </row>
    <row r="28">
      <c r="O28" s="238">
        <v>0.0</v>
      </c>
      <c r="P28" s="239" t="s">
        <v>22</v>
      </c>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8.0"/>
    <col customWidth="1" min="3" max="3" width="39.14"/>
    <col customWidth="1" min="4" max="4" width="19.43"/>
    <col customWidth="1" min="5" max="5" width="30.14"/>
    <col customWidth="1" min="6" max="6" width="60.86"/>
    <col customWidth="1" min="7" max="7" width="45.14"/>
    <col customWidth="1" min="8" max="8" width="26.86"/>
    <col customWidth="1" min="9" max="9" width="41.14"/>
    <col customWidth="1" min="10" max="10" width="20.29"/>
    <col customWidth="1" min="11" max="11" width="16.29"/>
    <col customWidth="1" min="14" max="14" width="9.43"/>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3"/>
      <c r="N1" s="223" t="s">
        <v>129</v>
      </c>
      <c r="O1" s="223" t="s">
        <v>130</v>
      </c>
      <c r="P1" s="223" t="s">
        <v>131</v>
      </c>
      <c r="Q1" s="223" t="s">
        <v>3880</v>
      </c>
      <c r="R1" s="223"/>
      <c r="S1" s="2"/>
      <c r="T1" s="2"/>
      <c r="U1" s="2"/>
    </row>
    <row r="2">
      <c r="A2" s="17">
        <v>1.0</v>
      </c>
      <c r="B2" s="183" t="s">
        <v>7</v>
      </c>
      <c r="C2" s="183" t="s">
        <v>149</v>
      </c>
      <c r="D2" s="183" t="s">
        <v>134</v>
      </c>
      <c r="E2" s="185" t="s">
        <v>136</v>
      </c>
      <c r="F2" s="185" t="s">
        <v>136</v>
      </c>
      <c r="G2" s="183" t="s">
        <v>137</v>
      </c>
      <c r="I2" s="183" t="s">
        <v>135</v>
      </c>
      <c r="J2" s="186">
        <v>45833.62264256945</v>
      </c>
      <c r="K2" s="187" t="s">
        <v>3612</v>
      </c>
      <c r="L2" s="187" t="s">
        <v>278</v>
      </c>
      <c r="N2" s="183" t="s">
        <v>134</v>
      </c>
      <c r="O2" s="169">
        <f>COUNTIF(D2:D26,"France")</f>
        <v>2</v>
      </c>
      <c r="P2" s="169" t="s">
        <v>328</v>
      </c>
      <c r="Q2" s="229"/>
    </row>
    <row r="3">
      <c r="A3" s="17">
        <v>2.0</v>
      </c>
      <c r="B3" s="188" t="s">
        <v>7</v>
      </c>
      <c r="C3" s="188" t="s">
        <v>1524</v>
      </c>
      <c r="D3" s="188" t="s">
        <v>159</v>
      </c>
      <c r="E3" s="185" t="s">
        <v>136</v>
      </c>
      <c r="F3" s="185" t="s">
        <v>136</v>
      </c>
      <c r="G3" s="188" t="s">
        <v>3613</v>
      </c>
      <c r="I3" s="188" t="s">
        <v>136</v>
      </c>
      <c r="J3" s="189">
        <v>45833.62319315972</v>
      </c>
      <c r="K3" s="187" t="s">
        <v>3612</v>
      </c>
      <c r="L3" s="187" t="s">
        <v>278</v>
      </c>
      <c r="N3" s="188" t="s">
        <v>159</v>
      </c>
      <c r="O3" s="169">
        <f>COUNTIF(D2:D26,"New Zealand")</f>
        <v>2</v>
      </c>
      <c r="P3" s="15" t="s">
        <v>22</v>
      </c>
      <c r="Q3" s="229"/>
    </row>
    <row r="4">
      <c r="A4" s="17">
        <v>3.0</v>
      </c>
      <c r="B4" s="183" t="s">
        <v>7</v>
      </c>
      <c r="C4" s="183" t="s">
        <v>1515</v>
      </c>
      <c r="D4" s="183" t="s">
        <v>209</v>
      </c>
      <c r="E4" s="185" t="s">
        <v>135</v>
      </c>
      <c r="F4" s="185" t="s">
        <v>136</v>
      </c>
      <c r="G4" s="183" t="s">
        <v>3614</v>
      </c>
      <c r="I4" s="183" t="s">
        <v>136</v>
      </c>
      <c r="J4" s="186">
        <v>45833.62686655093</v>
      </c>
      <c r="K4" s="187" t="s">
        <v>3612</v>
      </c>
      <c r="L4" s="187" t="s">
        <v>278</v>
      </c>
      <c r="N4" s="183" t="s">
        <v>209</v>
      </c>
      <c r="O4" s="169">
        <f>COUNTIF(D2:D26,"Iceland")</f>
        <v>1</v>
      </c>
      <c r="P4" s="17" t="s">
        <v>269</v>
      </c>
      <c r="Q4" s="229"/>
    </row>
    <row r="5">
      <c r="A5" s="17">
        <v>4.0</v>
      </c>
      <c r="B5" s="188" t="s">
        <v>7</v>
      </c>
      <c r="C5" s="188" t="s">
        <v>3615</v>
      </c>
      <c r="D5" s="188" t="s">
        <v>188</v>
      </c>
      <c r="E5" s="184" t="s">
        <v>135</v>
      </c>
      <c r="F5" s="185" t="s">
        <v>136</v>
      </c>
      <c r="G5" s="188" t="s">
        <v>3616</v>
      </c>
      <c r="I5" s="188" t="s">
        <v>136</v>
      </c>
      <c r="J5" s="189">
        <v>45833.62717548611</v>
      </c>
      <c r="K5" s="187" t="s">
        <v>3612</v>
      </c>
      <c r="L5" s="187" t="s">
        <v>278</v>
      </c>
      <c r="N5" s="188" t="s">
        <v>188</v>
      </c>
      <c r="O5" s="169">
        <f>COUNTIF(D2:D26,"Nigeria")</f>
        <v>1</v>
      </c>
      <c r="P5" s="15" t="s">
        <v>22</v>
      </c>
      <c r="Q5" s="229"/>
    </row>
    <row r="6">
      <c r="A6" s="17">
        <v>5.0</v>
      </c>
      <c r="B6" s="183" t="s">
        <v>7</v>
      </c>
      <c r="C6" s="183" t="s">
        <v>409</v>
      </c>
      <c r="D6" s="183" t="s">
        <v>238</v>
      </c>
      <c r="E6" s="185" t="s">
        <v>136</v>
      </c>
      <c r="F6" s="185" t="s">
        <v>136</v>
      </c>
      <c r="G6" s="183" t="s">
        <v>3617</v>
      </c>
      <c r="I6" s="183" t="s">
        <v>135</v>
      </c>
      <c r="J6" s="186">
        <v>45833.6275596412</v>
      </c>
      <c r="K6" s="187" t="s">
        <v>3612</v>
      </c>
      <c r="L6" s="187" t="s">
        <v>278</v>
      </c>
      <c r="N6" s="183" t="s">
        <v>238</v>
      </c>
      <c r="O6" s="169">
        <f>COUNTIF(D2:D26,"Bulgaria")</f>
        <v>1</v>
      </c>
      <c r="P6" s="15" t="s">
        <v>451</v>
      </c>
      <c r="Q6" s="229"/>
    </row>
    <row r="7">
      <c r="A7" s="17">
        <v>6.0</v>
      </c>
      <c r="B7" s="188" t="s">
        <v>7</v>
      </c>
      <c r="C7" s="188" t="s">
        <v>3618</v>
      </c>
      <c r="D7" s="184" t="s">
        <v>153</v>
      </c>
      <c r="E7" s="185" t="s">
        <v>136</v>
      </c>
      <c r="F7" s="185" t="s">
        <v>136</v>
      </c>
      <c r="G7" s="188" t="s">
        <v>3619</v>
      </c>
      <c r="I7" s="188" t="s">
        <v>136</v>
      </c>
      <c r="J7" s="189">
        <v>45833.62793659722</v>
      </c>
      <c r="K7" s="187" t="s">
        <v>3612</v>
      </c>
      <c r="L7" s="187" t="s">
        <v>278</v>
      </c>
      <c r="N7" s="184" t="s">
        <v>153</v>
      </c>
      <c r="O7" s="169">
        <f>COUNTIF(D2:D26,"Turkey")</f>
        <v>1</v>
      </c>
      <c r="P7" s="15" t="s">
        <v>22</v>
      </c>
      <c r="Q7" s="229"/>
    </row>
    <row r="8">
      <c r="A8" s="17">
        <v>7.0</v>
      </c>
      <c r="B8" s="183" t="s">
        <v>7</v>
      </c>
      <c r="C8" s="183" t="s">
        <v>245</v>
      </c>
      <c r="D8" s="183" t="s">
        <v>202</v>
      </c>
      <c r="E8" s="185" t="s">
        <v>136</v>
      </c>
      <c r="F8" s="185" t="s">
        <v>136</v>
      </c>
      <c r="G8" s="183" t="s">
        <v>385</v>
      </c>
      <c r="I8" s="183" t="s">
        <v>135</v>
      </c>
      <c r="J8" s="186">
        <v>45833.62797614583</v>
      </c>
      <c r="K8" s="187" t="s">
        <v>3612</v>
      </c>
      <c r="L8" s="187" t="s">
        <v>278</v>
      </c>
      <c r="N8" s="183" t="s">
        <v>202</v>
      </c>
      <c r="O8" s="169">
        <f>COUNTIF(D2:D26,"Spain")</f>
        <v>4</v>
      </c>
      <c r="P8" s="169" t="s">
        <v>328</v>
      </c>
      <c r="Q8" s="229"/>
    </row>
    <row r="9">
      <c r="A9" s="17">
        <v>8.0</v>
      </c>
      <c r="B9" s="188" t="s">
        <v>6</v>
      </c>
      <c r="C9" s="188" t="s">
        <v>3620</v>
      </c>
      <c r="D9" s="188" t="s">
        <v>3621</v>
      </c>
      <c r="E9" s="185" t="s">
        <v>136</v>
      </c>
      <c r="F9" s="185" t="s">
        <v>136</v>
      </c>
      <c r="G9" s="188" t="s">
        <v>137</v>
      </c>
      <c r="I9" s="188" t="s">
        <v>135</v>
      </c>
      <c r="J9" s="189">
        <v>45833.6288816088</v>
      </c>
      <c r="K9" s="187" t="s">
        <v>3612</v>
      </c>
      <c r="L9" s="187" t="s">
        <v>278</v>
      </c>
      <c r="N9" s="183" t="s">
        <v>302</v>
      </c>
      <c r="O9" s="169">
        <f>COUNTIF(D2:D26,"North Macedonia")</f>
        <v>1</v>
      </c>
      <c r="P9" s="15" t="s">
        <v>22</v>
      </c>
      <c r="Q9" s="229"/>
    </row>
    <row r="10">
      <c r="A10" s="17">
        <v>9.0</v>
      </c>
      <c r="B10" s="183" t="s">
        <v>6</v>
      </c>
      <c r="C10" s="183" t="s">
        <v>3622</v>
      </c>
      <c r="D10" s="183" t="s">
        <v>302</v>
      </c>
      <c r="E10" s="185" t="s">
        <v>136</v>
      </c>
      <c r="F10" s="185" t="s">
        <v>136</v>
      </c>
      <c r="G10" s="183" t="s">
        <v>137</v>
      </c>
      <c r="I10" s="183" t="s">
        <v>136</v>
      </c>
      <c r="J10" s="186">
        <v>45833.629406168984</v>
      </c>
      <c r="K10" s="187" t="s">
        <v>3612</v>
      </c>
      <c r="L10" s="187" t="s">
        <v>278</v>
      </c>
      <c r="N10" s="183" t="s">
        <v>374</v>
      </c>
      <c r="O10" s="169">
        <f>COUNTIF(D2:D26,"Sweden")</f>
        <v>2</v>
      </c>
      <c r="P10" s="169" t="s">
        <v>328</v>
      </c>
      <c r="Q10" s="229"/>
    </row>
    <row r="11">
      <c r="A11" s="17">
        <v>10.0</v>
      </c>
      <c r="B11" s="188" t="s">
        <v>7</v>
      </c>
      <c r="C11" s="188" t="s">
        <v>1963</v>
      </c>
      <c r="D11" s="188" t="s">
        <v>202</v>
      </c>
      <c r="E11" s="185" t="s">
        <v>136</v>
      </c>
      <c r="F11" s="185" t="s">
        <v>136</v>
      </c>
      <c r="G11" s="188" t="s">
        <v>1053</v>
      </c>
      <c r="I11" s="188" t="s">
        <v>136</v>
      </c>
      <c r="J11" s="189">
        <v>45833.62969929398</v>
      </c>
      <c r="K11" s="187" t="s">
        <v>3612</v>
      </c>
      <c r="L11" s="187" t="s">
        <v>278</v>
      </c>
      <c r="N11" s="188" t="s">
        <v>3625</v>
      </c>
      <c r="O11" s="169">
        <f>COUNTIF(D2:D26,"Slovakia")</f>
        <v>1</v>
      </c>
      <c r="P11" s="15" t="s">
        <v>451</v>
      </c>
      <c r="Q11" s="229"/>
    </row>
    <row r="12">
      <c r="A12" s="17">
        <v>11.0</v>
      </c>
      <c r="B12" s="183" t="s">
        <v>6</v>
      </c>
      <c r="C12" s="183" t="s">
        <v>3623</v>
      </c>
      <c r="D12" s="183" t="s">
        <v>374</v>
      </c>
      <c r="E12" s="185" t="s">
        <v>135</v>
      </c>
      <c r="F12" s="185" t="s">
        <v>136</v>
      </c>
      <c r="G12" s="183" t="s">
        <v>3585</v>
      </c>
      <c r="I12" s="183" t="s">
        <v>135</v>
      </c>
      <c r="J12" s="186">
        <v>45833.63071814815</v>
      </c>
      <c r="K12" s="187" t="s">
        <v>3612</v>
      </c>
      <c r="L12" s="187" t="s">
        <v>278</v>
      </c>
      <c r="N12" s="188" t="s">
        <v>176</v>
      </c>
      <c r="O12" s="169">
        <f>COUNTIF(D2:D26,"Romania")+COUNTIF(D2:D26,"NIEP")</f>
        <v>2</v>
      </c>
      <c r="P12" s="15" t="s">
        <v>328</v>
      </c>
      <c r="Q12" s="229"/>
    </row>
    <row r="13">
      <c r="A13" s="17">
        <v>12.0</v>
      </c>
      <c r="B13" s="188" t="s">
        <v>7</v>
      </c>
      <c r="C13" s="188" t="s">
        <v>3624</v>
      </c>
      <c r="D13" s="188" t="s">
        <v>3625</v>
      </c>
      <c r="E13" s="185" t="s">
        <v>135</v>
      </c>
      <c r="F13" s="185" t="s">
        <v>136</v>
      </c>
      <c r="G13" s="188" t="s">
        <v>3626</v>
      </c>
      <c r="I13" s="188" t="s">
        <v>136</v>
      </c>
      <c r="J13" s="189">
        <v>45833.631132152776</v>
      </c>
      <c r="K13" s="187" t="s">
        <v>3612</v>
      </c>
      <c r="L13" s="187" t="s">
        <v>278</v>
      </c>
      <c r="N13" s="183" t="s">
        <v>213</v>
      </c>
      <c r="O13" s="169">
        <f>COUNTIF(D2:D26,"Greece")</f>
        <v>1</v>
      </c>
      <c r="P13" s="15" t="s">
        <v>451</v>
      </c>
      <c r="Q13" s="229"/>
    </row>
    <row r="14">
      <c r="A14" s="17">
        <v>13.0</v>
      </c>
      <c r="B14" s="183" t="s">
        <v>7</v>
      </c>
      <c r="C14" s="183" t="s">
        <v>3198</v>
      </c>
      <c r="D14" s="183" t="s">
        <v>374</v>
      </c>
      <c r="E14" s="185" t="s">
        <v>135</v>
      </c>
      <c r="F14" s="185" t="s">
        <v>136</v>
      </c>
      <c r="G14" s="183" t="s">
        <v>1053</v>
      </c>
      <c r="I14" s="183" t="s">
        <v>136</v>
      </c>
      <c r="J14" s="186">
        <v>45833.6312144213</v>
      </c>
      <c r="K14" s="187" t="s">
        <v>3612</v>
      </c>
      <c r="L14" s="187" t="s">
        <v>278</v>
      </c>
      <c r="N14" s="188" t="s">
        <v>228</v>
      </c>
      <c r="O14" s="16">
        <f>COUNTIF(D2:D26,"Poland")</f>
        <v>2</v>
      </c>
      <c r="P14" s="15" t="s">
        <v>451</v>
      </c>
      <c r="Q14" s="229"/>
    </row>
    <row r="15">
      <c r="A15" s="17">
        <v>14.0</v>
      </c>
      <c r="B15" s="188" t="s">
        <v>7</v>
      </c>
      <c r="C15" s="188" t="s">
        <v>211</v>
      </c>
      <c r="D15" s="188" t="s">
        <v>176</v>
      </c>
      <c r="E15" s="185" t="s">
        <v>135</v>
      </c>
      <c r="F15" s="185" t="s">
        <v>136</v>
      </c>
      <c r="G15" s="188" t="s">
        <v>137</v>
      </c>
      <c r="I15" s="188" t="s">
        <v>135</v>
      </c>
      <c r="J15" s="189">
        <v>45833.63168196759</v>
      </c>
      <c r="K15" s="187" t="s">
        <v>3612</v>
      </c>
      <c r="L15" s="187" t="s">
        <v>278</v>
      </c>
      <c r="N15" s="188" t="s">
        <v>143</v>
      </c>
      <c r="O15" s="169">
        <f>COUNTIF(D2:D26,"Italy")</f>
        <v>3</v>
      </c>
      <c r="P15" s="15" t="s">
        <v>328</v>
      </c>
      <c r="Q15" s="229"/>
    </row>
    <row r="16">
      <c r="A16" s="17">
        <v>15.0</v>
      </c>
      <c r="B16" s="183" t="s">
        <v>7</v>
      </c>
      <c r="C16" s="183" t="s">
        <v>513</v>
      </c>
      <c r="D16" s="183" t="s">
        <v>213</v>
      </c>
      <c r="E16" s="185" t="s">
        <v>136</v>
      </c>
      <c r="F16" s="185" t="s">
        <v>136</v>
      </c>
      <c r="G16" s="183" t="s">
        <v>3627</v>
      </c>
      <c r="I16" s="183" t="s">
        <v>135</v>
      </c>
      <c r="J16" s="186">
        <v>45833.63197993056</v>
      </c>
      <c r="K16" s="187" t="s">
        <v>3612</v>
      </c>
      <c r="L16" s="187" t="s">
        <v>278</v>
      </c>
      <c r="N16" s="188" t="s">
        <v>166</v>
      </c>
      <c r="O16" s="169">
        <f>COUNTIF(D2:D26,"Australia")</f>
        <v>1</v>
      </c>
      <c r="P16" s="15" t="s">
        <v>22</v>
      </c>
      <c r="Q16" s="229"/>
    </row>
    <row r="17">
      <c r="A17" s="17">
        <v>16.0</v>
      </c>
      <c r="B17" s="188" t="s">
        <v>7</v>
      </c>
      <c r="C17" s="188" t="s">
        <v>1319</v>
      </c>
      <c r="D17" s="188" t="s">
        <v>228</v>
      </c>
      <c r="E17" s="185" t="s">
        <v>135</v>
      </c>
      <c r="F17" s="185" t="s">
        <v>136</v>
      </c>
      <c r="G17" s="188" t="s">
        <v>3628</v>
      </c>
      <c r="I17" s="188" t="s">
        <v>135</v>
      </c>
      <c r="J17" s="189">
        <v>45833.632360937496</v>
      </c>
      <c r="K17" s="187" t="s">
        <v>3612</v>
      </c>
      <c r="L17" s="187" t="s">
        <v>278</v>
      </c>
      <c r="O17" s="169"/>
      <c r="P17" s="7"/>
      <c r="Q17" s="229"/>
    </row>
    <row r="18">
      <c r="A18" s="17">
        <v>17.0</v>
      </c>
      <c r="B18" s="183" t="s">
        <v>6</v>
      </c>
      <c r="C18" s="183" t="s">
        <v>2097</v>
      </c>
      <c r="D18" s="183" t="s">
        <v>375</v>
      </c>
      <c r="E18" s="185" t="s">
        <v>135</v>
      </c>
      <c r="F18" s="185" t="s">
        <v>136</v>
      </c>
      <c r="G18" s="183" t="s">
        <v>3629</v>
      </c>
      <c r="I18" s="183" t="s">
        <v>136</v>
      </c>
      <c r="J18" s="186">
        <v>45833.63402061343</v>
      </c>
      <c r="K18" s="187" t="s">
        <v>3612</v>
      </c>
      <c r="L18" s="187" t="s">
        <v>278</v>
      </c>
      <c r="O18" s="169"/>
      <c r="P18" s="7"/>
      <c r="Q18" s="229"/>
    </row>
    <row r="19">
      <c r="A19" s="17">
        <v>18.0</v>
      </c>
      <c r="B19" s="188" t="s">
        <v>6</v>
      </c>
      <c r="C19" s="188" t="s">
        <v>3630</v>
      </c>
      <c r="D19" s="188" t="s">
        <v>159</v>
      </c>
      <c r="E19" s="185" t="s">
        <v>136</v>
      </c>
      <c r="F19" s="185" t="s">
        <v>136</v>
      </c>
      <c r="G19" s="188" t="s">
        <v>3631</v>
      </c>
      <c r="I19" s="188" t="s">
        <v>136</v>
      </c>
      <c r="J19" s="189">
        <v>45833.63931806713</v>
      </c>
      <c r="K19" s="187" t="s">
        <v>3612</v>
      </c>
      <c r="L19" s="187" t="s">
        <v>278</v>
      </c>
      <c r="O19" s="169"/>
      <c r="P19" s="7"/>
      <c r="Q19" s="229"/>
    </row>
    <row r="20">
      <c r="A20" s="17">
        <v>19.0</v>
      </c>
      <c r="B20" s="183" t="s">
        <v>7</v>
      </c>
      <c r="C20" s="183" t="s">
        <v>3632</v>
      </c>
      <c r="D20" s="183" t="s">
        <v>202</v>
      </c>
      <c r="E20" s="185" t="s">
        <v>136</v>
      </c>
      <c r="F20" s="185" t="s">
        <v>136</v>
      </c>
      <c r="G20" s="183" t="s">
        <v>385</v>
      </c>
      <c r="I20" s="183" t="s">
        <v>135</v>
      </c>
      <c r="J20" s="186">
        <v>45833.64001158565</v>
      </c>
      <c r="K20" s="187" t="s">
        <v>3612</v>
      </c>
      <c r="L20" s="187" t="s">
        <v>278</v>
      </c>
      <c r="O20" s="169"/>
      <c r="P20" s="7"/>
      <c r="Q20" s="229"/>
    </row>
    <row r="21">
      <c r="A21" s="17">
        <v>20.0</v>
      </c>
      <c r="B21" s="188" t="s">
        <v>7</v>
      </c>
      <c r="C21" s="188" t="s">
        <v>2791</v>
      </c>
      <c r="D21" s="188" t="s">
        <v>143</v>
      </c>
      <c r="E21" s="185" t="s">
        <v>136</v>
      </c>
      <c r="F21" s="185" t="s">
        <v>136</v>
      </c>
      <c r="G21" s="188" t="s">
        <v>137</v>
      </c>
      <c r="I21" s="188" t="s">
        <v>136</v>
      </c>
      <c r="J21" s="189">
        <v>45833.64025015046</v>
      </c>
      <c r="K21" s="187" t="s">
        <v>3612</v>
      </c>
      <c r="L21" s="187" t="s">
        <v>278</v>
      </c>
      <c r="O21" s="169"/>
      <c r="P21" s="7"/>
      <c r="Q21" s="229"/>
    </row>
    <row r="22">
      <c r="A22" s="17">
        <v>21.0</v>
      </c>
      <c r="B22" s="183" t="s">
        <v>6</v>
      </c>
      <c r="C22" s="183" t="s">
        <v>1614</v>
      </c>
      <c r="D22" s="183" t="s">
        <v>143</v>
      </c>
      <c r="E22" s="185" t="s">
        <v>135</v>
      </c>
      <c r="F22" s="185" t="s">
        <v>136</v>
      </c>
      <c r="G22" s="183" t="s">
        <v>3633</v>
      </c>
      <c r="I22" s="183" t="s">
        <v>136</v>
      </c>
      <c r="J22" s="186">
        <v>45833.64052383102</v>
      </c>
      <c r="K22" s="187" t="s">
        <v>3612</v>
      </c>
      <c r="L22" s="187" t="s">
        <v>278</v>
      </c>
      <c r="O22" s="228"/>
      <c r="P22" s="228"/>
      <c r="Q22" s="229"/>
    </row>
    <row r="23">
      <c r="A23" s="17">
        <v>22.0</v>
      </c>
      <c r="B23" s="188" t="s">
        <v>7</v>
      </c>
      <c r="C23" s="188" t="s">
        <v>3634</v>
      </c>
      <c r="D23" s="188" t="s">
        <v>228</v>
      </c>
      <c r="E23" s="185" t="s">
        <v>135</v>
      </c>
      <c r="F23" s="185" t="s">
        <v>136</v>
      </c>
      <c r="G23" s="188" t="s">
        <v>411</v>
      </c>
      <c r="I23" s="188" t="s">
        <v>136</v>
      </c>
      <c r="J23" s="189">
        <v>45833.64096614583</v>
      </c>
      <c r="K23" s="187" t="s">
        <v>3612</v>
      </c>
      <c r="L23" s="187" t="s">
        <v>278</v>
      </c>
      <c r="O23" s="228"/>
      <c r="P23" s="228"/>
      <c r="Q23" s="229"/>
    </row>
    <row r="24">
      <c r="A24" s="17">
        <v>23.0</v>
      </c>
      <c r="B24" s="183" t="s">
        <v>6</v>
      </c>
      <c r="C24" s="183" t="s">
        <v>2791</v>
      </c>
      <c r="D24" s="183" t="s">
        <v>143</v>
      </c>
      <c r="E24" s="185" t="s">
        <v>136</v>
      </c>
      <c r="F24" s="185" t="s">
        <v>136</v>
      </c>
      <c r="G24" s="183" t="s">
        <v>3635</v>
      </c>
      <c r="I24" s="183" t="s">
        <v>135</v>
      </c>
      <c r="J24" s="186">
        <v>45833.64111376157</v>
      </c>
      <c r="K24" s="187" t="s">
        <v>3612</v>
      </c>
      <c r="L24" s="187" t="s">
        <v>278</v>
      </c>
    </row>
    <row r="25">
      <c r="A25" s="17">
        <v>24.0</v>
      </c>
      <c r="B25" s="188" t="s">
        <v>6</v>
      </c>
      <c r="C25" s="188" t="s">
        <v>3636</v>
      </c>
      <c r="D25" s="188" t="s">
        <v>166</v>
      </c>
      <c r="E25" s="185" t="s">
        <v>136</v>
      </c>
      <c r="F25" s="185" t="s">
        <v>136</v>
      </c>
      <c r="G25" s="188" t="s">
        <v>3637</v>
      </c>
      <c r="I25" s="188" t="s">
        <v>136</v>
      </c>
      <c r="J25" s="189">
        <v>45833.6430684375</v>
      </c>
      <c r="K25" s="187" t="s">
        <v>3612</v>
      </c>
      <c r="L25" s="187" t="s">
        <v>278</v>
      </c>
      <c r="O25" s="17">
        <v>1.0</v>
      </c>
      <c r="P25" s="17" t="s">
        <v>269</v>
      </c>
    </row>
    <row r="26">
      <c r="A26" s="17">
        <v>25.0</v>
      </c>
      <c r="B26" s="183" t="s">
        <v>7</v>
      </c>
      <c r="C26" s="183" t="s">
        <v>3638</v>
      </c>
      <c r="D26" s="183" t="s">
        <v>202</v>
      </c>
      <c r="E26" s="185" t="s">
        <v>136</v>
      </c>
      <c r="F26" s="185" t="s">
        <v>136</v>
      </c>
      <c r="G26" s="183" t="s">
        <v>3639</v>
      </c>
      <c r="I26" s="183" t="s">
        <v>136</v>
      </c>
      <c r="J26" s="186">
        <v>45833.645720243054</v>
      </c>
      <c r="K26" s="187" t="s">
        <v>3612</v>
      </c>
      <c r="L26" s="187" t="s">
        <v>278</v>
      </c>
      <c r="O26" s="17">
        <v>13.0</v>
      </c>
      <c r="P26" s="17" t="s">
        <v>328</v>
      </c>
    </row>
    <row r="27">
      <c r="B27" s="183"/>
      <c r="C27" s="183"/>
      <c r="D27" s="183"/>
      <c r="E27" s="185"/>
      <c r="F27" s="248"/>
      <c r="G27" s="183"/>
      <c r="O27" s="82">
        <v>5.0</v>
      </c>
      <c r="P27" s="237" t="s">
        <v>451</v>
      </c>
    </row>
    <row r="28">
      <c r="O28" s="238">
        <v>6.0</v>
      </c>
      <c r="P28" s="239" t="s">
        <v>22</v>
      </c>
    </row>
  </sheetData>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8.0"/>
    <col customWidth="1" min="3" max="3" width="39.14"/>
    <col customWidth="1" min="4" max="4" width="19.43"/>
    <col customWidth="1" min="5" max="5" width="30.14"/>
    <col customWidth="1" min="6" max="6" width="60.86"/>
    <col customWidth="1" min="7" max="7" width="45.14"/>
    <col customWidth="1" min="8" max="8" width="26.86"/>
    <col customWidth="1" min="9" max="9" width="41.14"/>
    <col customWidth="1" min="10" max="10" width="20.29"/>
    <col customWidth="1" min="11" max="11" width="16.29"/>
    <col customWidth="1" min="14" max="14" width="9.43"/>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3"/>
      <c r="N1" s="223" t="s">
        <v>129</v>
      </c>
      <c r="O1" s="223" t="s">
        <v>130</v>
      </c>
      <c r="P1" s="223" t="s">
        <v>131</v>
      </c>
      <c r="Q1" s="223" t="s">
        <v>3880</v>
      </c>
      <c r="R1" s="223"/>
      <c r="S1" s="2"/>
      <c r="T1" s="2"/>
      <c r="U1" s="2"/>
    </row>
    <row r="2">
      <c r="A2" s="17">
        <v>1.0</v>
      </c>
      <c r="B2" s="183" t="s">
        <v>7</v>
      </c>
      <c r="C2" s="183"/>
      <c r="D2" s="185" t="s">
        <v>202</v>
      </c>
      <c r="E2" s="184" t="s">
        <v>136</v>
      </c>
      <c r="F2" s="185" t="s">
        <v>136</v>
      </c>
      <c r="G2" s="183" t="s">
        <v>3585</v>
      </c>
      <c r="H2" s="183"/>
      <c r="I2" s="185" t="s">
        <v>135</v>
      </c>
      <c r="J2" s="186">
        <v>45853.70035209491</v>
      </c>
      <c r="K2" s="187"/>
      <c r="L2" s="187" t="s">
        <v>273</v>
      </c>
      <c r="M2" s="190"/>
      <c r="N2" s="249" t="s">
        <v>202</v>
      </c>
      <c r="O2" s="169">
        <f>COUNTIF(D2:D26,"Spain")</f>
        <v>24</v>
      </c>
      <c r="P2" s="169" t="s">
        <v>328</v>
      </c>
      <c r="Q2" s="229"/>
    </row>
    <row r="3">
      <c r="A3" s="17">
        <v>2.0</v>
      </c>
      <c r="B3" s="183" t="s">
        <v>6</v>
      </c>
      <c r="C3" s="188"/>
      <c r="D3" s="184" t="s">
        <v>202</v>
      </c>
      <c r="E3" s="184" t="s">
        <v>136</v>
      </c>
      <c r="F3" s="185" t="s">
        <v>136</v>
      </c>
      <c r="G3" s="188" t="s">
        <v>3586</v>
      </c>
      <c r="H3" s="188"/>
      <c r="I3" s="184" t="s">
        <v>135</v>
      </c>
      <c r="J3" s="189">
        <v>45853.70137171296</v>
      </c>
      <c r="K3" s="187"/>
      <c r="L3" s="187" t="s">
        <v>273</v>
      </c>
      <c r="M3" s="190"/>
      <c r="N3" s="250" t="s">
        <v>233</v>
      </c>
      <c r="O3" s="169">
        <f>COUNTIF(D3:D27,"Portugal")</f>
        <v>1</v>
      </c>
      <c r="P3" s="15"/>
      <c r="Q3" s="229"/>
    </row>
    <row r="4">
      <c r="A4" s="17">
        <v>3.0</v>
      </c>
      <c r="B4" s="183" t="s">
        <v>6</v>
      </c>
      <c r="C4" s="183"/>
      <c r="D4" s="185" t="s">
        <v>202</v>
      </c>
      <c r="E4" s="184" t="s">
        <v>136</v>
      </c>
      <c r="F4" s="185" t="s">
        <v>136</v>
      </c>
      <c r="G4" s="183" t="s">
        <v>1053</v>
      </c>
      <c r="H4" s="183"/>
      <c r="I4" s="185" t="s">
        <v>136</v>
      </c>
      <c r="J4" s="186">
        <v>45853.70143961806</v>
      </c>
      <c r="K4" s="187"/>
      <c r="L4" s="187" t="s">
        <v>273</v>
      </c>
      <c r="M4" s="190"/>
      <c r="N4" s="251"/>
      <c r="O4" s="169"/>
      <c r="Q4" s="229"/>
    </row>
    <row r="5">
      <c r="A5" s="17">
        <v>4.0</v>
      </c>
      <c r="B5" s="183" t="s">
        <v>7</v>
      </c>
      <c r="C5" s="188"/>
      <c r="D5" s="184" t="s">
        <v>202</v>
      </c>
      <c r="E5" s="184" t="s">
        <v>136</v>
      </c>
      <c r="F5" s="185" t="s">
        <v>136</v>
      </c>
      <c r="G5" s="188" t="s">
        <v>3587</v>
      </c>
      <c r="H5" s="188"/>
      <c r="I5" s="184" t="s">
        <v>135</v>
      </c>
      <c r="J5" s="189">
        <v>45853.70723837963</v>
      </c>
      <c r="K5" s="187"/>
      <c r="L5" s="187" t="s">
        <v>273</v>
      </c>
      <c r="M5" s="190"/>
      <c r="N5" s="252"/>
      <c r="O5" s="169"/>
      <c r="P5" s="15"/>
      <c r="Q5" s="229"/>
    </row>
    <row r="6">
      <c r="A6" s="17">
        <v>5.0</v>
      </c>
      <c r="B6" s="183" t="s">
        <v>7</v>
      </c>
      <c r="C6" s="183"/>
      <c r="D6" s="185" t="s">
        <v>202</v>
      </c>
      <c r="E6" s="185" t="s">
        <v>135</v>
      </c>
      <c r="F6" s="185" t="s">
        <v>136</v>
      </c>
      <c r="G6" s="183" t="s">
        <v>1053</v>
      </c>
      <c r="H6" s="183"/>
      <c r="I6" s="185" t="s">
        <v>135</v>
      </c>
      <c r="J6" s="186">
        <v>45853.70760451389</v>
      </c>
      <c r="K6" s="187"/>
      <c r="L6" s="187" t="s">
        <v>273</v>
      </c>
      <c r="M6" s="190"/>
      <c r="N6" s="251"/>
      <c r="O6" s="169"/>
      <c r="P6" s="15"/>
      <c r="Q6" s="229"/>
    </row>
    <row r="7">
      <c r="A7" s="17">
        <v>6.0</v>
      </c>
      <c r="B7" s="183" t="s">
        <v>6</v>
      </c>
      <c r="C7" s="188"/>
      <c r="D7" s="184" t="s">
        <v>202</v>
      </c>
      <c r="E7" s="185" t="s">
        <v>135</v>
      </c>
      <c r="F7" s="185" t="s">
        <v>136</v>
      </c>
      <c r="G7" s="188" t="s">
        <v>3588</v>
      </c>
      <c r="H7" s="188"/>
      <c r="I7" s="184" t="s">
        <v>136</v>
      </c>
      <c r="J7" s="189">
        <v>45853.70781946759</v>
      </c>
      <c r="K7" s="187"/>
      <c r="L7" s="187" t="s">
        <v>273</v>
      </c>
      <c r="M7" s="190"/>
      <c r="N7" s="250"/>
      <c r="O7" s="169"/>
      <c r="P7" s="15"/>
      <c r="Q7" s="229"/>
    </row>
    <row r="8">
      <c r="A8" s="17">
        <v>7.0</v>
      </c>
      <c r="B8" s="183" t="s">
        <v>7</v>
      </c>
      <c r="C8" s="183" t="s">
        <v>245</v>
      </c>
      <c r="D8" s="183" t="s">
        <v>202</v>
      </c>
      <c r="E8" s="185" t="s">
        <v>136</v>
      </c>
      <c r="F8" s="185" t="s">
        <v>136</v>
      </c>
      <c r="G8" s="183" t="s">
        <v>3587</v>
      </c>
      <c r="H8" s="183"/>
      <c r="I8" s="183" t="s">
        <v>136</v>
      </c>
      <c r="J8" s="186">
        <v>45853.67071726852</v>
      </c>
      <c r="K8" s="187"/>
      <c r="L8" s="187" t="s">
        <v>273</v>
      </c>
      <c r="M8" s="190"/>
      <c r="N8" s="251"/>
      <c r="O8" s="169"/>
      <c r="P8" s="169"/>
      <c r="Q8" s="229"/>
    </row>
    <row r="9">
      <c r="A9" s="17">
        <v>8.0</v>
      </c>
      <c r="B9" s="188" t="s">
        <v>7</v>
      </c>
      <c r="C9" s="188" t="s">
        <v>3589</v>
      </c>
      <c r="D9" s="188" t="s">
        <v>202</v>
      </c>
      <c r="E9" s="185" t="s">
        <v>136</v>
      </c>
      <c r="F9" s="185" t="s">
        <v>136</v>
      </c>
      <c r="G9" s="188" t="s">
        <v>3590</v>
      </c>
      <c r="H9" s="188"/>
      <c r="I9" s="188" t="s">
        <v>136</v>
      </c>
      <c r="J9" s="189">
        <v>45853.671245000005</v>
      </c>
      <c r="K9" s="187"/>
      <c r="L9" s="187" t="s">
        <v>273</v>
      </c>
      <c r="M9" s="190"/>
      <c r="N9" s="251"/>
      <c r="O9" s="169"/>
      <c r="P9" s="15"/>
      <c r="Q9" s="229"/>
    </row>
    <row r="10">
      <c r="A10" s="17">
        <v>9.0</v>
      </c>
      <c r="B10" s="183" t="s">
        <v>6</v>
      </c>
      <c r="C10" s="183" t="s">
        <v>3591</v>
      </c>
      <c r="D10" s="183" t="s">
        <v>202</v>
      </c>
      <c r="E10" s="185" t="s">
        <v>136</v>
      </c>
      <c r="F10" s="185" t="s">
        <v>136</v>
      </c>
      <c r="G10" s="183" t="s">
        <v>3585</v>
      </c>
      <c r="H10" s="183"/>
      <c r="I10" s="183" t="s">
        <v>136</v>
      </c>
      <c r="J10" s="186">
        <v>45853.67220032407</v>
      </c>
      <c r="K10" s="187"/>
      <c r="L10" s="187" t="s">
        <v>273</v>
      </c>
      <c r="M10" s="190"/>
      <c r="N10" s="251"/>
      <c r="O10" s="169"/>
      <c r="P10" s="169"/>
      <c r="Q10" s="229"/>
    </row>
    <row r="11">
      <c r="A11" s="17">
        <v>10.0</v>
      </c>
      <c r="B11" s="188" t="s">
        <v>7</v>
      </c>
      <c r="C11" s="188" t="s">
        <v>3592</v>
      </c>
      <c r="D11" s="188" t="s">
        <v>202</v>
      </c>
      <c r="E11" s="185" t="s">
        <v>136</v>
      </c>
      <c r="F11" s="185" t="s">
        <v>136</v>
      </c>
      <c r="G11" s="188" t="s">
        <v>1053</v>
      </c>
      <c r="H11" s="188"/>
      <c r="I11" s="188" t="s">
        <v>136</v>
      </c>
      <c r="J11" s="189">
        <v>45853.67268900463</v>
      </c>
      <c r="K11" s="187"/>
      <c r="L11" s="187" t="s">
        <v>273</v>
      </c>
      <c r="M11" s="190"/>
      <c r="N11" s="252"/>
      <c r="O11" s="169"/>
      <c r="P11" s="15"/>
      <c r="Q11" s="229"/>
    </row>
    <row r="12">
      <c r="A12" s="17">
        <v>11.0</v>
      </c>
      <c r="B12" s="183" t="s">
        <v>6</v>
      </c>
      <c r="C12" s="191"/>
      <c r="D12" s="183" t="s">
        <v>202</v>
      </c>
      <c r="E12" s="185" t="s">
        <v>136</v>
      </c>
      <c r="F12" s="185" t="s">
        <v>136</v>
      </c>
      <c r="G12" s="183" t="s">
        <v>3593</v>
      </c>
      <c r="H12" s="183"/>
      <c r="I12" s="183" t="s">
        <v>136</v>
      </c>
      <c r="J12" s="186">
        <v>45853.67525335649</v>
      </c>
      <c r="K12" s="187"/>
      <c r="L12" s="187" t="s">
        <v>273</v>
      </c>
      <c r="M12" s="190"/>
      <c r="N12" s="252"/>
      <c r="O12" s="169"/>
      <c r="P12" s="15"/>
      <c r="Q12" s="229"/>
    </row>
    <row r="13">
      <c r="A13" s="17">
        <v>12.0</v>
      </c>
      <c r="B13" s="188" t="s">
        <v>6</v>
      </c>
      <c r="C13" s="188" t="s">
        <v>3594</v>
      </c>
      <c r="D13" s="188" t="s">
        <v>202</v>
      </c>
      <c r="E13" s="185" t="s">
        <v>135</v>
      </c>
      <c r="F13" s="185" t="s">
        <v>136</v>
      </c>
      <c r="G13" s="188" t="s">
        <v>1053</v>
      </c>
      <c r="H13" s="188"/>
      <c r="I13" s="188" t="s">
        <v>136</v>
      </c>
      <c r="J13" s="189">
        <v>45853.68268534722</v>
      </c>
      <c r="K13" s="187"/>
      <c r="L13" s="187" t="s">
        <v>273</v>
      </c>
      <c r="M13" s="190"/>
      <c r="N13" s="251"/>
      <c r="O13" s="169"/>
      <c r="P13" s="15"/>
      <c r="Q13" s="229"/>
    </row>
    <row r="14">
      <c r="A14" s="17">
        <v>13.0</v>
      </c>
      <c r="B14" s="183" t="s">
        <v>7</v>
      </c>
      <c r="C14" s="183" t="s">
        <v>1127</v>
      </c>
      <c r="D14" s="183" t="s">
        <v>233</v>
      </c>
      <c r="E14" s="185" t="s">
        <v>135</v>
      </c>
      <c r="F14" s="185" t="s">
        <v>136</v>
      </c>
      <c r="G14" s="183" t="s">
        <v>3588</v>
      </c>
      <c r="H14" s="183"/>
      <c r="I14" s="183" t="s">
        <v>136</v>
      </c>
      <c r="J14" s="186">
        <v>45853.69323422454</v>
      </c>
      <c r="K14" s="187"/>
      <c r="L14" s="187" t="s">
        <v>273</v>
      </c>
      <c r="M14" s="190"/>
      <c r="N14" s="252"/>
      <c r="P14" s="15"/>
      <c r="Q14" s="229"/>
    </row>
    <row r="15">
      <c r="A15" s="17">
        <v>14.0</v>
      </c>
      <c r="B15" s="188" t="s">
        <v>6</v>
      </c>
      <c r="C15" s="188" t="s">
        <v>3595</v>
      </c>
      <c r="D15" s="188" t="s">
        <v>202</v>
      </c>
      <c r="E15" s="185" t="s">
        <v>135</v>
      </c>
      <c r="F15" s="185" t="s">
        <v>136</v>
      </c>
      <c r="G15" s="188" t="s">
        <v>3596</v>
      </c>
      <c r="H15" s="188"/>
      <c r="I15" s="188" t="s">
        <v>136</v>
      </c>
      <c r="J15" s="189">
        <v>45855.72159935185</v>
      </c>
      <c r="K15" s="187"/>
      <c r="L15" s="187" t="s">
        <v>273</v>
      </c>
      <c r="M15" s="190"/>
      <c r="N15" s="252"/>
      <c r="O15" s="169"/>
      <c r="P15" s="15"/>
      <c r="Q15" s="229"/>
    </row>
    <row r="16">
      <c r="A16" s="17">
        <v>15.0</v>
      </c>
      <c r="B16" s="183" t="s">
        <v>7</v>
      </c>
      <c r="C16" s="183" t="s">
        <v>2978</v>
      </c>
      <c r="D16" s="183" t="s">
        <v>202</v>
      </c>
      <c r="E16" s="185" t="s">
        <v>135</v>
      </c>
      <c r="F16" s="185" t="s">
        <v>136</v>
      </c>
      <c r="G16" s="183" t="s">
        <v>3597</v>
      </c>
      <c r="H16" s="183"/>
      <c r="I16" s="183" t="s">
        <v>135</v>
      </c>
      <c r="J16" s="186">
        <v>45855.72794466435</v>
      </c>
      <c r="K16" s="187"/>
      <c r="L16" s="187" t="s">
        <v>273</v>
      </c>
      <c r="M16" s="190"/>
      <c r="N16" s="252"/>
      <c r="O16" s="169"/>
      <c r="P16" s="15"/>
      <c r="Q16" s="229"/>
    </row>
    <row r="17">
      <c r="A17" s="17">
        <v>16.0</v>
      </c>
      <c r="B17" s="188" t="s">
        <v>6</v>
      </c>
      <c r="C17" s="188" t="s">
        <v>998</v>
      </c>
      <c r="D17" s="188" t="s">
        <v>202</v>
      </c>
      <c r="E17" s="185" t="s">
        <v>136</v>
      </c>
      <c r="F17" s="185" t="s">
        <v>136</v>
      </c>
      <c r="G17" s="188" t="s">
        <v>3598</v>
      </c>
      <c r="H17" s="188"/>
      <c r="I17" s="188" t="s">
        <v>136</v>
      </c>
      <c r="J17" s="189">
        <v>45855.73168701389</v>
      </c>
      <c r="K17" s="187"/>
      <c r="L17" s="187" t="s">
        <v>273</v>
      </c>
      <c r="M17" s="190"/>
      <c r="O17" s="169"/>
      <c r="P17" s="7"/>
      <c r="Q17" s="229"/>
    </row>
    <row r="18">
      <c r="A18" s="17">
        <v>17.0</v>
      </c>
      <c r="B18" s="183" t="s">
        <v>7</v>
      </c>
      <c r="C18" s="183" t="s">
        <v>3599</v>
      </c>
      <c r="D18" s="183" t="s">
        <v>370</v>
      </c>
      <c r="E18" s="185" t="s">
        <v>135</v>
      </c>
      <c r="F18" s="185" t="s">
        <v>136</v>
      </c>
      <c r="G18" s="183" t="s">
        <v>3600</v>
      </c>
      <c r="H18" s="183"/>
      <c r="I18" s="183" t="s">
        <v>136</v>
      </c>
      <c r="J18" s="186">
        <v>45855.732633125</v>
      </c>
      <c r="K18" s="187"/>
      <c r="L18" s="187" t="s">
        <v>273</v>
      </c>
      <c r="M18" s="190"/>
      <c r="O18" s="169"/>
      <c r="P18" s="7"/>
      <c r="Q18" s="229"/>
    </row>
    <row r="19">
      <c r="A19" s="17">
        <v>18.0</v>
      </c>
      <c r="B19" s="188" t="s">
        <v>7</v>
      </c>
      <c r="C19" s="188" t="s">
        <v>1087</v>
      </c>
      <c r="D19" s="188" t="s">
        <v>202</v>
      </c>
      <c r="E19" s="185" t="s">
        <v>135</v>
      </c>
      <c r="F19" s="185" t="s">
        <v>136</v>
      </c>
      <c r="G19" s="188" t="s">
        <v>3601</v>
      </c>
      <c r="H19" s="188"/>
      <c r="I19" s="188" t="s">
        <v>136</v>
      </c>
      <c r="J19" s="189">
        <v>45855.73277901621</v>
      </c>
      <c r="K19" s="187"/>
      <c r="L19" s="187" t="s">
        <v>273</v>
      </c>
      <c r="M19" s="190"/>
      <c r="O19" s="169"/>
      <c r="P19" s="7"/>
      <c r="Q19" s="229"/>
    </row>
    <row r="20">
      <c r="A20" s="17">
        <v>19.0</v>
      </c>
      <c r="B20" s="183" t="s">
        <v>7</v>
      </c>
      <c r="C20" s="183" t="s">
        <v>245</v>
      </c>
      <c r="D20" s="183" t="s">
        <v>202</v>
      </c>
      <c r="E20" s="185" t="s">
        <v>136</v>
      </c>
      <c r="F20" s="185" t="s">
        <v>136</v>
      </c>
      <c r="G20" s="183" t="s">
        <v>3602</v>
      </c>
      <c r="H20" s="183"/>
      <c r="I20" s="183" t="s">
        <v>136</v>
      </c>
      <c r="J20" s="186">
        <v>45855.735536099535</v>
      </c>
      <c r="K20" s="187"/>
      <c r="L20" s="187" t="s">
        <v>273</v>
      </c>
      <c r="M20" s="190"/>
      <c r="O20" s="169"/>
      <c r="P20" s="7"/>
      <c r="Q20" s="229"/>
    </row>
    <row r="21">
      <c r="A21" s="17">
        <v>20.0</v>
      </c>
      <c r="B21" s="188" t="s">
        <v>7</v>
      </c>
      <c r="C21" s="192"/>
      <c r="D21" s="188" t="s">
        <v>202</v>
      </c>
      <c r="E21" s="185" t="s">
        <v>136</v>
      </c>
      <c r="F21" s="185" t="s">
        <v>136</v>
      </c>
      <c r="G21" s="188" t="s">
        <v>137</v>
      </c>
      <c r="H21" s="188"/>
      <c r="I21" s="188" t="s">
        <v>136</v>
      </c>
      <c r="J21" s="189">
        <v>45855.73754164352</v>
      </c>
      <c r="K21" s="187"/>
      <c r="L21" s="187" t="s">
        <v>273</v>
      </c>
      <c r="M21" s="190"/>
      <c r="O21" s="169"/>
      <c r="P21" s="7"/>
      <c r="Q21" s="229"/>
    </row>
    <row r="22">
      <c r="A22" s="17">
        <v>21.0</v>
      </c>
      <c r="B22" s="183" t="s">
        <v>7</v>
      </c>
      <c r="C22" s="183" t="s">
        <v>3603</v>
      </c>
      <c r="D22" s="183" t="s">
        <v>202</v>
      </c>
      <c r="E22" s="185" t="s">
        <v>136</v>
      </c>
      <c r="F22" s="185" t="s">
        <v>136</v>
      </c>
      <c r="G22" s="183" t="s">
        <v>3600</v>
      </c>
      <c r="H22" s="183"/>
      <c r="I22" s="183" t="s">
        <v>136</v>
      </c>
      <c r="J22" s="186">
        <v>45855.73793195601</v>
      </c>
      <c r="K22" s="187"/>
      <c r="L22" s="187" t="s">
        <v>273</v>
      </c>
      <c r="M22" s="190"/>
      <c r="O22" s="228"/>
      <c r="P22" s="228"/>
      <c r="Q22" s="229"/>
    </row>
    <row r="23">
      <c r="A23" s="17">
        <v>22.0</v>
      </c>
      <c r="B23" s="188" t="s">
        <v>6</v>
      </c>
      <c r="C23" s="188" t="s">
        <v>3604</v>
      </c>
      <c r="D23" s="188" t="s">
        <v>202</v>
      </c>
      <c r="E23" s="185" t="s">
        <v>135</v>
      </c>
      <c r="F23" s="185" t="s">
        <v>136</v>
      </c>
      <c r="G23" s="188" t="s">
        <v>3605</v>
      </c>
      <c r="H23" s="188"/>
      <c r="I23" s="188" t="s">
        <v>135</v>
      </c>
      <c r="J23" s="189">
        <v>45855.73892038195</v>
      </c>
      <c r="K23" s="187"/>
      <c r="L23" s="187" t="s">
        <v>273</v>
      </c>
      <c r="M23" s="190"/>
      <c r="O23" s="228"/>
      <c r="P23" s="228"/>
      <c r="Q23" s="229"/>
    </row>
    <row r="24">
      <c r="A24" s="17">
        <v>23.0</v>
      </c>
      <c r="B24" s="183" t="s">
        <v>7</v>
      </c>
      <c r="C24" s="183" t="s">
        <v>3606</v>
      </c>
      <c r="D24" s="188" t="s">
        <v>202</v>
      </c>
      <c r="E24" s="185" t="s">
        <v>135</v>
      </c>
      <c r="F24" s="185" t="s">
        <v>136</v>
      </c>
      <c r="G24" s="183" t="s">
        <v>3607</v>
      </c>
      <c r="H24" s="183"/>
      <c r="I24" s="183" t="s">
        <v>135</v>
      </c>
      <c r="J24" s="186">
        <v>45855.74005951389</v>
      </c>
      <c r="K24" s="187"/>
      <c r="L24" s="187" t="s">
        <v>273</v>
      </c>
      <c r="M24" s="190"/>
    </row>
    <row r="25">
      <c r="A25" s="17">
        <v>24.0</v>
      </c>
      <c r="B25" s="188" t="s">
        <v>6</v>
      </c>
      <c r="C25" s="188" t="s">
        <v>3608</v>
      </c>
      <c r="D25" s="188" t="s">
        <v>202</v>
      </c>
      <c r="E25" s="185" t="s">
        <v>136</v>
      </c>
      <c r="F25" s="185" t="s">
        <v>136</v>
      </c>
      <c r="G25" s="188" t="s">
        <v>3609</v>
      </c>
      <c r="H25" s="188"/>
      <c r="I25" s="188" t="s">
        <v>135</v>
      </c>
      <c r="J25" s="189">
        <v>45855.740523125</v>
      </c>
      <c r="K25" s="187"/>
      <c r="L25" s="187" t="s">
        <v>273</v>
      </c>
      <c r="M25" s="190"/>
    </row>
    <row r="26">
      <c r="A26" s="17">
        <v>25.0</v>
      </c>
      <c r="B26" s="183" t="s">
        <v>6</v>
      </c>
      <c r="C26" s="183" t="s">
        <v>3610</v>
      </c>
      <c r="D26" s="183" t="s">
        <v>370</v>
      </c>
      <c r="E26" s="185" t="s">
        <v>136</v>
      </c>
      <c r="F26" s="185" t="s">
        <v>136</v>
      </c>
      <c r="G26" s="183" t="s">
        <v>385</v>
      </c>
      <c r="H26" s="183"/>
      <c r="I26" s="183" t="s">
        <v>135</v>
      </c>
      <c r="J26" s="186">
        <v>45855.74172723379</v>
      </c>
      <c r="K26" s="187"/>
      <c r="L26" s="187" t="s">
        <v>273</v>
      </c>
      <c r="M26" s="190"/>
      <c r="O26" s="17">
        <v>1.0</v>
      </c>
      <c r="P26" s="17" t="s">
        <v>328</v>
      </c>
    </row>
    <row r="27">
      <c r="A27" s="17">
        <v>26.0</v>
      </c>
      <c r="B27" s="188" t="s">
        <v>7</v>
      </c>
      <c r="C27" s="188" t="s">
        <v>3611</v>
      </c>
      <c r="D27" s="188" t="s">
        <v>202</v>
      </c>
      <c r="E27" s="185" t="s">
        <v>136</v>
      </c>
      <c r="F27" s="185" t="s">
        <v>136</v>
      </c>
      <c r="G27" s="188" t="s">
        <v>3100</v>
      </c>
      <c r="H27" s="188"/>
      <c r="I27" s="188" t="s">
        <v>135</v>
      </c>
      <c r="J27" s="189">
        <v>45855.7428319676</v>
      </c>
      <c r="K27" s="190"/>
      <c r="L27" s="187" t="s">
        <v>273</v>
      </c>
      <c r="M27" s="190"/>
      <c r="O27" s="82">
        <v>1.0</v>
      </c>
      <c r="P27" s="237" t="s">
        <v>451</v>
      </c>
    </row>
    <row r="28">
      <c r="G28" s="253"/>
      <c r="H28" s="254"/>
      <c r="J28" s="255"/>
      <c r="K28" s="190"/>
      <c r="L28" s="190"/>
      <c r="M28" s="190"/>
    </row>
    <row r="29">
      <c r="G29" s="256"/>
      <c r="H29" s="257"/>
    </row>
    <row r="30">
      <c r="B30" s="188"/>
      <c r="C30" s="188"/>
      <c r="D30" s="188"/>
      <c r="E30" s="248"/>
      <c r="G30" s="253"/>
      <c r="H30" s="254"/>
    </row>
    <row r="31">
      <c r="B31" s="188"/>
      <c r="C31" s="188"/>
      <c r="D31" s="188"/>
      <c r="E31" s="248"/>
      <c r="H31" s="246"/>
    </row>
    <row r="32">
      <c r="B32" s="188"/>
      <c r="C32" s="188"/>
      <c r="D32" s="188"/>
      <c r="E32" s="248"/>
      <c r="H32" s="253"/>
    </row>
    <row r="33">
      <c r="B33" s="188"/>
      <c r="C33" s="188"/>
      <c r="D33" s="188"/>
      <c r="E33" s="248"/>
      <c r="F33" s="258"/>
      <c r="G33" s="258"/>
      <c r="H33" s="253"/>
    </row>
    <row r="34">
      <c r="B34" s="188"/>
      <c r="C34" s="188"/>
      <c r="D34" s="188"/>
      <c r="E34" s="248"/>
      <c r="F34" s="258"/>
      <c r="G34" s="258"/>
      <c r="H34" s="253"/>
    </row>
  </sheetData>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8.0"/>
    <col customWidth="1" min="3" max="3" width="39.14"/>
    <col customWidth="1" min="4" max="4" width="19.43"/>
    <col customWidth="1" min="5" max="5" width="30.14"/>
    <col customWidth="1" min="6" max="6" width="16.43"/>
    <col customWidth="1" min="7" max="7" width="45.14"/>
    <col customWidth="1" min="8" max="8" width="26.86"/>
    <col customWidth="1" min="9" max="9" width="41.14"/>
    <col customWidth="1" min="10" max="10" width="20.29"/>
    <col customWidth="1" min="11" max="11" width="16.29"/>
    <col customWidth="1" min="14" max="14" width="9.43"/>
    <col customWidth="1" min="16" max="16" width="18.43"/>
  </cols>
  <sheetData>
    <row r="1">
      <c r="A1" s="223" t="s">
        <v>116</v>
      </c>
      <c r="B1" s="223" t="s">
        <v>117</v>
      </c>
      <c r="C1" s="223" t="s">
        <v>118</v>
      </c>
      <c r="D1" s="223" t="s">
        <v>119</v>
      </c>
      <c r="E1" s="223" t="s">
        <v>120</v>
      </c>
      <c r="F1" s="223" t="s">
        <v>121</v>
      </c>
      <c r="G1" s="223" t="s">
        <v>122</v>
      </c>
      <c r="H1" s="223" t="s">
        <v>123</v>
      </c>
      <c r="I1" s="223" t="s">
        <v>3780</v>
      </c>
      <c r="J1" s="223" t="s">
        <v>125</v>
      </c>
      <c r="K1" s="223" t="s">
        <v>126</v>
      </c>
      <c r="L1" s="224" t="s">
        <v>3771</v>
      </c>
      <c r="M1" s="223"/>
      <c r="N1" s="223" t="s">
        <v>129</v>
      </c>
      <c r="O1" s="223" t="s">
        <v>130</v>
      </c>
      <c r="P1" s="223" t="s">
        <v>131</v>
      </c>
      <c r="Q1" s="223" t="s">
        <v>3880</v>
      </c>
      <c r="R1" s="223"/>
      <c r="S1" s="2"/>
      <c r="T1" s="2"/>
      <c r="U1" s="2"/>
    </row>
    <row r="2">
      <c r="A2" s="17">
        <v>1.0</v>
      </c>
      <c r="B2" s="183" t="s">
        <v>6</v>
      </c>
      <c r="C2" s="183" t="s">
        <v>3099</v>
      </c>
      <c r="D2" s="183" t="s">
        <v>134</v>
      </c>
      <c r="E2" s="184" t="s">
        <v>136</v>
      </c>
      <c r="F2" s="185" t="s">
        <v>136</v>
      </c>
      <c r="G2" s="183" t="s">
        <v>3575</v>
      </c>
      <c r="I2" s="183" t="s">
        <v>135</v>
      </c>
      <c r="J2" s="186">
        <v>45909.620210810186</v>
      </c>
      <c r="K2" s="187"/>
      <c r="L2" s="187" t="s">
        <v>267</v>
      </c>
      <c r="N2" s="227" t="s">
        <v>134</v>
      </c>
      <c r="O2" s="169">
        <f>COUNTIF(D2:D26,"France")</f>
        <v>1</v>
      </c>
      <c r="P2" s="228" t="s">
        <v>328</v>
      </c>
      <c r="Q2" s="229"/>
    </row>
    <row r="3">
      <c r="A3" s="17">
        <v>2.0</v>
      </c>
      <c r="B3" s="188" t="s">
        <v>6</v>
      </c>
      <c r="C3" s="188" t="s">
        <v>3576</v>
      </c>
      <c r="D3" s="188" t="s">
        <v>383</v>
      </c>
      <c r="E3" s="184" t="s">
        <v>136</v>
      </c>
      <c r="F3" s="185" t="s">
        <v>136</v>
      </c>
      <c r="G3" s="188" t="s">
        <v>3577</v>
      </c>
      <c r="I3" s="188" t="s">
        <v>135</v>
      </c>
      <c r="J3" s="189">
        <v>45909.62522706018</v>
      </c>
      <c r="K3" s="187"/>
      <c r="L3" s="187" t="s">
        <v>267</v>
      </c>
      <c r="N3" s="232" t="s">
        <v>383</v>
      </c>
      <c r="O3" s="169">
        <v>4.0</v>
      </c>
      <c r="P3" s="169" t="s">
        <v>328</v>
      </c>
      <c r="Q3" s="229"/>
    </row>
    <row r="4">
      <c r="A4" s="17">
        <v>3.0</v>
      </c>
      <c r="B4" s="183" t="s">
        <v>6</v>
      </c>
      <c r="C4" s="183" t="s">
        <v>3578</v>
      </c>
      <c r="D4" s="188" t="s">
        <v>383</v>
      </c>
      <c r="E4" s="17" t="s">
        <v>135</v>
      </c>
      <c r="F4" s="185" t="s">
        <v>136</v>
      </c>
      <c r="G4" s="183" t="s">
        <v>137</v>
      </c>
      <c r="I4" s="183" t="s">
        <v>136</v>
      </c>
      <c r="J4" s="186">
        <v>45909.62728425926</v>
      </c>
      <c r="K4" s="187"/>
      <c r="L4" s="187" t="s">
        <v>267</v>
      </c>
      <c r="N4" s="232"/>
      <c r="O4" s="169"/>
      <c r="P4" s="228"/>
      <c r="Q4" s="229"/>
    </row>
    <row r="5">
      <c r="A5" s="17">
        <v>4.0</v>
      </c>
      <c r="B5" s="188" t="s">
        <v>6</v>
      </c>
      <c r="C5" s="188" t="s">
        <v>3579</v>
      </c>
      <c r="D5" s="188" t="s">
        <v>383</v>
      </c>
      <c r="E5" s="184" t="s">
        <v>136</v>
      </c>
      <c r="F5" s="185" t="s">
        <v>136</v>
      </c>
      <c r="G5" s="188" t="s">
        <v>137</v>
      </c>
      <c r="I5" s="188" t="s">
        <v>135</v>
      </c>
      <c r="J5" s="189">
        <v>45909.63209212963</v>
      </c>
      <c r="K5" s="187"/>
      <c r="L5" s="187" t="s">
        <v>267</v>
      </c>
      <c r="N5" s="232"/>
      <c r="O5" s="169"/>
      <c r="P5" s="7"/>
      <c r="Q5" s="229"/>
    </row>
    <row r="6">
      <c r="A6" s="17">
        <v>5.0</v>
      </c>
      <c r="B6" s="183" t="s">
        <v>7</v>
      </c>
      <c r="C6" s="183" t="s">
        <v>3580</v>
      </c>
      <c r="D6" s="188" t="s">
        <v>383</v>
      </c>
      <c r="E6" s="17" t="s">
        <v>135</v>
      </c>
      <c r="F6" s="185" t="s">
        <v>136</v>
      </c>
      <c r="G6" s="183" t="s">
        <v>3581</v>
      </c>
      <c r="I6" s="183" t="s">
        <v>136</v>
      </c>
      <c r="J6" s="186">
        <v>45909.632573807874</v>
      </c>
      <c r="K6" s="187"/>
      <c r="L6" s="187" t="s">
        <v>267</v>
      </c>
      <c r="N6" s="232"/>
      <c r="O6" s="169"/>
      <c r="P6" s="7"/>
      <c r="Q6" s="229"/>
    </row>
    <row r="7">
      <c r="A7" s="17">
        <v>6.0</v>
      </c>
      <c r="B7" s="188" t="s">
        <v>6</v>
      </c>
      <c r="C7" s="188" t="s">
        <v>3582</v>
      </c>
      <c r="D7" s="188" t="s">
        <v>383</v>
      </c>
      <c r="E7" s="184" t="s">
        <v>136</v>
      </c>
      <c r="F7" s="185" t="s">
        <v>136</v>
      </c>
      <c r="G7" s="188" t="s">
        <v>3583</v>
      </c>
      <c r="I7" s="188" t="s">
        <v>136</v>
      </c>
      <c r="J7" s="189">
        <v>45909.63766849537</v>
      </c>
      <c r="K7" s="187"/>
      <c r="L7" s="187" t="s">
        <v>267</v>
      </c>
      <c r="N7" s="232"/>
      <c r="O7" s="169"/>
      <c r="P7" s="7"/>
      <c r="Q7" s="229"/>
    </row>
    <row r="8">
      <c r="A8" s="17">
        <v>7.0</v>
      </c>
      <c r="B8" s="183" t="s">
        <v>6</v>
      </c>
      <c r="C8" s="183" t="s">
        <v>3584</v>
      </c>
      <c r="D8" s="188" t="s">
        <v>383</v>
      </c>
      <c r="E8" s="184" t="s">
        <v>136</v>
      </c>
      <c r="F8" s="185" t="s">
        <v>136</v>
      </c>
      <c r="G8" s="183" t="s">
        <v>411</v>
      </c>
      <c r="I8" s="183" t="s">
        <v>135</v>
      </c>
      <c r="J8" s="186">
        <v>45909.65430327546</v>
      </c>
      <c r="K8" s="190"/>
      <c r="L8" s="187" t="s">
        <v>267</v>
      </c>
      <c r="N8" s="232"/>
      <c r="O8" s="169"/>
      <c r="P8" s="7"/>
      <c r="Q8" s="229"/>
    </row>
    <row r="9">
      <c r="K9" s="190"/>
      <c r="L9" s="190"/>
      <c r="N9" s="232"/>
      <c r="O9" s="169"/>
      <c r="P9" s="228"/>
      <c r="Q9" s="229"/>
    </row>
    <row r="10">
      <c r="B10" s="258"/>
      <c r="K10" s="190"/>
      <c r="L10" s="190"/>
      <c r="N10" s="234"/>
      <c r="O10" s="169"/>
      <c r="P10" s="7"/>
      <c r="Q10" s="229"/>
    </row>
    <row r="11">
      <c r="B11" s="258"/>
      <c r="K11" s="190"/>
      <c r="L11" s="190"/>
      <c r="N11" s="232"/>
      <c r="O11" s="169"/>
      <c r="P11" s="7"/>
      <c r="Q11" s="229"/>
    </row>
    <row r="12">
      <c r="N12" s="232"/>
      <c r="O12" s="169"/>
      <c r="P12" s="7"/>
      <c r="Q12" s="229"/>
    </row>
    <row r="13">
      <c r="N13" s="234"/>
      <c r="O13" s="169"/>
      <c r="P13" s="7"/>
      <c r="Q13" s="229"/>
    </row>
    <row r="14">
      <c r="N14" s="232"/>
      <c r="Q14" s="229"/>
    </row>
    <row r="15">
      <c r="N15" s="227"/>
      <c r="O15" s="169"/>
      <c r="P15" s="7"/>
      <c r="Q15" s="229"/>
    </row>
    <row r="16">
      <c r="N16" s="227"/>
      <c r="O16" s="169"/>
      <c r="P16" s="169"/>
      <c r="Q16" s="229"/>
    </row>
    <row r="17">
      <c r="N17" s="232"/>
      <c r="O17" s="169"/>
      <c r="P17" s="7"/>
      <c r="Q17" s="229"/>
    </row>
    <row r="18">
      <c r="N18" s="232"/>
      <c r="O18" s="169"/>
      <c r="P18" s="7"/>
      <c r="Q18" s="229"/>
    </row>
    <row r="19">
      <c r="N19" s="232"/>
      <c r="O19" s="169"/>
      <c r="P19" s="7"/>
      <c r="Q19" s="229"/>
    </row>
    <row r="20">
      <c r="N20" s="234"/>
      <c r="O20" s="169"/>
      <c r="P20" s="7"/>
      <c r="Q20" s="229"/>
    </row>
    <row r="21">
      <c r="N21" s="232"/>
      <c r="O21" s="169"/>
      <c r="P21" s="7"/>
      <c r="Q21" s="229"/>
    </row>
    <row r="22">
      <c r="N22" s="227"/>
      <c r="O22" s="228"/>
      <c r="P22" s="228"/>
      <c r="Q22" s="229"/>
    </row>
    <row r="23">
      <c r="N23" s="227"/>
      <c r="O23" s="228"/>
      <c r="P23" s="228"/>
      <c r="Q23" s="229"/>
    </row>
    <row r="25">
      <c r="O25" s="17">
        <v>0.0</v>
      </c>
      <c r="P25" s="17" t="s">
        <v>269</v>
      </c>
    </row>
    <row r="26">
      <c r="O26" s="17">
        <v>6.0</v>
      </c>
      <c r="P26" s="17" t="s">
        <v>328</v>
      </c>
    </row>
    <row r="27">
      <c r="O27" s="82">
        <v>0.0</v>
      </c>
      <c r="P27" s="237" t="s">
        <v>451</v>
      </c>
    </row>
    <row r="28">
      <c r="O28" s="238">
        <v>0.0</v>
      </c>
      <c r="P28" s="239" t="s">
        <v>22</v>
      </c>
    </row>
  </sheetData>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65" t="s">
        <v>116</v>
      </c>
      <c r="B1" s="165" t="s">
        <v>117</v>
      </c>
      <c r="C1" s="165" t="s">
        <v>118</v>
      </c>
      <c r="D1" s="165" t="s">
        <v>119</v>
      </c>
      <c r="E1" s="165" t="s">
        <v>120</v>
      </c>
      <c r="F1" s="165" t="s">
        <v>121</v>
      </c>
      <c r="G1" s="165" t="s">
        <v>122</v>
      </c>
      <c r="H1" s="165" t="s">
        <v>123</v>
      </c>
      <c r="I1" s="165" t="s">
        <v>3769</v>
      </c>
      <c r="J1" s="165" t="s">
        <v>125</v>
      </c>
      <c r="K1" s="165" t="s">
        <v>3770</v>
      </c>
      <c r="L1" s="165" t="s">
        <v>3771</v>
      </c>
      <c r="O1" s="123" t="s">
        <v>129</v>
      </c>
      <c r="P1" s="123" t="s">
        <v>130</v>
      </c>
      <c r="Q1" s="123" t="s">
        <v>131</v>
      </c>
    </row>
    <row r="2">
      <c r="C2" s="246"/>
      <c r="D2" s="246" t="s">
        <v>197</v>
      </c>
      <c r="K2" s="16" t="s">
        <v>3881</v>
      </c>
    </row>
    <row r="3">
      <c r="C3" s="246" t="s">
        <v>3882</v>
      </c>
      <c r="D3" s="246" t="s">
        <v>197</v>
      </c>
      <c r="K3" s="16" t="s">
        <v>3881</v>
      </c>
    </row>
    <row r="4">
      <c r="C4" s="246"/>
      <c r="D4" s="246" t="s">
        <v>187</v>
      </c>
      <c r="K4" s="16" t="s">
        <v>3881</v>
      </c>
    </row>
    <row r="5">
      <c r="C5" s="246"/>
      <c r="D5" s="246" t="s">
        <v>187</v>
      </c>
      <c r="K5" s="16" t="s">
        <v>3881</v>
      </c>
    </row>
    <row r="6">
      <c r="C6" s="246" t="s">
        <v>1694</v>
      </c>
      <c r="D6" s="246" t="s">
        <v>187</v>
      </c>
      <c r="K6" s="16" t="s">
        <v>3881</v>
      </c>
    </row>
    <row r="7">
      <c r="C7" s="246" t="s">
        <v>235</v>
      </c>
      <c r="D7" s="246" t="s">
        <v>164</v>
      </c>
      <c r="K7" s="16" t="s">
        <v>3881</v>
      </c>
    </row>
    <row r="8">
      <c r="C8" s="246" t="s">
        <v>3883</v>
      </c>
      <c r="D8" s="246" t="s">
        <v>164</v>
      </c>
      <c r="K8" s="16" t="s">
        <v>3881</v>
      </c>
    </row>
    <row r="9">
      <c r="C9" s="246" t="s">
        <v>2579</v>
      </c>
      <c r="D9" s="246" t="s">
        <v>164</v>
      </c>
      <c r="K9" s="16" t="s">
        <v>3881</v>
      </c>
    </row>
    <row r="10">
      <c r="C10" s="246" t="s">
        <v>3884</v>
      </c>
      <c r="D10" s="246" t="s">
        <v>164</v>
      </c>
      <c r="K10" s="16" t="s">
        <v>3881</v>
      </c>
    </row>
    <row r="11">
      <c r="C11" s="246"/>
      <c r="D11" s="246" t="s">
        <v>164</v>
      </c>
      <c r="K11" s="16" t="s">
        <v>3881</v>
      </c>
    </row>
    <row r="12">
      <c r="C12" s="246"/>
      <c r="D12" s="246" t="s">
        <v>164</v>
      </c>
      <c r="K12" s="16" t="s">
        <v>3881</v>
      </c>
    </row>
    <row r="13">
      <c r="C13" s="246"/>
      <c r="D13" s="246" t="s">
        <v>164</v>
      </c>
      <c r="K13" s="16" t="s">
        <v>3881</v>
      </c>
    </row>
    <row r="14">
      <c r="C14" s="246"/>
      <c r="D14" s="246" t="s">
        <v>164</v>
      </c>
      <c r="K14" s="16" t="s">
        <v>3881</v>
      </c>
    </row>
    <row r="15">
      <c r="C15" s="246" t="s">
        <v>3885</v>
      </c>
      <c r="D15" s="246" t="s">
        <v>164</v>
      </c>
      <c r="K15" s="16" t="s">
        <v>3881</v>
      </c>
    </row>
    <row r="16">
      <c r="C16" s="246"/>
      <c r="D16" s="246" t="s">
        <v>164</v>
      </c>
      <c r="K16" s="16" t="s">
        <v>3881</v>
      </c>
    </row>
    <row r="17">
      <c r="C17" s="246" t="s">
        <v>204</v>
      </c>
      <c r="D17" s="246" t="s">
        <v>170</v>
      </c>
      <c r="K17" s="16" t="s">
        <v>3881</v>
      </c>
    </row>
    <row r="18">
      <c r="C18" s="246" t="s">
        <v>3099</v>
      </c>
      <c r="D18" s="246" t="s">
        <v>134</v>
      </c>
      <c r="K18" s="16" t="s">
        <v>3881</v>
      </c>
    </row>
    <row r="19">
      <c r="C19" s="246" t="s">
        <v>3099</v>
      </c>
      <c r="D19" s="246" t="s">
        <v>134</v>
      </c>
      <c r="K19" s="16" t="s">
        <v>3881</v>
      </c>
    </row>
    <row r="20">
      <c r="C20" s="246" t="s">
        <v>3886</v>
      </c>
      <c r="D20" s="246" t="s">
        <v>134</v>
      </c>
      <c r="K20" s="16" t="s">
        <v>3881</v>
      </c>
    </row>
    <row r="21">
      <c r="C21" s="246" t="s">
        <v>3887</v>
      </c>
      <c r="D21" s="246" t="s">
        <v>134</v>
      </c>
      <c r="K21" s="16" t="s">
        <v>3881</v>
      </c>
    </row>
    <row r="22">
      <c r="C22" s="246"/>
      <c r="D22" s="246" t="s">
        <v>134</v>
      </c>
      <c r="K22" s="16" t="s">
        <v>3881</v>
      </c>
    </row>
    <row r="23">
      <c r="C23" s="246" t="s">
        <v>2634</v>
      </c>
      <c r="D23" s="246" t="s">
        <v>134</v>
      </c>
      <c r="K23" s="16" t="s">
        <v>3881</v>
      </c>
    </row>
    <row r="24">
      <c r="C24" s="246" t="s">
        <v>3099</v>
      </c>
      <c r="D24" s="246" t="s">
        <v>134</v>
      </c>
      <c r="K24" s="16" t="s">
        <v>3881</v>
      </c>
    </row>
    <row r="25">
      <c r="C25" s="246"/>
      <c r="D25" s="246" t="s">
        <v>143</v>
      </c>
      <c r="K25" s="16" t="s">
        <v>3881</v>
      </c>
    </row>
    <row r="26">
      <c r="C26" s="246"/>
      <c r="D26" s="246" t="s">
        <v>143</v>
      </c>
      <c r="K26" s="16" t="s">
        <v>3881</v>
      </c>
    </row>
    <row r="27">
      <c r="C27" s="246"/>
      <c r="D27" s="246" t="s">
        <v>143</v>
      </c>
      <c r="K27" s="16" t="s">
        <v>3881</v>
      </c>
    </row>
    <row r="28">
      <c r="C28" s="246"/>
      <c r="D28" s="246" t="s">
        <v>143</v>
      </c>
      <c r="K28" s="16" t="s">
        <v>3881</v>
      </c>
    </row>
    <row r="29">
      <c r="C29" s="246" t="s">
        <v>1614</v>
      </c>
      <c r="D29" s="246" t="s">
        <v>143</v>
      </c>
      <c r="K29" s="16" t="s">
        <v>3881</v>
      </c>
    </row>
    <row r="30">
      <c r="C30" s="246"/>
      <c r="D30" s="246" t="s">
        <v>248</v>
      </c>
      <c r="K30" s="16" t="s">
        <v>3881</v>
      </c>
    </row>
    <row r="31">
      <c r="C31" s="246"/>
      <c r="D31" s="246" t="s">
        <v>218</v>
      </c>
      <c r="K31" s="16" t="s">
        <v>3881</v>
      </c>
    </row>
    <row r="32">
      <c r="C32" s="246" t="s">
        <v>1608</v>
      </c>
      <c r="D32" s="246" t="s">
        <v>358</v>
      </c>
      <c r="K32" s="16" t="s">
        <v>3881</v>
      </c>
    </row>
    <row r="33">
      <c r="C33" s="246"/>
      <c r="D33" s="246" t="s">
        <v>153</v>
      </c>
      <c r="K33" s="16" t="s">
        <v>3881</v>
      </c>
    </row>
    <row r="34">
      <c r="C34" s="246"/>
      <c r="D34" s="246"/>
    </row>
    <row r="35">
      <c r="C35" s="246"/>
      <c r="D35" s="246"/>
    </row>
    <row r="36">
      <c r="C36" s="246"/>
      <c r="D36" s="246"/>
    </row>
    <row r="37">
      <c r="C37" s="246"/>
      <c r="D37" s="246"/>
    </row>
    <row r="38">
      <c r="C38" s="246"/>
      <c r="D38" s="246"/>
    </row>
    <row r="39">
      <c r="C39" s="246"/>
      <c r="D39" s="246"/>
    </row>
    <row r="40">
      <c r="C40" s="246"/>
      <c r="D40" s="246"/>
    </row>
    <row r="41">
      <c r="C41" s="246"/>
      <c r="D41" s="246"/>
    </row>
    <row r="42">
      <c r="C42" s="246"/>
      <c r="D42" s="246"/>
    </row>
    <row r="43">
      <c r="C43" s="246"/>
      <c r="D43" s="246"/>
    </row>
    <row r="44">
      <c r="C44" s="246"/>
      <c r="D44" s="246"/>
    </row>
    <row r="45">
      <c r="C45" s="246"/>
      <c r="D45" s="246"/>
    </row>
    <row r="46">
      <c r="C46" s="246"/>
      <c r="D46" s="246"/>
    </row>
    <row r="47">
      <c r="C47" s="246"/>
      <c r="D47" s="246"/>
    </row>
    <row r="48">
      <c r="C48" s="246"/>
      <c r="D48" s="246"/>
    </row>
    <row r="49">
      <c r="C49" s="246"/>
      <c r="D49" s="246"/>
    </row>
    <row r="50">
      <c r="C50" s="246"/>
      <c r="D50" s="246"/>
    </row>
    <row r="51">
      <c r="C51" s="246"/>
      <c r="D51" s="246"/>
    </row>
    <row r="52">
      <c r="C52" s="246"/>
      <c r="D52" s="246"/>
    </row>
    <row r="53">
      <c r="C53" s="246"/>
      <c r="D53" s="246"/>
    </row>
    <row r="54">
      <c r="C54" s="246"/>
      <c r="D54" s="246"/>
    </row>
    <row r="55">
      <c r="C55" s="246"/>
      <c r="D55" s="246"/>
    </row>
    <row r="56">
      <c r="C56" s="246"/>
      <c r="D56" s="246"/>
    </row>
    <row r="57">
      <c r="C57" s="246"/>
      <c r="D57" s="246"/>
    </row>
    <row r="58">
      <c r="C58" s="246"/>
      <c r="D58" s="246"/>
    </row>
    <row r="59">
      <c r="C59" s="246"/>
      <c r="D59" s="246"/>
    </row>
    <row r="60">
      <c r="C60" s="246"/>
      <c r="D60" s="246"/>
    </row>
    <row r="61">
      <c r="C61" s="246"/>
      <c r="D61" s="246"/>
    </row>
    <row r="62">
      <c r="C62" s="246"/>
      <c r="D62" s="246"/>
    </row>
    <row r="63">
      <c r="C63" s="246"/>
      <c r="D63" s="246"/>
    </row>
    <row r="64">
      <c r="C64" s="246"/>
      <c r="D64" s="246"/>
    </row>
    <row r="65">
      <c r="C65" s="246"/>
      <c r="D65" s="246"/>
    </row>
    <row r="66">
      <c r="C66" s="246"/>
      <c r="D66" s="246"/>
    </row>
    <row r="67">
      <c r="C67" s="246"/>
      <c r="D67" s="246"/>
    </row>
    <row r="68">
      <c r="C68" s="246"/>
      <c r="D68" s="246"/>
    </row>
    <row r="69">
      <c r="C69" s="246"/>
      <c r="D69" s="246"/>
    </row>
    <row r="70">
      <c r="C70" s="246"/>
      <c r="D70" s="246"/>
    </row>
    <row r="71">
      <c r="C71" s="246"/>
      <c r="D71" s="246"/>
    </row>
    <row r="72">
      <c r="C72" s="246"/>
      <c r="D72" s="246"/>
    </row>
    <row r="73">
      <c r="C73" s="246"/>
      <c r="D73" s="246"/>
    </row>
    <row r="74">
      <c r="C74" s="246"/>
      <c r="D74" s="246"/>
    </row>
    <row r="75">
      <c r="C75" s="246"/>
      <c r="D75" s="246"/>
    </row>
    <row r="76">
      <c r="C76" s="246"/>
      <c r="D76" s="246"/>
    </row>
    <row r="77">
      <c r="C77" s="246"/>
      <c r="D77" s="246"/>
    </row>
    <row r="78">
      <c r="C78" s="246"/>
      <c r="D78" s="246"/>
    </row>
    <row r="79">
      <c r="C79" s="246"/>
      <c r="D79" s="246"/>
    </row>
    <row r="80">
      <c r="C80" s="246"/>
      <c r="D80" s="246"/>
    </row>
    <row r="81">
      <c r="C81" s="246"/>
      <c r="D81" s="246"/>
    </row>
    <row r="82">
      <c r="C82" s="246"/>
      <c r="D82" s="246"/>
    </row>
    <row r="83">
      <c r="C83" s="246"/>
      <c r="D83" s="246"/>
    </row>
    <row r="84">
      <c r="C84" s="246"/>
      <c r="D84" s="246"/>
    </row>
    <row r="85">
      <c r="C85" s="246"/>
      <c r="D85" s="246"/>
    </row>
    <row r="86">
      <c r="C86" s="246"/>
      <c r="D86" s="246"/>
    </row>
    <row r="87">
      <c r="C87" s="246"/>
      <c r="D87" s="246"/>
    </row>
    <row r="88">
      <c r="C88" s="246"/>
      <c r="D88" s="246"/>
    </row>
    <row r="89">
      <c r="C89" s="246"/>
      <c r="D89" s="246"/>
    </row>
    <row r="90">
      <c r="C90" s="246"/>
      <c r="D90" s="246"/>
    </row>
    <row r="91">
      <c r="C91" s="246"/>
      <c r="D91" s="246"/>
    </row>
    <row r="92">
      <c r="C92" s="246"/>
      <c r="D92" s="246"/>
    </row>
    <row r="93">
      <c r="C93" s="246"/>
      <c r="D93" s="246"/>
    </row>
    <row r="94">
      <c r="C94" s="246"/>
      <c r="D94" s="246"/>
    </row>
    <row r="95">
      <c r="C95" s="246"/>
      <c r="D95" s="246"/>
    </row>
    <row r="96">
      <c r="C96" s="246"/>
      <c r="D96" s="246"/>
    </row>
    <row r="97">
      <c r="C97" s="246"/>
      <c r="D97" s="246"/>
    </row>
    <row r="98">
      <c r="C98" s="246"/>
      <c r="D98" s="246"/>
    </row>
    <row r="99">
      <c r="C99" s="246"/>
      <c r="D99" s="246"/>
    </row>
    <row r="100">
      <c r="C100" s="246"/>
      <c r="D100" s="246"/>
    </row>
    <row r="101">
      <c r="C101" s="246"/>
      <c r="D101" s="246"/>
    </row>
    <row r="102">
      <c r="C102" s="246"/>
      <c r="D102" s="246"/>
    </row>
    <row r="103">
      <c r="C103" s="246"/>
      <c r="D103" s="246"/>
    </row>
    <row r="104">
      <c r="C104" s="246"/>
      <c r="D104" s="246"/>
    </row>
    <row r="105">
      <c r="C105" s="246"/>
      <c r="D105" s="246"/>
    </row>
    <row r="106">
      <c r="C106" s="246"/>
      <c r="D106" s="246"/>
    </row>
    <row r="107">
      <c r="C107" s="246"/>
      <c r="D107" s="246"/>
    </row>
    <row r="108">
      <c r="C108" s="246"/>
      <c r="D108" s="246"/>
    </row>
    <row r="109">
      <c r="C109" s="246"/>
      <c r="D109" s="246"/>
    </row>
    <row r="110">
      <c r="C110" s="246"/>
      <c r="D110" s="246"/>
    </row>
    <row r="111">
      <c r="C111" s="246"/>
      <c r="D111" s="246"/>
    </row>
    <row r="112">
      <c r="C112" s="246"/>
      <c r="D112" s="246"/>
    </row>
    <row r="113">
      <c r="C113" s="246"/>
      <c r="D113" s="246"/>
    </row>
    <row r="114">
      <c r="C114" s="246"/>
      <c r="D114" s="246"/>
    </row>
    <row r="115">
      <c r="C115" s="246"/>
      <c r="D115" s="246"/>
    </row>
    <row r="116">
      <c r="C116" s="246"/>
      <c r="D116" s="246"/>
    </row>
    <row r="117">
      <c r="C117" s="246"/>
      <c r="D117" s="246"/>
    </row>
    <row r="118">
      <c r="C118" s="246"/>
      <c r="D118" s="246"/>
    </row>
    <row r="119">
      <c r="C119" s="246"/>
      <c r="D119" s="246"/>
    </row>
    <row r="120">
      <c r="C120" s="246"/>
      <c r="D120" s="246"/>
    </row>
    <row r="121">
      <c r="C121" s="246"/>
      <c r="D121" s="246"/>
    </row>
    <row r="122">
      <c r="C122" s="246"/>
      <c r="D122" s="246"/>
    </row>
    <row r="123">
      <c r="C123" s="246"/>
      <c r="D123" s="246"/>
    </row>
    <row r="124">
      <c r="C124" s="246"/>
      <c r="D124" s="246"/>
    </row>
    <row r="125">
      <c r="C125" s="246"/>
      <c r="D125" s="246"/>
    </row>
    <row r="126">
      <c r="C126" s="246"/>
      <c r="D126" s="246"/>
    </row>
    <row r="127">
      <c r="C127" s="246"/>
      <c r="D127" s="246"/>
    </row>
    <row r="128">
      <c r="C128" s="246"/>
      <c r="D128" s="246"/>
    </row>
    <row r="129">
      <c r="C129" s="246"/>
      <c r="D129" s="246"/>
    </row>
    <row r="130">
      <c r="C130" s="246"/>
      <c r="D130" s="246"/>
    </row>
    <row r="131">
      <c r="C131" s="246"/>
      <c r="D131" s="246"/>
    </row>
    <row r="132">
      <c r="C132" s="246"/>
      <c r="D132" s="246"/>
    </row>
    <row r="133">
      <c r="C133" s="246"/>
      <c r="D133" s="246"/>
    </row>
    <row r="134">
      <c r="C134" s="246"/>
      <c r="D134" s="246"/>
    </row>
    <row r="135">
      <c r="C135" s="246"/>
      <c r="D135" s="246"/>
    </row>
    <row r="136">
      <c r="C136" s="246"/>
      <c r="D136" s="246"/>
    </row>
    <row r="137">
      <c r="C137" s="246"/>
      <c r="D137" s="246"/>
    </row>
    <row r="138">
      <c r="C138" s="246"/>
      <c r="D138" s="246"/>
    </row>
    <row r="139">
      <c r="C139" s="246"/>
      <c r="D139" s="246"/>
    </row>
    <row r="140">
      <c r="C140" s="246"/>
      <c r="D140" s="246"/>
    </row>
    <row r="141">
      <c r="C141" s="246"/>
      <c r="D141" s="246"/>
    </row>
    <row r="142">
      <c r="C142" s="246"/>
      <c r="D142" s="246"/>
    </row>
    <row r="143">
      <c r="C143" s="246"/>
      <c r="D143" s="246"/>
    </row>
    <row r="144">
      <c r="C144" s="246"/>
      <c r="D144" s="246"/>
    </row>
    <row r="145">
      <c r="C145" s="246"/>
      <c r="D145" s="246"/>
    </row>
    <row r="146">
      <c r="C146" s="246"/>
      <c r="D146" s="246"/>
    </row>
    <row r="147">
      <c r="C147" s="246"/>
      <c r="D147" s="246"/>
    </row>
    <row r="148">
      <c r="C148" s="246"/>
      <c r="D148" s="246"/>
    </row>
    <row r="149">
      <c r="C149" s="246"/>
      <c r="D149" s="246"/>
    </row>
    <row r="150">
      <c r="C150" s="246"/>
      <c r="D150" s="246"/>
    </row>
    <row r="151">
      <c r="C151" s="246"/>
      <c r="D151" s="246"/>
    </row>
    <row r="152">
      <c r="C152" s="246"/>
      <c r="D152" s="246"/>
    </row>
    <row r="153">
      <c r="C153" s="246"/>
      <c r="D153" s="246"/>
    </row>
    <row r="154">
      <c r="C154" s="246"/>
      <c r="D154" s="246"/>
    </row>
    <row r="155">
      <c r="C155" s="246"/>
      <c r="D155" s="246"/>
    </row>
    <row r="156">
      <c r="C156" s="246"/>
      <c r="D156" s="246"/>
    </row>
    <row r="157">
      <c r="C157" s="246"/>
      <c r="D157" s="246"/>
    </row>
    <row r="158">
      <c r="C158" s="246"/>
      <c r="D158" s="246"/>
    </row>
    <row r="159">
      <c r="C159" s="246"/>
      <c r="D159" s="246"/>
    </row>
    <row r="160">
      <c r="C160" s="246"/>
      <c r="D160" s="246"/>
    </row>
    <row r="161">
      <c r="C161" s="246"/>
      <c r="D161" s="246"/>
    </row>
    <row r="162">
      <c r="C162" s="246"/>
      <c r="D162" s="246"/>
    </row>
    <row r="163">
      <c r="C163" s="246"/>
      <c r="D163" s="246"/>
    </row>
    <row r="164">
      <c r="C164" s="246"/>
      <c r="D164" s="246"/>
    </row>
    <row r="165">
      <c r="C165" s="246"/>
      <c r="D165" s="246"/>
    </row>
    <row r="166">
      <c r="C166" s="246"/>
      <c r="D166" s="246"/>
    </row>
    <row r="167">
      <c r="C167" s="246"/>
      <c r="D167" s="246"/>
    </row>
    <row r="168">
      <c r="C168" s="246"/>
      <c r="D168" s="246"/>
    </row>
    <row r="169">
      <c r="C169" s="246"/>
      <c r="D169" s="246"/>
    </row>
    <row r="170">
      <c r="C170" s="246"/>
      <c r="D170" s="246"/>
    </row>
    <row r="171">
      <c r="C171" s="246"/>
      <c r="D171" s="246"/>
    </row>
    <row r="172">
      <c r="C172" s="246"/>
      <c r="D172" s="246"/>
    </row>
    <row r="173">
      <c r="C173" s="246"/>
      <c r="D173" s="246"/>
    </row>
    <row r="174">
      <c r="C174" s="246"/>
      <c r="D174" s="246"/>
    </row>
    <row r="175">
      <c r="C175" s="246"/>
      <c r="D175" s="246"/>
    </row>
    <row r="176">
      <c r="C176" s="246"/>
      <c r="D176" s="246"/>
    </row>
    <row r="177">
      <c r="C177" s="246"/>
      <c r="D177" s="246"/>
    </row>
    <row r="178">
      <c r="C178" s="246"/>
      <c r="D178" s="246"/>
    </row>
    <row r="179">
      <c r="C179" s="246"/>
      <c r="D179" s="246"/>
    </row>
    <row r="180">
      <c r="C180" s="246"/>
      <c r="D180" s="246"/>
    </row>
    <row r="181">
      <c r="C181" s="246"/>
      <c r="D181" s="246"/>
    </row>
    <row r="182">
      <c r="C182" s="246"/>
      <c r="D182" s="246"/>
    </row>
    <row r="183">
      <c r="C183" s="246"/>
      <c r="D183" s="246"/>
    </row>
    <row r="184">
      <c r="C184" s="246"/>
      <c r="D184" s="246"/>
    </row>
    <row r="185">
      <c r="C185" s="246"/>
      <c r="D185" s="246"/>
    </row>
    <row r="186">
      <c r="C186" s="246"/>
      <c r="D186" s="246"/>
    </row>
    <row r="187">
      <c r="C187" s="246"/>
      <c r="D187" s="246"/>
    </row>
    <row r="188">
      <c r="C188" s="246"/>
      <c r="D188" s="246"/>
    </row>
    <row r="189">
      <c r="C189" s="246"/>
      <c r="D189" s="246"/>
    </row>
    <row r="190">
      <c r="C190" s="246"/>
      <c r="D190" s="246"/>
    </row>
    <row r="191">
      <c r="C191" s="246"/>
      <c r="D191" s="246"/>
    </row>
    <row r="192">
      <c r="C192" s="246"/>
      <c r="D192" s="246"/>
    </row>
    <row r="193">
      <c r="C193" s="246"/>
      <c r="D193" s="246"/>
    </row>
    <row r="194">
      <c r="C194" s="246"/>
      <c r="D194" s="246"/>
    </row>
    <row r="195">
      <c r="C195" s="246"/>
      <c r="D195" s="246"/>
    </row>
    <row r="196">
      <c r="C196" s="246"/>
      <c r="D196" s="246"/>
    </row>
    <row r="197">
      <c r="C197" s="246"/>
      <c r="D197" s="246"/>
    </row>
    <row r="198">
      <c r="C198" s="246"/>
      <c r="D198" s="246"/>
    </row>
    <row r="199">
      <c r="C199" s="246"/>
      <c r="D199" s="246"/>
    </row>
    <row r="200">
      <c r="C200" s="246"/>
      <c r="D200" s="246"/>
    </row>
    <row r="201">
      <c r="C201" s="246"/>
      <c r="D201" s="246"/>
    </row>
    <row r="202">
      <c r="C202" s="246"/>
      <c r="D202" s="246"/>
    </row>
    <row r="203">
      <c r="C203" s="246"/>
      <c r="D203" s="246"/>
    </row>
    <row r="204">
      <c r="C204" s="246"/>
      <c r="D204" s="246"/>
    </row>
    <row r="205">
      <c r="C205" s="246"/>
      <c r="D205" s="246"/>
    </row>
    <row r="206">
      <c r="C206" s="246"/>
      <c r="D206" s="246"/>
    </row>
    <row r="207">
      <c r="C207" s="246"/>
      <c r="D207" s="246"/>
    </row>
    <row r="208">
      <c r="C208" s="246"/>
      <c r="D208" s="246"/>
    </row>
    <row r="209">
      <c r="C209" s="246"/>
      <c r="D209" s="246"/>
    </row>
    <row r="210">
      <c r="C210" s="246"/>
      <c r="D210" s="246"/>
    </row>
    <row r="211">
      <c r="C211" s="246"/>
      <c r="D211" s="246"/>
    </row>
    <row r="212">
      <c r="C212" s="246"/>
      <c r="D212" s="246"/>
    </row>
    <row r="213">
      <c r="C213" s="246"/>
      <c r="D213" s="246"/>
    </row>
    <row r="214">
      <c r="C214" s="246"/>
      <c r="D214" s="246"/>
    </row>
    <row r="215">
      <c r="C215" s="246"/>
      <c r="D215" s="246"/>
    </row>
    <row r="216">
      <c r="C216" s="246"/>
      <c r="D216" s="246"/>
    </row>
    <row r="217">
      <c r="C217" s="246"/>
      <c r="D217" s="246"/>
    </row>
    <row r="218">
      <c r="C218" s="246"/>
      <c r="D218" s="246"/>
    </row>
    <row r="219">
      <c r="C219" s="246"/>
      <c r="D219" s="246"/>
    </row>
    <row r="220">
      <c r="C220" s="246"/>
      <c r="D220" s="246"/>
    </row>
    <row r="221">
      <c r="C221" s="246"/>
      <c r="D221" s="246"/>
    </row>
    <row r="222">
      <c r="C222" s="246"/>
      <c r="D222" s="246"/>
    </row>
    <row r="223">
      <c r="C223" s="246"/>
      <c r="D223" s="246"/>
    </row>
    <row r="224">
      <c r="C224" s="246"/>
      <c r="D224" s="246"/>
    </row>
    <row r="225">
      <c r="C225" s="246"/>
      <c r="D225" s="246"/>
    </row>
    <row r="226">
      <c r="C226" s="246"/>
      <c r="D226" s="246"/>
    </row>
    <row r="227">
      <c r="C227" s="246"/>
      <c r="D227" s="246"/>
    </row>
    <row r="228">
      <c r="C228" s="246"/>
      <c r="D228" s="246"/>
    </row>
    <row r="229">
      <c r="C229" s="246"/>
      <c r="D229" s="246"/>
    </row>
    <row r="230">
      <c r="C230" s="246"/>
      <c r="D230" s="246"/>
    </row>
    <row r="231">
      <c r="C231" s="246"/>
      <c r="D231" s="246"/>
    </row>
    <row r="232">
      <c r="C232" s="246"/>
      <c r="D232" s="246"/>
    </row>
    <row r="233">
      <c r="C233" s="246"/>
      <c r="D233" s="246"/>
    </row>
    <row r="234">
      <c r="C234" s="246"/>
      <c r="D234" s="246"/>
    </row>
    <row r="235">
      <c r="C235" s="246"/>
      <c r="D235" s="246"/>
    </row>
    <row r="236">
      <c r="C236" s="246"/>
      <c r="D236" s="246"/>
    </row>
    <row r="237">
      <c r="C237" s="246"/>
      <c r="D237" s="246"/>
    </row>
    <row r="238">
      <c r="C238" s="246"/>
      <c r="D238" s="246"/>
    </row>
    <row r="239">
      <c r="C239" s="246"/>
      <c r="D239" s="246"/>
    </row>
    <row r="240">
      <c r="C240" s="246"/>
      <c r="D240" s="246"/>
    </row>
    <row r="241">
      <c r="C241" s="246"/>
      <c r="D241" s="246"/>
    </row>
    <row r="242">
      <c r="C242" s="246"/>
      <c r="D242" s="246"/>
    </row>
    <row r="243">
      <c r="C243" s="246"/>
      <c r="D243" s="246"/>
    </row>
    <row r="244">
      <c r="C244" s="246"/>
      <c r="D244" s="246"/>
    </row>
    <row r="245">
      <c r="C245" s="246"/>
      <c r="D245" s="246"/>
    </row>
    <row r="246">
      <c r="C246" s="246"/>
      <c r="D246" s="246"/>
    </row>
    <row r="247">
      <c r="C247" s="246"/>
      <c r="D247" s="246"/>
    </row>
    <row r="248">
      <c r="C248" s="246"/>
      <c r="D248" s="246"/>
    </row>
    <row r="249">
      <c r="C249" s="246"/>
      <c r="D249" s="246"/>
    </row>
    <row r="250">
      <c r="C250" s="246"/>
      <c r="D250" s="246"/>
    </row>
    <row r="251">
      <c r="C251" s="246"/>
      <c r="D251" s="246"/>
    </row>
    <row r="252">
      <c r="C252" s="246"/>
      <c r="D252" s="246"/>
    </row>
    <row r="253">
      <c r="C253" s="246"/>
      <c r="D253" s="246"/>
    </row>
    <row r="254">
      <c r="C254" s="246"/>
      <c r="D254" s="246"/>
    </row>
    <row r="255">
      <c r="C255" s="246"/>
      <c r="D255" s="246"/>
    </row>
    <row r="256">
      <c r="C256" s="246"/>
      <c r="D256" s="246"/>
    </row>
    <row r="257">
      <c r="C257" s="246"/>
      <c r="D257" s="246"/>
    </row>
    <row r="258">
      <c r="C258" s="246"/>
      <c r="D258" s="246"/>
    </row>
    <row r="259">
      <c r="C259" s="246"/>
      <c r="D259" s="246"/>
    </row>
    <row r="260">
      <c r="C260" s="246"/>
      <c r="D260" s="246"/>
    </row>
    <row r="261">
      <c r="C261" s="246"/>
      <c r="D261" s="246"/>
    </row>
    <row r="262">
      <c r="C262" s="246"/>
      <c r="D262" s="246"/>
    </row>
    <row r="263">
      <c r="C263" s="246"/>
      <c r="D263" s="246"/>
    </row>
    <row r="264">
      <c r="C264" s="246"/>
      <c r="D264" s="246"/>
    </row>
    <row r="265">
      <c r="C265" s="246"/>
      <c r="D265" s="246"/>
    </row>
    <row r="266">
      <c r="C266" s="246"/>
      <c r="D266" s="246"/>
    </row>
    <row r="267">
      <c r="C267" s="246"/>
      <c r="D267" s="246"/>
    </row>
    <row r="268">
      <c r="C268" s="246"/>
      <c r="D268" s="246"/>
    </row>
    <row r="269">
      <c r="C269" s="246"/>
      <c r="D269" s="246"/>
    </row>
    <row r="270">
      <c r="C270" s="246"/>
      <c r="D270" s="246"/>
    </row>
    <row r="271">
      <c r="C271" s="246"/>
      <c r="D271" s="246"/>
    </row>
    <row r="272">
      <c r="C272" s="246"/>
      <c r="D272" s="246"/>
    </row>
    <row r="273">
      <c r="C273" s="246"/>
      <c r="D273" s="246"/>
    </row>
    <row r="274">
      <c r="C274" s="246"/>
      <c r="D274" s="246"/>
    </row>
    <row r="275">
      <c r="C275" s="246"/>
      <c r="D275" s="246"/>
    </row>
    <row r="276">
      <c r="C276" s="246"/>
      <c r="D276" s="246"/>
    </row>
    <row r="277">
      <c r="C277" s="246"/>
      <c r="D277" s="246"/>
    </row>
    <row r="278">
      <c r="C278" s="246"/>
      <c r="D278" s="246"/>
    </row>
    <row r="279">
      <c r="C279" s="246"/>
      <c r="D279" s="246"/>
    </row>
    <row r="280">
      <c r="C280" s="246"/>
      <c r="D280" s="246"/>
    </row>
    <row r="281">
      <c r="C281" s="246"/>
      <c r="D281" s="246"/>
    </row>
    <row r="282">
      <c r="C282" s="246"/>
      <c r="D282" s="246"/>
    </row>
    <row r="283">
      <c r="C283" s="246"/>
      <c r="D283" s="246"/>
    </row>
    <row r="284">
      <c r="C284" s="246"/>
      <c r="D284" s="246"/>
    </row>
    <row r="285">
      <c r="C285" s="246"/>
      <c r="D285" s="246"/>
    </row>
    <row r="286">
      <c r="C286" s="246"/>
      <c r="D286" s="246"/>
    </row>
    <row r="287">
      <c r="C287" s="246"/>
      <c r="D287" s="246"/>
    </row>
    <row r="288">
      <c r="C288" s="246"/>
      <c r="D288" s="246"/>
    </row>
    <row r="289">
      <c r="C289" s="246"/>
      <c r="D289" s="246"/>
    </row>
    <row r="290">
      <c r="C290" s="246"/>
      <c r="D290" s="246"/>
    </row>
    <row r="291">
      <c r="C291" s="246"/>
      <c r="D291" s="246"/>
    </row>
    <row r="292">
      <c r="C292" s="246"/>
      <c r="D292" s="246"/>
    </row>
    <row r="293">
      <c r="C293" s="246"/>
      <c r="D293" s="246"/>
    </row>
    <row r="294">
      <c r="C294" s="246"/>
      <c r="D294" s="246"/>
    </row>
    <row r="295">
      <c r="C295" s="246"/>
      <c r="D295" s="246"/>
    </row>
    <row r="296">
      <c r="C296" s="246"/>
      <c r="D296" s="246"/>
    </row>
    <row r="297">
      <c r="C297" s="246"/>
      <c r="D297" s="246"/>
    </row>
    <row r="298">
      <c r="C298" s="246"/>
      <c r="D298" s="246"/>
    </row>
    <row r="299">
      <c r="C299" s="246"/>
      <c r="D299" s="246"/>
    </row>
    <row r="300">
      <c r="C300" s="246"/>
      <c r="D300" s="246"/>
    </row>
    <row r="301">
      <c r="C301" s="246"/>
      <c r="D301" s="246"/>
    </row>
    <row r="302">
      <c r="C302" s="246"/>
      <c r="D302" s="246"/>
    </row>
    <row r="303">
      <c r="C303" s="246"/>
      <c r="D303" s="246"/>
    </row>
    <row r="304">
      <c r="C304" s="246"/>
      <c r="D304" s="246"/>
    </row>
    <row r="305">
      <c r="C305" s="246"/>
      <c r="D305" s="246"/>
    </row>
    <row r="306">
      <c r="C306" s="246"/>
      <c r="D306" s="246"/>
    </row>
    <row r="307">
      <c r="C307" s="246"/>
      <c r="D307" s="246"/>
    </row>
    <row r="308">
      <c r="C308" s="246"/>
      <c r="D308" s="246"/>
    </row>
    <row r="309">
      <c r="C309" s="246"/>
      <c r="D309" s="246"/>
    </row>
    <row r="310">
      <c r="C310" s="246"/>
      <c r="D310" s="246"/>
    </row>
    <row r="311">
      <c r="C311" s="246"/>
      <c r="D311" s="246"/>
    </row>
    <row r="312">
      <c r="C312" s="246"/>
      <c r="D312" s="246"/>
    </row>
    <row r="313">
      <c r="C313" s="246"/>
      <c r="D313" s="246"/>
    </row>
    <row r="314">
      <c r="C314" s="246"/>
      <c r="D314" s="246"/>
    </row>
    <row r="315">
      <c r="C315" s="246"/>
      <c r="D315" s="246"/>
    </row>
    <row r="316">
      <c r="C316" s="246"/>
      <c r="D316" s="246"/>
    </row>
    <row r="317">
      <c r="C317" s="246"/>
      <c r="D317" s="246"/>
    </row>
    <row r="318">
      <c r="C318" s="246"/>
      <c r="D318" s="246"/>
    </row>
    <row r="319">
      <c r="C319" s="246"/>
      <c r="D319" s="246"/>
    </row>
    <row r="320">
      <c r="C320" s="246"/>
      <c r="D320" s="246"/>
    </row>
    <row r="321">
      <c r="C321" s="246"/>
      <c r="D321" s="246"/>
    </row>
    <row r="322">
      <c r="C322" s="246"/>
      <c r="D322" s="246"/>
    </row>
    <row r="323">
      <c r="C323" s="246"/>
      <c r="D323" s="246"/>
    </row>
    <row r="324">
      <c r="C324" s="246"/>
      <c r="D324" s="246"/>
    </row>
    <row r="325">
      <c r="C325" s="246"/>
      <c r="D325" s="246"/>
    </row>
    <row r="326">
      <c r="C326" s="246"/>
      <c r="D326" s="246"/>
    </row>
    <row r="327">
      <c r="C327" s="246"/>
      <c r="D327" s="246"/>
    </row>
    <row r="328">
      <c r="C328" s="246"/>
      <c r="D328" s="246"/>
    </row>
    <row r="329">
      <c r="C329" s="246"/>
      <c r="D329" s="246"/>
    </row>
    <row r="330">
      <c r="C330" s="246"/>
      <c r="D330" s="246"/>
    </row>
    <row r="331">
      <c r="C331" s="246"/>
      <c r="D331" s="246"/>
    </row>
    <row r="332">
      <c r="C332" s="246"/>
      <c r="D332" s="246"/>
    </row>
    <row r="333">
      <c r="C333" s="246"/>
      <c r="D333" s="246"/>
    </row>
    <row r="334">
      <c r="C334" s="246"/>
      <c r="D334" s="246"/>
    </row>
    <row r="335">
      <c r="C335" s="246"/>
      <c r="D335" s="246"/>
    </row>
    <row r="336">
      <c r="C336" s="246"/>
      <c r="D336" s="246"/>
    </row>
    <row r="337">
      <c r="C337" s="246"/>
      <c r="D337" s="246"/>
    </row>
    <row r="338">
      <c r="C338" s="246"/>
      <c r="D338" s="246"/>
    </row>
    <row r="339">
      <c r="C339" s="246"/>
      <c r="D339" s="246"/>
    </row>
    <row r="340">
      <c r="C340" s="246"/>
      <c r="D340" s="246"/>
    </row>
    <row r="341">
      <c r="C341" s="246"/>
      <c r="D341" s="246"/>
    </row>
    <row r="342">
      <c r="C342" s="246"/>
      <c r="D342" s="246"/>
    </row>
    <row r="343">
      <c r="C343" s="246"/>
      <c r="D343" s="246"/>
    </row>
    <row r="344">
      <c r="C344" s="246"/>
      <c r="D344" s="246"/>
    </row>
    <row r="345">
      <c r="C345" s="246"/>
      <c r="D345" s="246"/>
    </row>
    <row r="346">
      <c r="C346" s="246"/>
      <c r="D346" s="246"/>
    </row>
    <row r="347">
      <c r="C347" s="246"/>
      <c r="D347" s="246"/>
    </row>
    <row r="348">
      <c r="C348" s="246"/>
      <c r="D348" s="246"/>
    </row>
    <row r="349">
      <c r="C349" s="246"/>
      <c r="D349" s="246"/>
    </row>
    <row r="350">
      <c r="C350" s="246"/>
      <c r="D350" s="246"/>
    </row>
    <row r="351">
      <c r="C351" s="246"/>
      <c r="D351" s="246"/>
    </row>
    <row r="352">
      <c r="C352" s="246"/>
      <c r="D352" s="246"/>
    </row>
    <row r="353">
      <c r="C353" s="246"/>
      <c r="D353" s="246"/>
    </row>
    <row r="354">
      <c r="C354" s="246"/>
      <c r="D354" s="246"/>
    </row>
    <row r="355">
      <c r="C355" s="246"/>
      <c r="D355" s="246"/>
    </row>
    <row r="356">
      <c r="C356" s="246"/>
      <c r="D356" s="246"/>
    </row>
    <row r="357">
      <c r="C357" s="246"/>
      <c r="D357" s="246"/>
    </row>
    <row r="358">
      <c r="C358" s="246"/>
      <c r="D358" s="246"/>
    </row>
    <row r="359">
      <c r="C359" s="246"/>
      <c r="D359" s="246"/>
    </row>
    <row r="360">
      <c r="C360" s="246"/>
      <c r="D360" s="246"/>
    </row>
    <row r="361">
      <c r="C361" s="246"/>
      <c r="D361" s="246"/>
    </row>
    <row r="362">
      <c r="C362" s="246"/>
      <c r="D362" s="246"/>
    </row>
    <row r="363">
      <c r="C363" s="246"/>
      <c r="D363" s="246"/>
    </row>
    <row r="364">
      <c r="C364" s="246"/>
      <c r="D364" s="246"/>
    </row>
    <row r="365">
      <c r="C365" s="246"/>
      <c r="D365" s="246"/>
    </row>
    <row r="366">
      <c r="C366" s="246"/>
      <c r="D366" s="246"/>
    </row>
    <row r="367">
      <c r="C367" s="246"/>
      <c r="D367" s="246"/>
    </row>
    <row r="368">
      <c r="C368" s="246"/>
      <c r="D368" s="246"/>
    </row>
    <row r="369">
      <c r="C369" s="246"/>
      <c r="D369" s="246"/>
    </row>
    <row r="370">
      <c r="C370" s="246"/>
      <c r="D370" s="246"/>
    </row>
    <row r="371">
      <c r="C371" s="246"/>
      <c r="D371" s="246"/>
    </row>
    <row r="372">
      <c r="C372" s="246"/>
      <c r="D372" s="246"/>
    </row>
    <row r="373">
      <c r="C373" s="246"/>
      <c r="D373" s="246"/>
    </row>
    <row r="374">
      <c r="C374" s="246"/>
      <c r="D374" s="246"/>
    </row>
    <row r="375">
      <c r="C375" s="246"/>
      <c r="D375" s="246"/>
    </row>
    <row r="376">
      <c r="C376" s="246"/>
      <c r="D376" s="246"/>
    </row>
    <row r="377">
      <c r="C377" s="246"/>
      <c r="D377" s="246"/>
    </row>
    <row r="378">
      <c r="C378" s="246"/>
      <c r="D378" s="246"/>
    </row>
    <row r="379">
      <c r="C379" s="246"/>
      <c r="D379" s="246"/>
    </row>
    <row r="380">
      <c r="C380" s="246"/>
      <c r="D380" s="246"/>
    </row>
    <row r="381">
      <c r="C381" s="246"/>
      <c r="D381" s="246"/>
    </row>
    <row r="382">
      <c r="C382" s="246"/>
      <c r="D382" s="246"/>
    </row>
    <row r="383">
      <c r="C383" s="246"/>
      <c r="D383" s="246"/>
    </row>
    <row r="384">
      <c r="C384" s="246"/>
      <c r="D384" s="246"/>
    </row>
    <row r="385">
      <c r="C385" s="246"/>
      <c r="D385" s="246"/>
    </row>
    <row r="386">
      <c r="C386" s="246"/>
      <c r="D386" s="246"/>
    </row>
    <row r="387">
      <c r="C387" s="246"/>
      <c r="D387" s="246"/>
    </row>
    <row r="388">
      <c r="C388" s="246"/>
      <c r="D388" s="246"/>
    </row>
    <row r="389">
      <c r="C389" s="246"/>
      <c r="D389" s="246"/>
    </row>
    <row r="390">
      <c r="C390" s="246"/>
      <c r="D390" s="246"/>
    </row>
    <row r="391">
      <c r="C391" s="246"/>
      <c r="D391" s="246"/>
    </row>
    <row r="392">
      <c r="C392" s="246"/>
      <c r="D392" s="246"/>
    </row>
    <row r="393">
      <c r="C393" s="246"/>
      <c r="D393" s="246"/>
    </row>
    <row r="394">
      <c r="C394" s="246"/>
      <c r="D394" s="246"/>
    </row>
    <row r="395">
      <c r="C395" s="246"/>
      <c r="D395" s="246"/>
    </row>
    <row r="396">
      <c r="C396" s="246"/>
      <c r="D396" s="246"/>
    </row>
    <row r="397">
      <c r="C397" s="246"/>
      <c r="D397" s="246"/>
    </row>
    <row r="398">
      <c r="C398" s="246"/>
      <c r="D398" s="246"/>
    </row>
    <row r="399">
      <c r="C399" s="246"/>
      <c r="D399" s="246"/>
    </row>
    <row r="400">
      <c r="C400" s="246"/>
      <c r="D400" s="246"/>
    </row>
    <row r="401">
      <c r="C401" s="246"/>
      <c r="D401" s="246"/>
    </row>
    <row r="402">
      <c r="C402" s="246"/>
      <c r="D402" s="246"/>
    </row>
    <row r="403">
      <c r="C403" s="246"/>
      <c r="D403" s="246"/>
    </row>
    <row r="404">
      <c r="C404" s="246"/>
      <c r="D404" s="246"/>
    </row>
    <row r="405">
      <c r="C405" s="246"/>
      <c r="D405" s="246"/>
    </row>
    <row r="406">
      <c r="C406" s="246"/>
      <c r="D406" s="246"/>
    </row>
    <row r="407">
      <c r="C407" s="246"/>
      <c r="D407" s="246"/>
    </row>
    <row r="408">
      <c r="C408" s="246"/>
      <c r="D408" s="246"/>
    </row>
    <row r="409">
      <c r="C409" s="246"/>
      <c r="D409" s="246"/>
    </row>
    <row r="410">
      <c r="C410" s="246"/>
      <c r="D410" s="246"/>
    </row>
    <row r="411">
      <c r="C411" s="246"/>
      <c r="D411" s="246"/>
    </row>
    <row r="412">
      <c r="C412" s="246"/>
      <c r="D412" s="246"/>
    </row>
    <row r="413">
      <c r="C413" s="246"/>
      <c r="D413" s="246"/>
    </row>
    <row r="414">
      <c r="C414" s="246"/>
      <c r="D414" s="246"/>
    </row>
    <row r="415">
      <c r="C415" s="246"/>
      <c r="D415" s="246"/>
    </row>
    <row r="416">
      <c r="C416" s="246"/>
      <c r="D416" s="246"/>
    </row>
    <row r="417">
      <c r="C417" s="246"/>
      <c r="D417" s="246"/>
    </row>
    <row r="418">
      <c r="C418" s="246"/>
      <c r="D418" s="246"/>
    </row>
    <row r="419">
      <c r="C419" s="246"/>
      <c r="D419" s="246"/>
    </row>
    <row r="420">
      <c r="C420" s="246"/>
      <c r="D420" s="246"/>
    </row>
    <row r="421">
      <c r="C421" s="246"/>
      <c r="D421" s="246"/>
    </row>
    <row r="422">
      <c r="C422" s="246"/>
      <c r="D422" s="246"/>
    </row>
    <row r="423">
      <c r="C423" s="246"/>
      <c r="D423" s="246"/>
    </row>
    <row r="424">
      <c r="C424" s="246"/>
      <c r="D424" s="246"/>
    </row>
    <row r="425">
      <c r="C425" s="246"/>
      <c r="D425" s="246"/>
    </row>
    <row r="426">
      <c r="C426" s="246"/>
      <c r="D426" s="246"/>
    </row>
    <row r="427">
      <c r="C427" s="246"/>
      <c r="D427" s="246"/>
    </row>
    <row r="428">
      <c r="C428" s="246"/>
      <c r="D428" s="246"/>
    </row>
    <row r="429">
      <c r="C429" s="246"/>
      <c r="D429" s="246"/>
    </row>
    <row r="430">
      <c r="C430" s="246"/>
      <c r="D430" s="246"/>
    </row>
    <row r="431">
      <c r="C431" s="246"/>
      <c r="D431" s="246"/>
    </row>
    <row r="432">
      <c r="C432" s="246"/>
      <c r="D432" s="246"/>
    </row>
    <row r="433">
      <c r="C433" s="246"/>
      <c r="D433" s="246"/>
    </row>
    <row r="434">
      <c r="C434" s="246"/>
      <c r="D434" s="246"/>
    </row>
    <row r="435">
      <c r="C435" s="246"/>
      <c r="D435" s="246"/>
    </row>
    <row r="436">
      <c r="C436" s="246"/>
      <c r="D436" s="246"/>
    </row>
    <row r="437">
      <c r="C437" s="246"/>
      <c r="D437" s="246"/>
    </row>
    <row r="438">
      <c r="C438" s="246"/>
      <c r="D438" s="246"/>
    </row>
    <row r="439">
      <c r="C439" s="246"/>
      <c r="D439" s="246"/>
    </row>
    <row r="440">
      <c r="C440" s="246"/>
      <c r="D440" s="246"/>
    </row>
    <row r="441">
      <c r="C441" s="246"/>
      <c r="D441" s="246"/>
    </row>
    <row r="442">
      <c r="C442" s="246"/>
      <c r="D442" s="246"/>
    </row>
    <row r="443">
      <c r="C443" s="246"/>
      <c r="D443" s="246"/>
    </row>
    <row r="444">
      <c r="C444" s="246"/>
      <c r="D444" s="246"/>
    </row>
    <row r="445">
      <c r="C445" s="246"/>
      <c r="D445" s="246"/>
    </row>
    <row r="446">
      <c r="C446" s="246"/>
      <c r="D446" s="246"/>
    </row>
    <row r="447">
      <c r="C447" s="246"/>
      <c r="D447" s="246"/>
    </row>
    <row r="448">
      <c r="C448" s="246"/>
      <c r="D448" s="246"/>
    </row>
    <row r="449">
      <c r="C449" s="246"/>
      <c r="D449" s="246"/>
    </row>
    <row r="450">
      <c r="C450" s="246"/>
      <c r="D450" s="246"/>
    </row>
    <row r="451">
      <c r="C451" s="246"/>
      <c r="D451" s="246"/>
    </row>
    <row r="452">
      <c r="C452" s="246"/>
      <c r="D452" s="246"/>
    </row>
    <row r="453">
      <c r="C453" s="246"/>
      <c r="D453" s="246"/>
    </row>
    <row r="454">
      <c r="C454" s="246"/>
      <c r="D454" s="246"/>
    </row>
    <row r="455">
      <c r="C455" s="246"/>
      <c r="D455" s="246"/>
    </row>
    <row r="456">
      <c r="C456" s="246"/>
      <c r="D456" s="246"/>
    </row>
    <row r="457">
      <c r="C457" s="246"/>
      <c r="D457" s="246"/>
    </row>
    <row r="458">
      <c r="C458" s="246"/>
      <c r="D458" s="246"/>
    </row>
    <row r="459">
      <c r="C459" s="246"/>
      <c r="D459" s="246"/>
    </row>
    <row r="460">
      <c r="C460" s="246"/>
      <c r="D460" s="246"/>
    </row>
    <row r="461">
      <c r="C461" s="246"/>
      <c r="D461" s="246"/>
    </row>
    <row r="462">
      <c r="C462" s="246"/>
      <c r="D462" s="246"/>
    </row>
    <row r="463">
      <c r="C463" s="246"/>
      <c r="D463" s="246"/>
    </row>
    <row r="464">
      <c r="C464" s="246"/>
      <c r="D464" s="246"/>
    </row>
    <row r="465">
      <c r="C465" s="246"/>
      <c r="D465" s="246"/>
    </row>
    <row r="466">
      <c r="C466" s="246"/>
      <c r="D466" s="246"/>
    </row>
    <row r="467">
      <c r="C467" s="246"/>
      <c r="D467" s="246"/>
    </row>
    <row r="468">
      <c r="C468" s="246"/>
      <c r="D468" s="246"/>
    </row>
    <row r="469">
      <c r="C469" s="246"/>
      <c r="D469" s="246"/>
    </row>
    <row r="470">
      <c r="C470" s="246"/>
      <c r="D470" s="246"/>
    </row>
    <row r="471">
      <c r="C471" s="246"/>
      <c r="D471" s="246"/>
    </row>
    <row r="472">
      <c r="C472" s="246"/>
      <c r="D472" s="246"/>
    </row>
    <row r="473">
      <c r="C473" s="246"/>
      <c r="D473" s="246"/>
    </row>
    <row r="474">
      <c r="C474" s="246"/>
      <c r="D474" s="246"/>
    </row>
    <row r="475">
      <c r="C475" s="246"/>
      <c r="D475" s="246"/>
    </row>
    <row r="476">
      <c r="C476" s="246"/>
      <c r="D476" s="246"/>
    </row>
    <row r="477">
      <c r="C477" s="246"/>
      <c r="D477" s="246"/>
    </row>
    <row r="478">
      <c r="C478" s="246"/>
      <c r="D478" s="246"/>
    </row>
    <row r="479">
      <c r="C479" s="246"/>
      <c r="D479" s="246"/>
    </row>
    <row r="480">
      <c r="C480" s="246"/>
      <c r="D480" s="246"/>
    </row>
    <row r="481">
      <c r="C481" s="246"/>
      <c r="D481" s="246"/>
    </row>
    <row r="482">
      <c r="C482" s="246"/>
      <c r="D482" s="246"/>
    </row>
    <row r="483">
      <c r="C483" s="246"/>
      <c r="D483" s="246"/>
    </row>
    <row r="484">
      <c r="C484" s="246"/>
      <c r="D484" s="246"/>
    </row>
    <row r="485">
      <c r="C485" s="246"/>
      <c r="D485" s="246"/>
    </row>
    <row r="486">
      <c r="C486" s="246"/>
      <c r="D486" s="246"/>
    </row>
    <row r="487">
      <c r="C487" s="246"/>
      <c r="D487" s="246"/>
    </row>
    <row r="488">
      <c r="C488" s="246"/>
      <c r="D488" s="246"/>
    </row>
    <row r="489">
      <c r="C489" s="246"/>
      <c r="D489" s="246"/>
    </row>
    <row r="490">
      <c r="C490" s="246"/>
      <c r="D490" s="246"/>
    </row>
    <row r="491">
      <c r="C491" s="246"/>
      <c r="D491" s="246"/>
    </row>
    <row r="492">
      <c r="C492" s="246"/>
      <c r="D492" s="246"/>
    </row>
    <row r="493">
      <c r="C493" s="246"/>
      <c r="D493" s="246"/>
    </row>
    <row r="494">
      <c r="C494" s="246"/>
      <c r="D494" s="246"/>
    </row>
    <row r="495">
      <c r="C495" s="246"/>
      <c r="D495" s="246"/>
    </row>
    <row r="496">
      <c r="C496" s="246"/>
      <c r="D496" s="246"/>
    </row>
    <row r="497">
      <c r="C497" s="246"/>
      <c r="D497" s="246"/>
    </row>
    <row r="498">
      <c r="C498" s="246"/>
      <c r="D498" s="246"/>
    </row>
    <row r="499">
      <c r="C499" s="246"/>
      <c r="D499" s="246"/>
    </row>
    <row r="500">
      <c r="C500" s="246"/>
      <c r="D500" s="246"/>
    </row>
    <row r="501">
      <c r="C501" s="246"/>
      <c r="D501" s="246"/>
    </row>
    <row r="502">
      <c r="C502" s="246"/>
      <c r="D502" s="246"/>
    </row>
    <row r="503">
      <c r="C503" s="246"/>
      <c r="D503" s="246"/>
    </row>
    <row r="504">
      <c r="C504" s="246"/>
      <c r="D504" s="246"/>
    </row>
    <row r="505">
      <c r="C505" s="246"/>
      <c r="D505" s="246"/>
    </row>
    <row r="506">
      <c r="C506" s="246"/>
      <c r="D506" s="246"/>
    </row>
    <row r="507">
      <c r="C507" s="246"/>
      <c r="D507" s="246"/>
    </row>
    <row r="508">
      <c r="C508" s="246"/>
      <c r="D508" s="246"/>
    </row>
    <row r="509">
      <c r="C509" s="246"/>
      <c r="D509" s="246"/>
    </row>
    <row r="510">
      <c r="C510" s="246"/>
      <c r="D510" s="246"/>
    </row>
    <row r="511">
      <c r="C511" s="246"/>
      <c r="D511" s="246"/>
    </row>
    <row r="512">
      <c r="C512" s="246"/>
      <c r="D512" s="246"/>
    </row>
    <row r="513">
      <c r="C513" s="246"/>
      <c r="D513" s="246"/>
    </row>
    <row r="514">
      <c r="C514" s="246"/>
      <c r="D514" s="246"/>
    </row>
    <row r="515">
      <c r="C515" s="246"/>
      <c r="D515" s="246"/>
    </row>
    <row r="516">
      <c r="C516" s="246"/>
      <c r="D516" s="246"/>
    </row>
    <row r="517">
      <c r="C517" s="246"/>
      <c r="D517" s="246"/>
    </row>
    <row r="518">
      <c r="C518" s="246"/>
      <c r="D518" s="246"/>
    </row>
    <row r="519">
      <c r="C519" s="246"/>
      <c r="D519" s="246"/>
    </row>
    <row r="520">
      <c r="C520" s="246"/>
      <c r="D520" s="246"/>
    </row>
    <row r="521">
      <c r="C521" s="246"/>
      <c r="D521" s="246"/>
    </row>
    <row r="522">
      <c r="C522" s="246"/>
      <c r="D522" s="246"/>
    </row>
    <row r="523">
      <c r="C523" s="246"/>
      <c r="D523" s="246"/>
    </row>
    <row r="524">
      <c r="C524" s="246"/>
      <c r="D524" s="246"/>
    </row>
    <row r="525">
      <c r="C525" s="246"/>
      <c r="D525" s="246"/>
    </row>
    <row r="526">
      <c r="C526" s="246"/>
      <c r="D526" s="246"/>
    </row>
    <row r="527">
      <c r="C527" s="246"/>
      <c r="D527" s="246"/>
    </row>
    <row r="528">
      <c r="C528" s="246"/>
      <c r="D528" s="246"/>
    </row>
    <row r="529">
      <c r="C529" s="246"/>
      <c r="D529" s="246"/>
    </row>
    <row r="530">
      <c r="C530" s="246"/>
      <c r="D530" s="246"/>
    </row>
    <row r="531">
      <c r="C531" s="246"/>
      <c r="D531" s="246"/>
    </row>
    <row r="532">
      <c r="C532" s="246"/>
      <c r="D532" s="246"/>
    </row>
    <row r="533">
      <c r="C533" s="246"/>
      <c r="D533" s="246"/>
    </row>
    <row r="534">
      <c r="C534" s="246"/>
      <c r="D534" s="246"/>
    </row>
    <row r="535">
      <c r="C535" s="246"/>
      <c r="D535" s="246"/>
    </row>
    <row r="536">
      <c r="C536" s="246"/>
      <c r="D536" s="246"/>
    </row>
    <row r="537">
      <c r="C537" s="246"/>
      <c r="D537" s="246"/>
    </row>
    <row r="538">
      <c r="C538" s="246"/>
      <c r="D538" s="246"/>
    </row>
    <row r="539">
      <c r="C539" s="246"/>
      <c r="D539" s="246"/>
    </row>
    <row r="540">
      <c r="C540" s="246"/>
      <c r="D540" s="246"/>
    </row>
    <row r="541">
      <c r="C541" s="246"/>
      <c r="D541" s="246"/>
    </row>
    <row r="542">
      <c r="C542" s="246"/>
      <c r="D542" s="246"/>
    </row>
    <row r="543">
      <c r="C543" s="246"/>
      <c r="D543" s="246"/>
    </row>
    <row r="544">
      <c r="C544" s="246"/>
      <c r="D544" s="246"/>
    </row>
    <row r="545">
      <c r="C545" s="246"/>
      <c r="D545" s="246"/>
    </row>
    <row r="546">
      <c r="C546" s="246"/>
      <c r="D546" s="246"/>
    </row>
    <row r="547">
      <c r="C547" s="246"/>
      <c r="D547" s="246"/>
    </row>
    <row r="548">
      <c r="C548" s="246"/>
      <c r="D548" s="246"/>
    </row>
    <row r="549">
      <c r="C549" s="246"/>
      <c r="D549" s="246"/>
    </row>
    <row r="550">
      <c r="C550" s="246"/>
      <c r="D550" s="246"/>
    </row>
    <row r="551">
      <c r="C551" s="246"/>
      <c r="D551" s="246"/>
    </row>
    <row r="552">
      <c r="C552" s="246"/>
      <c r="D552" s="246"/>
    </row>
    <row r="553">
      <c r="C553" s="246"/>
      <c r="D553" s="246"/>
    </row>
    <row r="554">
      <c r="C554" s="246"/>
      <c r="D554" s="246"/>
    </row>
    <row r="555">
      <c r="C555" s="246"/>
      <c r="D555" s="246"/>
    </row>
    <row r="556">
      <c r="C556" s="246"/>
      <c r="D556" s="246"/>
    </row>
    <row r="557">
      <c r="C557" s="246"/>
      <c r="D557" s="246"/>
    </row>
    <row r="558">
      <c r="C558" s="246"/>
      <c r="D558" s="246"/>
    </row>
    <row r="559">
      <c r="C559" s="246"/>
      <c r="D559" s="246"/>
    </row>
    <row r="560">
      <c r="C560" s="246"/>
      <c r="D560" s="246"/>
    </row>
    <row r="561">
      <c r="C561" s="246"/>
      <c r="D561" s="246"/>
    </row>
    <row r="562">
      <c r="C562" s="246"/>
      <c r="D562" s="246"/>
    </row>
    <row r="563">
      <c r="C563" s="246"/>
      <c r="D563" s="246"/>
    </row>
    <row r="564">
      <c r="C564" s="246"/>
      <c r="D564" s="246"/>
    </row>
    <row r="565">
      <c r="C565" s="246"/>
      <c r="D565" s="246"/>
    </row>
    <row r="566">
      <c r="C566" s="246"/>
      <c r="D566" s="246"/>
    </row>
    <row r="567">
      <c r="C567" s="246"/>
      <c r="D567" s="246"/>
    </row>
    <row r="568">
      <c r="C568" s="246"/>
      <c r="D568" s="246"/>
    </row>
    <row r="569">
      <c r="C569" s="246"/>
      <c r="D569" s="246"/>
    </row>
    <row r="570">
      <c r="C570" s="246"/>
      <c r="D570" s="246"/>
    </row>
    <row r="571">
      <c r="C571" s="246"/>
      <c r="D571" s="246"/>
    </row>
    <row r="572">
      <c r="C572" s="246"/>
      <c r="D572" s="246"/>
    </row>
    <row r="573">
      <c r="C573" s="246"/>
      <c r="D573" s="246"/>
    </row>
    <row r="574">
      <c r="C574" s="246"/>
      <c r="D574" s="246"/>
    </row>
    <row r="575">
      <c r="C575" s="246"/>
      <c r="D575" s="246"/>
    </row>
    <row r="576">
      <c r="C576" s="246"/>
      <c r="D576" s="246"/>
    </row>
    <row r="577">
      <c r="C577" s="246"/>
      <c r="D577" s="246"/>
    </row>
    <row r="578">
      <c r="C578" s="246"/>
      <c r="D578" s="246"/>
    </row>
    <row r="579">
      <c r="C579" s="246"/>
      <c r="D579" s="246"/>
    </row>
    <row r="580">
      <c r="C580" s="246"/>
      <c r="D580" s="246"/>
    </row>
    <row r="581">
      <c r="C581" s="246"/>
      <c r="D581" s="246"/>
    </row>
    <row r="582">
      <c r="C582" s="246"/>
      <c r="D582" s="246"/>
    </row>
    <row r="583">
      <c r="C583" s="246"/>
      <c r="D583" s="246"/>
    </row>
    <row r="584">
      <c r="C584" s="246"/>
      <c r="D584" s="246"/>
    </row>
    <row r="585">
      <c r="C585" s="246"/>
      <c r="D585" s="246"/>
    </row>
    <row r="586">
      <c r="C586" s="246"/>
      <c r="D586" s="246"/>
    </row>
    <row r="587">
      <c r="C587" s="246"/>
      <c r="D587" s="246"/>
    </row>
    <row r="588">
      <c r="C588" s="246"/>
      <c r="D588" s="246"/>
    </row>
    <row r="589">
      <c r="C589" s="246"/>
      <c r="D589" s="246"/>
    </row>
    <row r="590">
      <c r="C590" s="246"/>
      <c r="D590" s="246"/>
    </row>
    <row r="591">
      <c r="C591" s="246"/>
      <c r="D591" s="246"/>
    </row>
    <row r="592">
      <c r="C592" s="246"/>
      <c r="D592" s="246"/>
    </row>
    <row r="593">
      <c r="C593" s="246"/>
      <c r="D593" s="246"/>
    </row>
    <row r="594">
      <c r="C594" s="246"/>
      <c r="D594" s="246"/>
    </row>
    <row r="595">
      <c r="C595" s="246"/>
      <c r="D595" s="246"/>
    </row>
    <row r="596">
      <c r="C596" s="246"/>
      <c r="D596" s="246"/>
    </row>
    <row r="597">
      <c r="C597" s="246"/>
      <c r="D597" s="246"/>
    </row>
    <row r="598">
      <c r="C598" s="246"/>
      <c r="D598" s="246"/>
    </row>
    <row r="599">
      <c r="C599" s="246"/>
      <c r="D599" s="246"/>
    </row>
    <row r="600">
      <c r="C600" s="246"/>
      <c r="D600" s="246"/>
    </row>
    <row r="601">
      <c r="C601" s="246"/>
      <c r="D601" s="246"/>
    </row>
    <row r="602">
      <c r="C602" s="246"/>
      <c r="D602" s="246"/>
    </row>
    <row r="603">
      <c r="C603" s="246"/>
      <c r="D603" s="246"/>
    </row>
    <row r="604">
      <c r="C604" s="246"/>
      <c r="D604" s="246"/>
    </row>
    <row r="605">
      <c r="C605" s="246"/>
      <c r="D605" s="246"/>
    </row>
    <row r="606">
      <c r="C606" s="246"/>
      <c r="D606" s="246"/>
    </row>
    <row r="607">
      <c r="C607" s="246"/>
      <c r="D607" s="246"/>
    </row>
    <row r="608">
      <c r="C608" s="246"/>
      <c r="D608" s="246"/>
    </row>
    <row r="609">
      <c r="C609" s="246"/>
      <c r="D609" s="246"/>
    </row>
    <row r="610">
      <c r="C610" s="246"/>
      <c r="D610" s="246"/>
    </row>
    <row r="611">
      <c r="C611" s="246"/>
      <c r="D611" s="246"/>
    </row>
    <row r="612">
      <c r="C612" s="246"/>
      <c r="D612" s="246"/>
    </row>
    <row r="613">
      <c r="C613" s="246"/>
      <c r="D613" s="246"/>
    </row>
    <row r="614">
      <c r="C614" s="246"/>
      <c r="D614" s="246"/>
    </row>
    <row r="615">
      <c r="C615" s="246"/>
      <c r="D615" s="246"/>
    </row>
    <row r="616">
      <c r="C616" s="246"/>
      <c r="D616" s="246"/>
    </row>
    <row r="617">
      <c r="C617" s="246"/>
      <c r="D617" s="246"/>
    </row>
    <row r="618">
      <c r="C618" s="246"/>
      <c r="D618" s="246"/>
    </row>
    <row r="619">
      <c r="C619" s="246"/>
      <c r="D619" s="246"/>
    </row>
    <row r="620">
      <c r="C620" s="246"/>
      <c r="D620" s="246"/>
    </row>
    <row r="621">
      <c r="C621" s="246"/>
      <c r="D621" s="246"/>
    </row>
    <row r="622">
      <c r="C622" s="246"/>
      <c r="D622" s="246"/>
    </row>
    <row r="623">
      <c r="C623" s="246"/>
      <c r="D623" s="246"/>
    </row>
    <row r="624">
      <c r="C624" s="246"/>
      <c r="D624" s="246"/>
    </row>
    <row r="625">
      <c r="C625" s="246"/>
      <c r="D625" s="246"/>
    </row>
    <row r="626">
      <c r="C626" s="246"/>
      <c r="D626" s="246"/>
    </row>
    <row r="627">
      <c r="C627" s="246"/>
      <c r="D627" s="246"/>
    </row>
    <row r="628">
      <c r="C628" s="246"/>
      <c r="D628" s="246"/>
    </row>
    <row r="629">
      <c r="C629" s="246"/>
      <c r="D629" s="246"/>
    </row>
    <row r="630">
      <c r="C630" s="246"/>
      <c r="D630" s="246"/>
    </row>
    <row r="631">
      <c r="C631" s="246"/>
      <c r="D631" s="246"/>
    </row>
    <row r="632">
      <c r="C632" s="246"/>
      <c r="D632" s="246"/>
    </row>
    <row r="633">
      <c r="C633" s="246"/>
      <c r="D633" s="246"/>
    </row>
    <row r="634">
      <c r="C634" s="246"/>
      <c r="D634" s="246"/>
    </row>
    <row r="635">
      <c r="C635" s="246"/>
      <c r="D635" s="246"/>
    </row>
    <row r="636">
      <c r="C636" s="246"/>
      <c r="D636" s="246"/>
    </row>
    <row r="637">
      <c r="C637" s="246"/>
      <c r="D637" s="246"/>
    </row>
    <row r="638">
      <c r="C638" s="246"/>
      <c r="D638" s="246"/>
    </row>
    <row r="639">
      <c r="C639" s="246"/>
      <c r="D639" s="246"/>
    </row>
    <row r="640">
      <c r="C640" s="246"/>
      <c r="D640" s="246"/>
    </row>
    <row r="641">
      <c r="C641" s="246"/>
      <c r="D641" s="246"/>
    </row>
    <row r="642">
      <c r="C642" s="246"/>
      <c r="D642" s="246"/>
    </row>
    <row r="643">
      <c r="C643" s="246"/>
      <c r="D643" s="246"/>
    </row>
    <row r="644">
      <c r="C644" s="246"/>
      <c r="D644" s="246"/>
    </row>
    <row r="645">
      <c r="C645" s="246"/>
      <c r="D645" s="246"/>
    </row>
    <row r="646">
      <c r="C646" s="246"/>
      <c r="D646" s="246"/>
    </row>
    <row r="647">
      <c r="C647" s="246"/>
      <c r="D647" s="246"/>
    </row>
    <row r="648">
      <c r="C648" s="246"/>
      <c r="D648" s="246"/>
    </row>
    <row r="649">
      <c r="C649" s="246"/>
      <c r="D649" s="246"/>
    </row>
    <row r="650">
      <c r="C650" s="246"/>
      <c r="D650" s="246"/>
    </row>
    <row r="651">
      <c r="C651" s="246"/>
      <c r="D651" s="246"/>
    </row>
    <row r="652">
      <c r="C652" s="246"/>
      <c r="D652" s="246"/>
    </row>
    <row r="653">
      <c r="C653" s="246"/>
      <c r="D653" s="246"/>
    </row>
    <row r="654">
      <c r="C654" s="246"/>
      <c r="D654" s="246"/>
    </row>
    <row r="655">
      <c r="C655" s="246"/>
      <c r="D655" s="246"/>
    </row>
    <row r="656">
      <c r="C656" s="246"/>
      <c r="D656" s="246"/>
    </row>
    <row r="657">
      <c r="C657" s="246"/>
      <c r="D657" s="246"/>
    </row>
    <row r="658">
      <c r="C658" s="246"/>
      <c r="D658" s="246"/>
    </row>
    <row r="659">
      <c r="C659" s="246"/>
      <c r="D659" s="246"/>
    </row>
    <row r="660">
      <c r="C660" s="246"/>
      <c r="D660" s="246"/>
    </row>
    <row r="661">
      <c r="C661" s="246"/>
      <c r="D661" s="246"/>
    </row>
    <row r="662">
      <c r="C662" s="246"/>
      <c r="D662" s="246"/>
    </row>
    <row r="663">
      <c r="C663" s="246"/>
      <c r="D663" s="246"/>
    </row>
    <row r="664">
      <c r="C664" s="246"/>
      <c r="D664" s="246"/>
    </row>
    <row r="665">
      <c r="C665" s="246"/>
      <c r="D665" s="246"/>
    </row>
    <row r="666">
      <c r="C666" s="246"/>
      <c r="D666" s="246"/>
    </row>
    <row r="667">
      <c r="C667" s="246"/>
      <c r="D667" s="246"/>
    </row>
    <row r="668">
      <c r="C668" s="246"/>
      <c r="D668" s="246"/>
    </row>
    <row r="669">
      <c r="C669" s="246"/>
      <c r="D669" s="246"/>
    </row>
    <row r="670">
      <c r="C670" s="246"/>
      <c r="D670" s="246"/>
    </row>
    <row r="671">
      <c r="C671" s="246"/>
      <c r="D671" s="246"/>
    </row>
    <row r="672">
      <c r="C672" s="246"/>
      <c r="D672" s="246"/>
    </row>
    <row r="673">
      <c r="C673" s="246"/>
      <c r="D673" s="246"/>
    </row>
    <row r="674">
      <c r="C674" s="246"/>
      <c r="D674" s="246"/>
    </row>
    <row r="675">
      <c r="C675" s="246"/>
      <c r="D675" s="246"/>
    </row>
    <row r="676">
      <c r="C676" s="246"/>
      <c r="D676" s="246"/>
    </row>
    <row r="677">
      <c r="C677" s="246"/>
      <c r="D677" s="246"/>
    </row>
    <row r="678">
      <c r="C678" s="246"/>
      <c r="D678" s="246"/>
    </row>
    <row r="679">
      <c r="C679" s="246"/>
      <c r="D679" s="246"/>
    </row>
    <row r="680">
      <c r="C680" s="246"/>
      <c r="D680" s="246"/>
    </row>
    <row r="681">
      <c r="C681" s="246"/>
      <c r="D681" s="246"/>
    </row>
    <row r="682">
      <c r="C682" s="246"/>
      <c r="D682" s="246"/>
    </row>
    <row r="683">
      <c r="C683" s="246"/>
      <c r="D683" s="246"/>
    </row>
    <row r="684">
      <c r="C684" s="246"/>
      <c r="D684" s="246"/>
    </row>
    <row r="685">
      <c r="C685" s="246"/>
      <c r="D685" s="246"/>
    </row>
    <row r="686">
      <c r="C686" s="246"/>
      <c r="D686" s="246"/>
    </row>
    <row r="687">
      <c r="C687" s="246"/>
      <c r="D687" s="246"/>
    </row>
    <row r="688">
      <c r="C688" s="246"/>
      <c r="D688" s="246"/>
    </row>
    <row r="689">
      <c r="C689" s="246"/>
      <c r="D689" s="246"/>
    </row>
    <row r="690">
      <c r="C690" s="246"/>
      <c r="D690" s="246"/>
    </row>
    <row r="691">
      <c r="C691" s="246"/>
      <c r="D691" s="246"/>
    </row>
    <row r="692">
      <c r="C692" s="246"/>
      <c r="D692" s="246"/>
    </row>
    <row r="693">
      <c r="C693" s="246"/>
      <c r="D693" s="246"/>
    </row>
    <row r="694">
      <c r="C694" s="246"/>
      <c r="D694" s="246"/>
    </row>
    <row r="695">
      <c r="C695" s="246"/>
      <c r="D695" s="246"/>
    </row>
    <row r="696">
      <c r="C696" s="246"/>
      <c r="D696" s="246"/>
    </row>
    <row r="697">
      <c r="C697" s="246"/>
      <c r="D697" s="246"/>
    </row>
    <row r="698">
      <c r="C698" s="246"/>
      <c r="D698" s="246"/>
    </row>
    <row r="699">
      <c r="C699" s="246"/>
      <c r="D699" s="246"/>
    </row>
    <row r="700">
      <c r="C700" s="246"/>
      <c r="D700" s="246"/>
    </row>
    <row r="701">
      <c r="C701" s="246"/>
      <c r="D701" s="246"/>
    </row>
    <row r="702">
      <c r="C702" s="246"/>
      <c r="D702" s="246"/>
    </row>
    <row r="703">
      <c r="C703" s="246"/>
      <c r="D703" s="246"/>
    </row>
    <row r="704">
      <c r="C704" s="246"/>
      <c r="D704" s="246"/>
    </row>
    <row r="705">
      <c r="C705" s="246"/>
      <c r="D705" s="246"/>
    </row>
    <row r="706">
      <c r="C706" s="246"/>
      <c r="D706" s="246"/>
    </row>
    <row r="707">
      <c r="C707" s="246"/>
      <c r="D707" s="246"/>
    </row>
    <row r="708">
      <c r="C708" s="246"/>
      <c r="D708" s="246"/>
    </row>
    <row r="709">
      <c r="C709" s="246"/>
      <c r="D709" s="246"/>
    </row>
    <row r="710">
      <c r="C710" s="246"/>
      <c r="D710" s="246"/>
    </row>
    <row r="711">
      <c r="C711" s="246"/>
      <c r="D711" s="246"/>
    </row>
    <row r="712">
      <c r="C712" s="246"/>
      <c r="D712" s="246"/>
    </row>
    <row r="713">
      <c r="C713" s="246"/>
      <c r="D713" s="246"/>
    </row>
    <row r="714">
      <c r="C714" s="246"/>
      <c r="D714" s="246"/>
    </row>
    <row r="715">
      <c r="C715" s="246"/>
      <c r="D715" s="246"/>
    </row>
    <row r="716">
      <c r="C716" s="246"/>
      <c r="D716" s="246"/>
    </row>
    <row r="717">
      <c r="C717" s="246"/>
      <c r="D717" s="246"/>
    </row>
    <row r="718">
      <c r="C718" s="246"/>
      <c r="D718" s="246"/>
    </row>
    <row r="719">
      <c r="C719" s="246"/>
      <c r="D719" s="246"/>
    </row>
    <row r="720">
      <c r="C720" s="246"/>
      <c r="D720" s="246"/>
    </row>
    <row r="721">
      <c r="C721" s="246"/>
      <c r="D721" s="246"/>
    </row>
    <row r="722">
      <c r="C722" s="246"/>
      <c r="D722" s="246"/>
    </row>
    <row r="723">
      <c r="C723" s="246"/>
      <c r="D723" s="246"/>
    </row>
    <row r="724">
      <c r="C724" s="246"/>
      <c r="D724" s="246"/>
    </row>
    <row r="725">
      <c r="C725" s="246"/>
      <c r="D725" s="246"/>
    </row>
    <row r="726">
      <c r="C726" s="246"/>
      <c r="D726" s="246"/>
    </row>
    <row r="727">
      <c r="C727" s="246"/>
      <c r="D727" s="246"/>
    </row>
    <row r="728">
      <c r="C728" s="246"/>
      <c r="D728" s="246"/>
    </row>
    <row r="729">
      <c r="C729" s="246"/>
      <c r="D729" s="246"/>
    </row>
    <row r="730">
      <c r="C730" s="246"/>
      <c r="D730" s="246"/>
    </row>
    <row r="731">
      <c r="C731" s="246"/>
      <c r="D731" s="246"/>
    </row>
    <row r="732">
      <c r="C732" s="246"/>
      <c r="D732" s="246"/>
    </row>
    <row r="733">
      <c r="C733" s="246"/>
      <c r="D733" s="246"/>
    </row>
    <row r="734">
      <c r="C734" s="246"/>
      <c r="D734" s="246"/>
    </row>
    <row r="735">
      <c r="C735" s="246"/>
      <c r="D735" s="246"/>
    </row>
    <row r="736">
      <c r="C736" s="246"/>
      <c r="D736" s="246"/>
    </row>
    <row r="737">
      <c r="C737" s="246"/>
      <c r="D737" s="246"/>
    </row>
    <row r="738">
      <c r="C738" s="246"/>
      <c r="D738" s="246"/>
    </row>
    <row r="739">
      <c r="C739" s="246"/>
      <c r="D739" s="246"/>
    </row>
    <row r="740">
      <c r="C740" s="246"/>
      <c r="D740" s="246"/>
    </row>
    <row r="741">
      <c r="C741" s="246"/>
      <c r="D741" s="246"/>
    </row>
    <row r="742">
      <c r="C742" s="246"/>
      <c r="D742" s="246"/>
    </row>
    <row r="743">
      <c r="C743" s="246"/>
      <c r="D743" s="246"/>
    </row>
    <row r="744">
      <c r="C744" s="246"/>
      <c r="D744" s="246"/>
    </row>
    <row r="745">
      <c r="C745" s="246"/>
      <c r="D745" s="246"/>
    </row>
    <row r="746">
      <c r="C746" s="246"/>
      <c r="D746" s="246"/>
    </row>
    <row r="747">
      <c r="C747" s="246"/>
      <c r="D747" s="246"/>
    </row>
    <row r="748">
      <c r="C748" s="246"/>
      <c r="D748" s="246"/>
    </row>
    <row r="749">
      <c r="C749" s="246"/>
      <c r="D749" s="246"/>
    </row>
    <row r="750">
      <c r="C750" s="246"/>
      <c r="D750" s="246"/>
    </row>
    <row r="751">
      <c r="C751" s="246"/>
      <c r="D751" s="246"/>
    </row>
    <row r="752">
      <c r="C752" s="246"/>
      <c r="D752" s="246"/>
    </row>
    <row r="753">
      <c r="C753" s="246"/>
      <c r="D753" s="246"/>
    </row>
    <row r="754">
      <c r="C754" s="246"/>
      <c r="D754" s="246"/>
    </row>
    <row r="755">
      <c r="C755" s="246"/>
      <c r="D755" s="246"/>
    </row>
    <row r="756">
      <c r="C756" s="246"/>
      <c r="D756" s="246"/>
    </row>
    <row r="757">
      <c r="C757" s="246"/>
      <c r="D757" s="246"/>
    </row>
    <row r="758">
      <c r="C758" s="246"/>
      <c r="D758" s="246"/>
    </row>
    <row r="759">
      <c r="C759" s="246"/>
      <c r="D759" s="246"/>
    </row>
    <row r="760">
      <c r="C760" s="246"/>
      <c r="D760" s="246"/>
    </row>
    <row r="761">
      <c r="C761" s="246"/>
      <c r="D761" s="246"/>
    </row>
    <row r="762">
      <c r="C762" s="246"/>
      <c r="D762" s="246"/>
    </row>
    <row r="763">
      <c r="C763" s="246"/>
      <c r="D763" s="246"/>
    </row>
    <row r="764">
      <c r="C764" s="246"/>
      <c r="D764" s="246"/>
    </row>
    <row r="765">
      <c r="C765" s="246"/>
      <c r="D765" s="246"/>
    </row>
    <row r="766">
      <c r="C766" s="246"/>
      <c r="D766" s="246"/>
    </row>
    <row r="767">
      <c r="C767" s="246"/>
      <c r="D767" s="246"/>
    </row>
    <row r="768">
      <c r="C768" s="246"/>
      <c r="D768" s="246"/>
    </row>
    <row r="769">
      <c r="C769" s="246"/>
      <c r="D769" s="246"/>
    </row>
    <row r="770">
      <c r="C770" s="246"/>
      <c r="D770" s="246"/>
    </row>
    <row r="771">
      <c r="C771" s="246"/>
      <c r="D771" s="246"/>
    </row>
    <row r="772">
      <c r="C772" s="246"/>
      <c r="D772" s="246"/>
    </row>
    <row r="773">
      <c r="C773" s="246"/>
      <c r="D773" s="246"/>
    </row>
    <row r="774">
      <c r="C774" s="246"/>
      <c r="D774" s="246"/>
    </row>
    <row r="775">
      <c r="C775" s="246"/>
      <c r="D775" s="246"/>
    </row>
    <row r="776">
      <c r="C776" s="246"/>
      <c r="D776" s="246"/>
    </row>
    <row r="777">
      <c r="C777" s="246"/>
      <c r="D777" s="246"/>
    </row>
    <row r="778">
      <c r="C778" s="246"/>
      <c r="D778" s="246"/>
    </row>
    <row r="779">
      <c r="C779" s="246"/>
      <c r="D779" s="246"/>
    </row>
    <row r="780">
      <c r="C780" s="246"/>
      <c r="D780" s="246"/>
    </row>
    <row r="781">
      <c r="C781" s="246"/>
      <c r="D781" s="246"/>
    </row>
    <row r="782">
      <c r="C782" s="246"/>
      <c r="D782" s="246"/>
    </row>
    <row r="783">
      <c r="C783" s="246"/>
      <c r="D783" s="246"/>
    </row>
    <row r="784">
      <c r="C784" s="246"/>
      <c r="D784" s="246"/>
    </row>
    <row r="785">
      <c r="C785" s="246"/>
      <c r="D785" s="246"/>
    </row>
    <row r="786">
      <c r="C786" s="246"/>
      <c r="D786" s="246"/>
    </row>
    <row r="787">
      <c r="C787" s="246"/>
      <c r="D787" s="246"/>
    </row>
    <row r="788">
      <c r="C788" s="246"/>
      <c r="D788" s="246"/>
    </row>
    <row r="789">
      <c r="C789" s="246"/>
      <c r="D789" s="246"/>
    </row>
    <row r="790">
      <c r="C790" s="246"/>
      <c r="D790" s="246"/>
    </row>
    <row r="791">
      <c r="C791" s="246"/>
      <c r="D791" s="246"/>
    </row>
    <row r="792">
      <c r="C792" s="246"/>
      <c r="D792" s="246"/>
    </row>
    <row r="793">
      <c r="C793" s="246"/>
      <c r="D793" s="246"/>
    </row>
    <row r="794">
      <c r="C794" s="246"/>
      <c r="D794" s="246"/>
    </row>
    <row r="795">
      <c r="C795" s="246"/>
      <c r="D795" s="246"/>
    </row>
    <row r="796">
      <c r="C796" s="246"/>
      <c r="D796" s="246"/>
    </row>
    <row r="797">
      <c r="C797" s="246"/>
      <c r="D797" s="246"/>
    </row>
    <row r="798">
      <c r="C798" s="246"/>
      <c r="D798" s="246"/>
    </row>
    <row r="799">
      <c r="C799" s="246"/>
      <c r="D799" s="246"/>
    </row>
    <row r="800">
      <c r="C800" s="246"/>
      <c r="D800" s="246"/>
    </row>
    <row r="801">
      <c r="C801" s="246"/>
      <c r="D801" s="246"/>
    </row>
    <row r="802">
      <c r="C802" s="246"/>
      <c r="D802" s="246"/>
    </row>
    <row r="803">
      <c r="C803" s="246"/>
      <c r="D803" s="246"/>
    </row>
    <row r="804">
      <c r="C804" s="246"/>
      <c r="D804" s="246"/>
    </row>
    <row r="805">
      <c r="C805" s="246"/>
      <c r="D805" s="246"/>
    </row>
    <row r="806">
      <c r="C806" s="246"/>
      <c r="D806" s="246"/>
    </row>
    <row r="807">
      <c r="C807" s="246"/>
      <c r="D807" s="246"/>
    </row>
    <row r="808">
      <c r="C808" s="246"/>
      <c r="D808" s="246"/>
    </row>
    <row r="809">
      <c r="C809" s="246"/>
      <c r="D809" s="246"/>
    </row>
    <row r="810">
      <c r="C810" s="246"/>
      <c r="D810" s="246"/>
    </row>
    <row r="811">
      <c r="C811" s="246"/>
      <c r="D811" s="246"/>
    </row>
    <row r="812">
      <c r="C812" s="246"/>
      <c r="D812" s="246"/>
    </row>
    <row r="813">
      <c r="C813" s="246"/>
      <c r="D813" s="246"/>
    </row>
    <row r="814">
      <c r="C814" s="246"/>
      <c r="D814" s="246"/>
    </row>
    <row r="815">
      <c r="C815" s="246"/>
      <c r="D815" s="246"/>
    </row>
    <row r="816">
      <c r="C816" s="246"/>
      <c r="D816" s="246"/>
    </row>
    <row r="817">
      <c r="C817" s="246"/>
      <c r="D817" s="246"/>
    </row>
    <row r="818">
      <c r="C818" s="246"/>
      <c r="D818" s="246"/>
    </row>
    <row r="819">
      <c r="C819" s="246"/>
      <c r="D819" s="246"/>
    </row>
    <row r="820">
      <c r="C820" s="246"/>
      <c r="D820" s="246"/>
    </row>
    <row r="821">
      <c r="C821" s="246"/>
      <c r="D821" s="246"/>
    </row>
    <row r="822">
      <c r="C822" s="246"/>
      <c r="D822" s="246"/>
    </row>
    <row r="823">
      <c r="C823" s="246"/>
      <c r="D823" s="246"/>
    </row>
    <row r="824">
      <c r="C824" s="246"/>
      <c r="D824" s="246"/>
    </row>
    <row r="825">
      <c r="C825" s="246"/>
      <c r="D825" s="246"/>
    </row>
    <row r="826">
      <c r="C826" s="246"/>
      <c r="D826" s="246"/>
    </row>
    <row r="827">
      <c r="C827" s="246"/>
      <c r="D827" s="246"/>
    </row>
    <row r="828">
      <c r="C828" s="246"/>
      <c r="D828" s="246"/>
    </row>
    <row r="829">
      <c r="C829" s="246"/>
      <c r="D829" s="246"/>
    </row>
    <row r="830">
      <c r="C830" s="246"/>
      <c r="D830" s="246"/>
    </row>
    <row r="831">
      <c r="C831" s="246"/>
      <c r="D831" s="246"/>
    </row>
    <row r="832">
      <c r="C832" s="246"/>
      <c r="D832" s="246"/>
    </row>
    <row r="833">
      <c r="C833" s="246"/>
      <c r="D833" s="246"/>
    </row>
    <row r="834">
      <c r="C834" s="246"/>
      <c r="D834" s="246"/>
    </row>
    <row r="835">
      <c r="C835" s="246"/>
      <c r="D835" s="246"/>
    </row>
    <row r="836">
      <c r="C836" s="246"/>
      <c r="D836" s="246"/>
    </row>
    <row r="837">
      <c r="C837" s="246"/>
      <c r="D837" s="246"/>
    </row>
    <row r="838">
      <c r="C838" s="246"/>
      <c r="D838" s="246"/>
    </row>
    <row r="839">
      <c r="C839" s="246"/>
      <c r="D839" s="246"/>
    </row>
    <row r="840">
      <c r="C840" s="246"/>
      <c r="D840" s="246"/>
    </row>
    <row r="841">
      <c r="C841" s="246"/>
      <c r="D841" s="246"/>
    </row>
    <row r="842">
      <c r="C842" s="246"/>
      <c r="D842" s="246"/>
    </row>
    <row r="843">
      <c r="C843" s="246"/>
      <c r="D843" s="246"/>
    </row>
    <row r="844">
      <c r="C844" s="246"/>
      <c r="D844" s="246"/>
    </row>
    <row r="845">
      <c r="C845" s="246"/>
      <c r="D845" s="246"/>
    </row>
    <row r="846">
      <c r="C846" s="246"/>
      <c r="D846" s="246"/>
    </row>
    <row r="847">
      <c r="C847" s="246"/>
      <c r="D847" s="246"/>
    </row>
    <row r="848">
      <c r="C848" s="246"/>
      <c r="D848" s="246"/>
    </row>
    <row r="849">
      <c r="C849" s="246"/>
      <c r="D849" s="246"/>
    </row>
    <row r="850">
      <c r="C850" s="246"/>
      <c r="D850" s="246"/>
    </row>
    <row r="851">
      <c r="C851" s="246"/>
      <c r="D851" s="246"/>
    </row>
    <row r="852">
      <c r="C852" s="246"/>
      <c r="D852" s="246"/>
    </row>
    <row r="853">
      <c r="C853" s="246"/>
      <c r="D853" s="246"/>
    </row>
    <row r="854">
      <c r="C854" s="246"/>
      <c r="D854" s="246"/>
    </row>
    <row r="855">
      <c r="C855" s="246"/>
      <c r="D855" s="246"/>
    </row>
    <row r="856">
      <c r="C856" s="246"/>
      <c r="D856" s="246"/>
    </row>
    <row r="857">
      <c r="C857" s="246"/>
      <c r="D857" s="246"/>
    </row>
    <row r="858">
      <c r="C858" s="246"/>
      <c r="D858" s="246"/>
    </row>
    <row r="859">
      <c r="C859" s="246"/>
      <c r="D859" s="246"/>
    </row>
    <row r="860">
      <c r="C860" s="246"/>
      <c r="D860" s="246"/>
    </row>
    <row r="861">
      <c r="C861" s="246"/>
      <c r="D861" s="246"/>
    </row>
    <row r="862">
      <c r="C862" s="246"/>
      <c r="D862" s="246"/>
    </row>
    <row r="863">
      <c r="C863" s="246"/>
      <c r="D863" s="246"/>
    </row>
    <row r="864">
      <c r="C864" s="246"/>
      <c r="D864" s="246"/>
    </row>
    <row r="865">
      <c r="C865" s="246"/>
      <c r="D865" s="246"/>
    </row>
    <row r="866">
      <c r="C866" s="246"/>
      <c r="D866" s="246"/>
    </row>
    <row r="867">
      <c r="C867" s="246"/>
      <c r="D867" s="246"/>
    </row>
    <row r="868">
      <c r="C868" s="246"/>
      <c r="D868" s="246"/>
    </row>
    <row r="869">
      <c r="C869" s="246"/>
      <c r="D869" s="246"/>
    </row>
    <row r="870">
      <c r="C870" s="246"/>
      <c r="D870" s="246"/>
    </row>
    <row r="871">
      <c r="C871" s="246"/>
      <c r="D871" s="246"/>
    </row>
    <row r="872">
      <c r="C872" s="246"/>
      <c r="D872" s="246"/>
    </row>
    <row r="873">
      <c r="C873" s="246"/>
      <c r="D873" s="246"/>
    </row>
    <row r="874">
      <c r="C874" s="246"/>
      <c r="D874" s="246"/>
    </row>
    <row r="875">
      <c r="C875" s="246"/>
      <c r="D875" s="246"/>
    </row>
    <row r="876">
      <c r="C876" s="246"/>
      <c r="D876" s="246"/>
    </row>
    <row r="877">
      <c r="C877" s="246"/>
      <c r="D877" s="246"/>
    </row>
    <row r="878">
      <c r="C878" s="246"/>
      <c r="D878" s="246"/>
    </row>
    <row r="879">
      <c r="C879" s="246"/>
      <c r="D879" s="246"/>
    </row>
    <row r="880">
      <c r="C880" s="246"/>
      <c r="D880" s="246"/>
    </row>
    <row r="881">
      <c r="C881" s="246"/>
      <c r="D881" s="246"/>
    </row>
    <row r="882">
      <c r="C882" s="246"/>
      <c r="D882" s="246"/>
    </row>
    <row r="883">
      <c r="C883" s="246"/>
      <c r="D883" s="246"/>
    </row>
    <row r="884">
      <c r="C884" s="246"/>
      <c r="D884" s="246"/>
    </row>
    <row r="885">
      <c r="C885" s="246"/>
      <c r="D885" s="246"/>
    </row>
    <row r="886">
      <c r="C886" s="246"/>
      <c r="D886" s="246"/>
    </row>
    <row r="887">
      <c r="C887" s="246"/>
      <c r="D887" s="246"/>
    </row>
    <row r="888">
      <c r="C888" s="246"/>
      <c r="D888" s="246"/>
    </row>
    <row r="889">
      <c r="C889" s="246"/>
      <c r="D889" s="246"/>
    </row>
    <row r="890">
      <c r="C890" s="246"/>
      <c r="D890" s="246"/>
    </row>
    <row r="891">
      <c r="C891" s="246"/>
      <c r="D891" s="246"/>
    </row>
    <row r="892">
      <c r="C892" s="246"/>
      <c r="D892" s="246"/>
    </row>
    <row r="893">
      <c r="C893" s="246"/>
      <c r="D893" s="246"/>
    </row>
    <row r="894">
      <c r="C894" s="246"/>
      <c r="D894" s="246"/>
    </row>
    <row r="895">
      <c r="C895" s="246"/>
      <c r="D895" s="246"/>
    </row>
    <row r="896">
      <c r="C896" s="246"/>
      <c r="D896" s="246"/>
    </row>
    <row r="897">
      <c r="C897" s="246"/>
      <c r="D897" s="246"/>
    </row>
    <row r="898">
      <c r="C898" s="246"/>
      <c r="D898" s="246"/>
    </row>
    <row r="899">
      <c r="C899" s="246"/>
      <c r="D899" s="246"/>
    </row>
    <row r="900">
      <c r="C900" s="246"/>
      <c r="D900" s="246"/>
    </row>
    <row r="901">
      <c r="C901" s="246"/>
      <c r="D901" s="246"/>
    </row>
    <row r="902">
      <c r="C902" s="246"/>
      <c r="D902" s="246"/>
    </row>
    <row r="903">
      <c r="C903" s="246"/>
      <c r="D903" s="246"/>
    </row>
    <row r="904">
      <c r="C904" s="246"/>
      <c r="D904" s="246"/>
    </row>
    <row r="905">
      <c r="C905" s="246"/>
      <c r="D905" s="246"/>
    </row>
    <row r="906">
      <c r="C906" s="246"/>
      <c r="D906" s="246"/>
    </row>
    <row r="907">
      <c r="C907" s="246"/>
      <c r="D907" s="246"/>
    </row>
    <row r="908">
      <c r="C908" s="246"/>
      <c r="D908" s="246"/>
    </row>
    <row r="909">
      <c r="C909" s="246"/>
      <c r="D909" s="246"/>
    </row>
    <row r="910">
      <c r="C910" s="246"/>
      <c r="D910" s="246"/>
    </row>
    <row r="911">
      <c r="C911" s="246"/>
      <c r="D911" s="246"/>
    </row>
    <row r="912">
      <c r="C912" s="246"/>
      <c r="D912" s="246"/>
    </row>
    <row r="913">
      <c r="C913" s="246"/>
      <c r="D913" s="246"/>
    </row>
    <row r="914">
      <c r="C914" s="246"/>
      <c r="D914" s="246"/>
    </row>
    <row r="915">
      <c r="C915" s="246"/>
      <c r="D915" s="246"/>
    </row>
    <row r="916">
      <c r="C916" s="246"/>
      <c r="D916" s="246"/>
    </row>
    <row r="917">
      <c r="C917" s="246"/>
      <c r="D917" s="246"/>
    </row>
    <row r="918">
      <c r="C918" s="246"/>
      <c r="D918" s="246"/>
    </row>
    <row r="919">
      <c r="C919" s="246"/>
      <c r="D919" s="246"/>
    </row>
    <row r="920">
      <c r="C920" s="246"/>
      <c r="D920" s="246"/>
    </row>
    <row r="921">
      <c r="C921" s="246"/>
      <c r="D921" s="246"/>
    </row>
    <row r="922">
      <c r="C922" s="246"/>
      <c r="D922" s="246"/>
    </row>
    <row r="923">
      <c r="C923" s="246"/>
      <c r="D923" s="246"/>
    </row>
    <row r="924">
      <c r="C924" s="246"/>
      <c r="D924" s="246"/>
    </row>
    <row r="925">
      <c r="C925" s="246"/>
      <c r="D925" s="246"/>
    </row>
    <row r="926">
      <c r="C926" s="246"/>
      <c r="D926" s="246"/>
    </row>
    <row r="927">
      <c r="C927" s="246"/>
      <c r="D927" s="246"/>
    </row>
    <row r="928">
      <c r="C928" s="246"/>
      <c r="D928" s="246"/>
    </row>
    <row r="929">
      <c r="C929" s="246"/>
      <c r="D929" s="246"/>
    </row>
    <row r="930">
      <c r="C930" s="246"/>
      <c r="D930" s="246"/>
    </row>
    <row r="931">
      <c r="C931" s="246"/>
      <c r="D931" s="246"/>
    </row>
    <row r="932">
      <c r="C932" s="246"/>
      <c r="D932" s="246"/>
    </row>
    <row r="933">
      <c r="C933" s="246"/>
      <c r="D933" s="246"/>
    </row>
    <row r="934">
      <c r="C934" s="246"/>
      <c r="D934" s="246"/>
    </row>
    <row r="935">
      <c r="C935" s="246"/>
      <c r="D935" s="246"/>
    </row>
    <row r="936">
      <c r="C936" s="246"/>
      <c r="D936" s="246"/>
    </row>
    <row r="937">
      <c r="C937" s="246"/>
      <c r="D937" s="246"/>
    </row>
    <row r="938">
      <c r="C938" s="246"/>
      <c r="D938" s="246"/>
    </row>
    <row r="939">
      <c r="C939" s="246"/>
      <c r="D939" s="246"/>
    </row>
    <row r="940">
      <c r="C940" s="246"/>
      <c r="D940" s="246"/>
    </row>
    <row r="941">
      <c r="C941" s="246"/>
      <c r="D941" s="246"/>
    </row>
    <row r="942">
      <c r="C942" s="246"/>
      <c r="D942" s="246"/>
    </row>
    <row r="943">
      <c r="C943" s="246"/>
      <c r="D943" s="246"/>
    </row>
    <row r="944">
      <c r="C944" s="246"/>
      <c r="D944" s="246"/>
    </row>
    <row r="945">
      <c r="C945" s="246"/>
      <c r="D945" s="246"/>
    </row>
    <row r="946">
      <c r="C946" s="246"/>
      <c r="D946" s="246"/>
    </row>
    <row r="947">
      <c r="C947" s="246"/>
      <c r="D947" s="246"/>
    </row>
    <row r="948">
      <c r="C948" s="246"/>
      <c r="D948" s="246"/>
    </row>
    <row r="949">
      <c r="C949" s="246"/>
      <c r="D949" s="246"/>
    </row>
    <row r="950">
      <c r="C950" s="246"/>
      <c r="D950" s="246"/>
    </row>
    <row r="951">
      <c r="C951" s="246"/>
      <c r="D951" s="246"/>
    </row>
    <row r="952">
      <c r="C952" s="246"/>
      <c r="D952" s="246"/>
    </row>
    <row r="953">
      <c r="C953" s="246"/>
      <c r="D953" s="246"/>
    </row>
    <row r="954">
      <c r="C954" s="246"/>
      <c r="D954" s="246"/>
    </row>
    <row r="955">
      <c r="C955" s="246"/>
      <c r="D955" s="246"/>
    </row>
    <row r="956">
      <c r="C956" s="246"/>
      <c r="D956" s="246"/>
    </row>
    <row r="957">
      <c r="C957" s="246"/>
      <c r="D957" s="246"/>
    </row>
    <row r="958">
      <c r="C958" s="246"/>
      <c r="D958" s="246"/>
    </row>
    <row r="959">
      <c r="C959" s="246"/>
      <c r="D959" s="246"/>
    </row>
    <row r="960">
      <c r="C960" s="246"/>
      <c r="D960" s="246"/>
    </row>
    <row r="961">
      <c r="C961" s="246"/>
      <c r="D961" s="246"/>
    </row>
    <row r="962">
      <c r="C962" s="246"/>
      <c r="D962" s="246"/>
    </row>
    <row r="963">
      <c r="C963" s="246"/>
      <c r="D963" s="246"/>
    </row>
    <row r="964">
      <c r="C964" s="246"/>
      <c r="D964" s="246"/>
    </row>
    <row r="965">
      <c r="C965" s="246"/>
      <c r="D965" s="246"/>
    </row>
    <row r="966">
      <c r="C966" s="246"/>
      <c r="D966" s="246"/>
    </row>
    <row r="967">
      <c r="C967" s="246"/>
      <c r="D967" s="246"/>
    </row>
    <row r="968">
      <c r="C968" s="246"/>
      <c r="D968" s="246"/>
    </row>
    <row r="969">
      <c r="C969" s="246"/>
      <c r="D969" s="246"/>
    </row>
    <row r="970">
      <c r="C970" s="246"/>
      <c r="D970" s="246"/>
    </row>
    <row r="971">
      <c r="C971" s="246"/>
      <c r="D971" s="246"/>
    </row>
    <row r="972">
      <c r="C972" s="246"/>
      <c r="D972" s="246"/>
    </row>
    <row r="973">
      <c r="C973" s="246"/>
      <c r="D973" s="246"/>
    </row>
    <row r="974">
      <c r="C974" s="246"/>
      <c r="D974" s="246"/>
    </row>
    <row r="975">
      <c r="C975" s="246"/>
      <c r="D975" s="246"/>
    </row>
    <row r="976">
      <c r="C976" s="246"/>
      <c r="D976" s="246"/>
    </row>
    <row r="977">
      <c r="C977" s="246"/>
      <c r="D977" s="246"/>
    </row>
    <row r="978">
      <c r="C978" s="246"/>
      <c r="D978" s="246"/>
    </row>
    <row r="979">
      <c r="C979" s="246"/>
      <c r="D979" s="246"/>
    </row>
    <row r="980">
      <c r="C980" s="246"/>
      <c r="D980" s="246"/>
    </row>
    <row r="981">
      <c r="C981" s="246"/>
      <c r="D981" s="246"/>
    </row>
    <row r="982">
      <c r="C982" s="246"/>
      <c r="D982" s="246"/>
    </row>
    <row r="983">
      <c r="C983" s="246"/>
      <c r="D983" s="246"/>
    </row>
    <row r="984">
      <c r="C984" s="246"/>
      <c r="D984" s="246"/>
    </row>
    <row r="985">
      <c r="C985" s="246"/>
      <c r="D985" s="246"/>
    </row>
    <row r="986">
      <c r="C986" s="246"/>
      <c r="D986" s="246"/>
    </row>
    <row r="987">
      <c r="C987" s="246"/>
      <c r="D987" s="246"/>
    </row>
    <row r="988">
      <c r="C988" s="246"/>
      <c r="D988" s="246"/>
    </row>
    <row r="989">
      <c r="C989" s="246"/>
      <c r="D989" s="246"/>
    </row>
    <row r="990">
      <c r="C990" s="246"/>
      <c r="D990" s="246"/>
    </row>
    <row r="991">
      <c r="C991" s="246"/>
      <c r="D991" s="246"/>
    </row>
    <row r="992">
      <c r="C992" s="246"/>
      <c r="D992" s="246"/>
    </row>
    <row r="993">
      <c r="C993" s="246"/>
      <c r="D993" s="246"/>
    </row>
    <row r="994">
      <c r="C994" s="246"/>
      <c r="D994" s="246"/>
    </row>
    <row r="995">
      <c r="C995" s="246"/>
      <c r="D995" s="246"/>
    </row>
    <row r="996">
      <c r="C996" s="246"/>
      <c r="D996" s="246"/>
    </row>
    <row r="997">
      <c r="C997" s="246"/>
      <c r="D997" s="246"/>
    </row>
    <row r="998">
      <c r="C998" s="246"/>
      <c r="D998" s="246"/>
    </row>
    <row r="999">
      <c r="C999" s="246"/>
      <c r="D999" s="246"/>
    </row>
    <row r="1000">
      <c r="C1000" s="246"/>
      <c r="D1000" s="24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3"/>
    <col customWidth="1" min="3" max="3" width="9.43"/>
    <col customWidth="1" min="4" max="4" width="12.14"/>
  </cols>
  <sheetData>
    <row r="1">
      <c r="A1" s="165" t="s">
        <v>116</v>
      </c>
      <c r="B1" s="165" t="s">
        <v>117</v>
      </c>
      <c r="C1" s="165" t="s">
        <v>3888</v>
      </c>
      <c r="D1" s="165" t="s">
        <v>119</v>
      </c>
      <c r="E1" s="165" t="s">
        <v>10</v>
      </c>
      <c r="F1" s="165" t="s">
        <v>12</v>
      </c>
      <c r="G1" s="165" t="s">
        <v>122</v>
      </c>
      <c r="H1" s="165" t="s">
        <v>123</v>
      </c>
      <c r="I1" s="165" t="s">
        <v>3889</v>
      </c>
      <c r="J1" s="165" t="s">
        <v>125</v>
      </c>
      <c r="K1" s="165" t="s">
        <v>3873</v>
      </c>
      <c r="L1" s="165" t="s">
        <v>3771</v>
      </c>
    </row>
    <row r="2">
      <c r="A2" s="153">
        <v>6.0</v>
      </c>
      <c r="B2" s="156" t="s">
        <v>8</v>
      </c>
      <c r="C2" s="154" t="s">
        <v>3227</v>
      </c>
      <c r="D2" s="154" t="s">
        <v>263</v>
      </c>
      <c r="E2" s="154"/>
      <c r="F2" s="154" t="s">
        <v>3228</v>
      </c>
      <c r="G2" s="154" t="s">
        <v>3229</v>
      </c>
      <c r="H2" s="154" t="s">
        <v>3230</v>
      </c>
      <c r="I2" s="154" t="s">
        <v>136</v>
      </c>
      <c r="J2" s="154" t="s">
        <v>3231</v>
      </c>
      <c r="K2" s="154" t="s">
        <v>2513</v>
      </c>
      <c r="L2" s="156" t="s">
        <v>54</v>
      </c>
    </row>
    <row r="3">
      <c r="A3" s="153">
        <v>101.0</v>
      </c>
      <c r="B3" s="154" t="s">
        <v>6</v>
      </c>
      <c r="C3" s="154" t="s">
        <v>3232</v>
      </c>
      <c r="D3" s="154" t="s">
        <v>188</v>
      </c>
      <c r="E3" s="154"/>
      <c r="F3" s="154" t="s">
        <v>136</v>
      </c>
      <c r="G3" s="154" t="s">
        <v>3233</v>
      </c>
      <c r="H3" s="154" t="s">
        <v>3234</v>
      </c>
      <c r="I3" s="154" t="s">
        <v>136</v>
      </c>
      <c r="J3" s="154" t="s">
        <v>3235</v>
      </c>
      <c r="K3" s="154" t="s">
        <v>3236</v>
      </c>
      <c r="L3" s="156" t="s">
        <v>54</v>
      </c>
    </row>
    <row r="4">
      <c r="A4" s="153">
        <v>64.0</v>
      </c>
      <c r="B4" s="154" t="s">
        <v>6</v>
      </c>
      <c r="C4" s="154" t="s">
        <v>696</v>
      </c>
      <c r="D4" s="154" t="s">
        <v>301</v>
      </c>
      <c r="E4" s="154"/>
      <c r="F4" s="154" t="s">
        <v>136</v>
      </c>
      <c r="G4" s="154" t="s">
        <v>3237</v>
      </c>
      <c r="H4" s="154" t="s">
        <v>3238</v>
      </c>
      <c r="I4" s="154" t="s">
        <v>136</v>
      </c>
      <c r="J4" s="154" t="s">
        <v>3239</v>
      </c>
      <c r="K4" s="154" t="s">
        <v>3240</v>
      </c>
      <c r="L4" s="156" t="s">
        <v>54</v>
      </c>
    </row>
    <row r="5">
      <c r="A5" s="153">
        <v>25.0</v>
      </c>
      <c r="B5" s="154" t="s">
        <v>6</v>
      </c>
      <c r="C5" s="154" t="s">
        <v>491</v>
      </c>
      <c r="D5" s="154" t="s">
        <v>193</v>
      </c>
      <c r="E5" s="154"/>
      <c r="F5" s="154" t="s">
        <v>136</v>
      </c>
      <c r="G5" s="154" t="s">
        <v>137</v>
      </c>
      <c r="H5" s="154" t="s">
        <v>3241</v>
      </c>
      <c r="I5" s="154" t="s">
        <v>136</v>
      </c>
      <c r="J5" s="154" t="s">
        <v>3242</v>
      </c>
      <c r="K5" s="154" t="s">
        <v>2513</v>
      </c>
      <c r="L5" s="156" t="s">
        <v>54</v>
      </c>
    </row>
    <row r="6">
      <c r="A6" s="153">
        <v>81.0</v>
      </c>
      <c r="B6" s="154" t="s">
        <v>6</v>
      </c>
      <c r="C6" s="154" t="s">
        <v>3243</v>
      </c>
      <c r="D6" s="154" t="s">
        <v>263</v>
      </c>
      <c r="E6" s="154"/>
      <c r="F6" s="154" t="s">
        <v>136</v>
      </c>
      <c r="G6" s="154" t="s">
        <v>137</v>
      </c>
      <c r="H6" s="155"/>
      <c r="I6" s="154" t="s">
        <v>136</v>
      </c>
      <c r="J6" s="154" t="s">
        <v>3244</v>
      </c>
      <c r="K6" s="154" t="s">
        <v>3236</v>
      </c>
      <c r="L6" s="156" t="s">
        <v>54</v>
      </c>
    </row>
    <row r="7">
      <c r="A7" s="153">
        <v>95.0</v>
      </c>
      <c r="B7" s="154" t="s">
        <v>6</v>
      </c>
      <c r="C7" s="154" t="s">
        <v>3245</v>
      </c>
      <c r="D7" s="154" t="s">
        <v>214</v>
      </c>
      <c r="E7" s="154"/>
      <c r="F7" s="154" t="s">
        <v>136</v>
      </c>
      <c r="G7" s="154" t="s">
        <v>320</v>
      </c>
      <c r="H7" s="155"/>
      <c r="I7" s="154" t="s">
        <v>136</v>
      </c>
      <c r="J7" s="154" t="s">
        <v>3246</v>
      </c>
      <c r="K7" s="154" t="s">
        <v>3247</v>
      </c>
      <c r="L7" s="156" t="s">
        <v>54</v>
      </c>
    </row>
    <row r="8">
      <c r="A8" s="153">
        <v>79.0</v>
      </c>
      <c r="B8" s="154" t="s">
        <v>6</v>
      </c>
      <c r="C8" s="154" t="s">
        <v>3248</v>
      </c>
      <c r="D8" s="154" t="s">
        <v>432</v>
      </c>
      <c r="E8" s="154"/>
      <c r="F8" s="154" t="s">
        <v>136</v>
      </c>
      <c r="G8" s="154" t="s">
        <v>297</v>
      </c>
      <c r="H8" s="155"/>
      <c r="I8" s="154" t="s">
        <v>136</v>
      </c>
      <c r="J8" s="154" t="s">
        <v>3249</v>
      </c>
      <c r="K8" s="154" t="s">
        <v>185</v>
      </c>
      <c r="L8" s="156" t="s">
        <v>54</v>
      </c>
    </row>
    <row r="9">
      <c r="A9" s="153">
        <v>109.0</v>
      </c>
      <c r="B9" s="154" t="s">
        <v>6</v>
      </c>
      <c r="C9" s="154" t="s">
        <v>3250</v>
      </c>
      <c r="D9" s="154" t="s">
        <v>214</v>
      </c>
      <c r="E9" s="154"/>
      <c r="F9" s="154" t="s">
        <v>136</v>
      </c>
      <c r="G9" s="154" t="s">
        <v>137</v>
      </c>
      <c r="H9" s="155"/>
      <c r="I9" s="154" t="s">
        <v>136</v>
      </c>
      <c r="J9" s="154" t="s">
        <v>3251</v>
      </c>
      <c r="K9" s="154" t="s">
        <v>3252</v>
      </c>
      <c r="L9" s="156" t="s">
        <v>54</v>
      </c>
    </row>
    <row r="10">
      <c r="A10" s="153">
        <v>97.0</v>
      </c>
      <c r="B10" s="154" t="s">
        <v>6</v>
      </c>
      <c r="C10" s="154" t="s">
        <v>513</v>
      </c>
      <c r="D10" s="154" t="s">
        <v>213</v>
      </c>
      <c r="E10" s="154"/>
      <c r="F10" s="154" t="s">
        <v>136</v>
      </c>
      <c r="G10" s="154" t="s">
        <v>137</v>
      </c>
      <c r="H10" s="155"/>
      <c r="I10" s="154" t="s">
        <v>136</v>
      </c>
      <c r="J10" s="154" t="s">
        <v>3253</v>
      </c>
      <c r="K10" s="154" t="s">
        <v>3252</v>
      </c>
      <c r="L10" s="156" t="s">
        <v>54</v>
      </c>
    </row>
    <row r="11">
      <c r="A11" s="153">
        <v>145.0</v>
      </c>
      <c r="B11" s="154" t="s">
        <v>7</v>
      </c>
      <c r="C11" s="154" t="s">
        <v>3254</v>
      </c>
      <c r="D11" s="154" t="s">
        <v>140</v>
      </c>
      <c r="E11" s="154"/>
      <c r="F11" s="154" t="s">
        <v>185</v>
      </c>
      <c r="G11" s="154" t="s">
        <v>3255</v>
      </c>
      <c r="H11" s="154" t="s">
        <v>3256</v>
      </c>
      <c r="I11" s="154" t="s">
        <v>136</v>
      </c>
      <c r="J11" s="157">
        <v>45659.106944444444</v>
      </c>
      <c r="K11" s="154" t="s">
        <v>185</v>
      </c>
      <c r="L11" s="156" t="s">
        <v>54</v>
      </c>
    </row>
    <row r="12">
      <c r="A12" s="153">
        <v>21.0</v>
      </c>
      <c r="B12" s="154" t="s">
        <v>6</v>
      </c>
      <c r="C12" s="154" t="s">
        <v>1504</v>
      </c>
      <c r="D12" s="154" t="s">
        <v>358</v>
      </c>
      <c r="E12" s="154"/>
      <c r="F12" s="154" t="s">
        <v>136</v>
      </c>
      <c r="G12" s="154" t="s">
        <v>191</v>
      </c>
      <c r="H12" s="155"/>
      <c r="I12" s="154" t="s">
        <v>136</v>
      </c>
      <c r="J12" s="154" t="s">
        <v>3257</v>
      </c>
      <c r="K12" s="154" t="s">
        <v>3247</v>
      </c>
      <c r="L12" s="156" t="s">
        <v>54</v>
      </c>
    </row>
    <row r="13">
      <c r="A13" s="153">
        <v>106.0</v>
      </c>
      <c r="B13" s="154" t="s">
        <v>6</v>
      </c>
      <c r="C13" s="154" t="s">
        <v>3258</v>
      </c>
      <c r="D13" s="154" t="s">
        <v>290</v>
      </c>
      <c r="E13" s="154"/>
      <c r="F13" s="154" t="s">
        <v>136</v>
      </c>
      <c r="G13" s="154" t="s">
        <v>271</v>
      </c>
      <c r="H13" s="154" t="s">
        <v>3259</v>
      </c>
      <c r="I13" s="154" t="s">
        <v>136</v>
      </c>
      <c r="J13" s="154" t="s">
        <v>3260</v>
      </c>
      <c r="K13" s="154" t="s">
        <v>185</v>
      </c>
      <c r="L13" s="156" t="s">
        <v>54</v>
      </c>
    </row>
    <row r="14">
      <c r="A14" s="153">
        <v>90.0</v>
      </c>
      <c r="B14" s="154" t="s">
        <v>6</v>
      </c>
      <c r="C14" s="154" t="s">
        <v>3261</v>
      </c>
      <c r="D14" s="154" t="s">
        <v>202</v>
      </c>
      <c r="E14" s="154"/>
      <c r="F14" s="154" t="s">
        <v>136</v>
      </c>
      <c r="G14" s="154" t="s">
        <v>618</v>
      </c>
      <c r="H14" s="155"/>
      <c r="I14" s="154" t="s">
        <v>136</v>
      </c>
      <c r="J14" s="154" t="s">
        <v>3262</v>
      </c>
      <c r="K14" s="154" t="s">
        <v>3263</v>
      </c>
      <c r="L14" s="156" t="s">
        <v>54</v>
      </c>
    </row>
    <row r="15">
      <c r="A15" s="153">
        <v>63.0</v>
      </c>
      <c r="B15" s="154" t="s">
        <v>6</v>
      </c>
      <c r="C15" s="154" t="s">
        <v>3264</v>
      </c>
      <c r="D15" s="154" t="s">
        <v>318</v>
      </c>
      <c r="E15" s="154"/>
      <c r="F15" s="154" t="s">
        <v>136</v>
      </c>
      <c r="G15" s="154" t="s">
        <v>3265</v>
      </c>
      <c r="H15" s="155"/>
      <c r="I15" s="154" t="s">
        <v>136</v>
      </c>
      <c r="J15" s="154" t="s">
        <v>3266</v>
      </c>
      <c r="K15" s="154" t="s">
        <v>3267</v>
      </c>
      <c r="L15" s="156" t="s">
        <v>54</v>
      </c>
    </row>
    <row r="16">
      <c r="A16" s="153">
        <v>45.0</v>
      </c>
      <c r="B16" s="154" t="s">
        <v>7</v>
      </c>
      <c r="C16" s="154" t="s">
        <v>3268</v>
      </c>
      <c r="D16" s="154" t="s">
        <v>263</v>
      </c>
      <c r="E16" s="154"/>
      <c r="F16" s="154" t="s">
        <v>136</v>
      </c>
      <c r="G16" s="154" t="s">
        <v>3269</v>
      </c>
      <c r="H16" s="154" t="s">
        <v>3270</v>
      </c>
      <c r="I16" s="154" t="s">
        <v>136</v>
      </c>
      <c r="J16" s="154" t="s">
        <v>3271</v>
      </c>
      <c r="K16" s="154" t="s">
        <v>3247</v>
      </c>
      <c r="L16" s="156" t="s">
        <v>54</v>
      </c>
    </row>
    <row r="17">
      <c r="A17" s="153">
        <v>8.0</v>
      </c>
      <c r="B17" s="154" t="s">
        <v>6</v>
      </c>
      <c r="C17" s="154" t="s">
        <v>668</v>
      </c>
      <c r="D17" s="154" t="s">
        <v>143</v>
      </c>
      <c r="E17" s="154"/>
      <c r="F17" s="154" t="s">
        <v>136</v>
      </c>
      <c r="G17" s="154" t="s">
        <v>157</v>
      </c>
      <c r="H17" s="155"/>
      <c r="I17" s="154" t="s">
        <v>136</v>
      </c>
      <c r="J17" s="154" t="s">
        <v>3272</v>
      </c>
      <c r="K17" s="154" t="s">
        <v>3247</v>
      </c>
      <c r="L17" s="156" t="s">
        <v>54</v>
      </c>
    </row>
    <row r="18">
      <c r="A18" s="153">
        <v>115.0</v>
      </c>
      <c r="B18" s="154" t="s">
        <v>6</v>
      </c>
      <c r="C18" s="154" t="s">
        <v>3273</v>
      </c>
      <c r="D18" s="154" t="s">
        <v>263</v>
      </c>
      <c r="E18" s="154"/>
      <c r="F18" s="154" t="s">
        <v>136</v>
      </c>
      <c r="G18" s="154" t="s">
        <v>969</v>
      </c>
      <c r="H18" s="154" t="s">
        <v>455</v>
      </c>
      <c r="I18" s="154" t="s">
        <v>136</v>
      </c>
      <c r="J18" s="154" t="s">
        <v>3274</v>
      </c>
      <c r="K18" s="154" t="s">
        <v>3275</v>
      </c>
      <c r="L18" s="156" t="s">
        <v>54</v>
      </c>
    </row>
    <row r="19">
      <c r="A19" s="153">
        <v>13.0</v>
      </c>
      <c r="B19" s="154" t="s">
        <v>7</v>
      </c>
      <c r="C19" s="154" t="s">
        <v>3276</v>
      </c>
      <c r="D19" s="154" t="s">
        <v>263</v>
      </c>
      <c r="E19" s="154"/>
      <c r="F19" s="154" t="s">
        <v>136</v>
      </c>
      <c r="G19" s="154" t="s">
        <v>137</v>
      </c>
      <c r="H19" s="155"/>
      <c r="I19" s="154" t="s">
        <v>135</v>
      </c>
      <c r="J19" s="154" t="s">
        <v>3277</v>
      </c>
      <c r="K19" s="154" t="s">
        <v>3247</v>
      </c>
      <c r="L19" s="156" t="s">
        <v>54</v>
      </c>
    </row>
    <row r="20">
      <c r="A20" s="153">
        <v>137.0</v>
      </c>
      <c r="B20" s="154" t="s">
        <v>6</v>
      </c>
      <c r="C20" s="154" t="s">
        <v>3278</v>
      </c>
      <c r="D20" s="154" t="s">
        <v>177</v>
      </c>
      <c r="E20" s="154"/>
      <c r="F20" s="154" t="s">
        <v>136</v>
      </c>
      <c r="G20" s="154" t="s">
        <v>367</v>
      </c>
      <c r="H20" s="155"/>
      <c r="I20" s="154" t="s">
        <v>136</v>
      </c>
      <c r="J20" s="154" t="s">
        <v>3279</v>
      </c>
      <c r="K20" s="154" t="s">
        <v>2513</v>
      </c>
      <c r="L20" s="156" t="s">
        <v>54</v>
      </c>
    </row>
    <row r="21">
      <c r="A21" s="153">
        <v>143.0</v>
      </c>
      <c r="B21" s="154" t="s">
        <v>7</v>
      </c>
      <c r="C21" s="154" t="s">
        <v>3280</v>
      </c>
      <c r="D21" s="154" t="s">
        <v>263</v>
      </c>
      <c r="E21" s="154"/>
      <c r="F21" s="154" t="s">
        <v>136</v>
      </c>
      <c r="G21" s="154" t="s">
        <v>137</v>
      </c>
      <c r="H21" s="155"/>
      <c r="I21" s="154" t="s">
        <v>136</v>
      </c>
      <c r="J21" s="157">
        <v>45658.67152777778</v>
      </c>
      <c r="K21" s="154" t="s">
        <v>3247</v>
      </c>
      <c r="L21" s="156" t="s">
        <v>54</v>
      </c>
    </row>
    <row r="22">
      <c r="A22" s="153">
        <v>149.0</v>
      </c>
      <c r="B22" s="154" t="s">
        <v>6</v>
      </c>
      <c r="C22" s="154" t="s">
        <v>3281</v>
      </c>
      <c r="D22" s="154" t="s">
        <v>263</v>
      </c>
      <c r="E22" s="154"/>
      <c r="F22" s="154" t="s">
        <v>136</v>
      </c>
      <c r="G22" s="154" t="s">
        <v>174</v>
      </c>
      <c r="H22" s="155"/>
      <c r="I22" s="154" t="s">
        <v>136</v>
      </c>
      <c r="J22" s="157">
        <v>45660.48402777778</v>
      </c>
      <c r="K22" s="154" t="s">
        <v>2513</v>
      </c>
      <c r="L22" s="156" t="s">
        <v>54</v>
      </c>
    </row>
    <row r="23">
      <c r="A23" s="153">
        <v>62.0</v>
      </c>
      <c r="B23" s="154" t="s">
        <v>6</v>
      </c>
      <c r="C23" s="154" t="s">
        <v>3282</v>
      </c>
      <c r="D23" s="154" t="s">
        <v>423</v>
      </c>
      <c r="E23" s="154"/>
      <c r="F23" s="154" t="s">
        <v>136</v>
      </c>
      <c r="G23" s="154" t="s">
        <v>265</v>
      </c>
      <c r="H23" s="155"/>
      <c r="I23" s="154" t="s">
        <v>136</v>
      </c>
      <c r="J23" s="154" t="s">
        <v>3283</v>
      </c>
      <c r="K23" s="154" t="s">
        <v>2513</v>
      </c>
      <c r="L23" s="156" t="s">
        <v>54</v>
      </c>
    </row>
    <row r="24">
      <c r="A24" s="153">
        <v>54.0</v>
      </c>
      <c r="B24" s="154" t="s">
        <v>8</v>
      </c>
      <c r="C24" s="154" t="s">
        <v>3284</v>
      </c>
      <c r="D24" s="154" t="s">
        <v>263</v>
      </c>
      <c r="E24" s="154"/>
      <c r="F24" s="154" t="s">
        <v>136</v>
      </c>
      <c r="G24" s="154" t="s">
        <v>1295</v>
      </c>
      <c r="H24" s="155"/>
      <c r="I24" s="154" t="s">
        <v>136</v>
      </c>
      <c r="J24" s="154" t="s">
        <v>3285</v>
      </c>
      <c r="K24" s="154" t="s">
        <v>3247</v>
      </c>
      <c r="L24" s="156" t="s">
        <v>54</v>
      </c>
    </row>
    <row r="25">
      <c r="A25" s="153">
        <v>119.0</v>
      </c>
      <c r="B25" s="154" t="s">
        <v>7</v>
      </c>
      <c r="C25" s="154" t="s">
        <v>3286</v>
      </c>
      <c r="D25" s="154" t="s">
        <v>153</v>
      </c>
      <c r="E25" s="154"/>
      <c r="F25" s="154" t="s">
        <v>136</v>
      </c>
      <c r="G25" s="154" t="s">
        <v>2974</v>
      </c>
      <c r="H25" s="155"/>
      <c r="I25" s="154" t="s">
        <v>136</v>
      </c>
      <c r="J25" s="154" t="s">
        <v>3287</v>
      </c>
      <c r="K25" s="154" t="s">
        <v>185</v>
      </c>
      <c r="L25" s="156" t="s">
        <v>54</v>
      </c>
    </row>
    <row r="26">
      <c r="A26" s="153">
        <v>61.0</v>
      </c>
      <c r="B26" s="154" t="s">
        <v>6</v>
      </c>
      <c r="C26" s="154" t="s">
        <v>647</v>
      </c>
      <c r="D26" s="154" t="s">
        <v>373</v>
      </c>
      <c r="E26" s="154"/>
      <c r="F26" s="154" t="s">
        <v>136</v>
      </c>
      <c r="G26" s="154" t="s">
        <v>271</v>
      </c>
      <c r="H26" s="155"/>
      <c r="I26" s="154" t="s">
        <v>135</v>
      </c>
      <c r="J26" s="154" t="s">
        <v>3288</v>
      </c>
      <c r="K26" s="154" t="s">
        <v>3252</v>
      </c>
      <c r="L26" s="156" t="s">
        <v>54</v>
      </c>
    </row>
    <row r="27">
      <c r="A27" s="153">
        <v>151.0</v>
      </c>
      <c r="B27" s="154" t="s">
        <v>7</v>
      </c>
      <c r="C27" s="154" t="s">
        <v>3289</v>
      </c>
      <c r="D27" s="154" t="s">
        <v>263</v>
      </c>
      <c r="E27" s="154"/>
      <c r="F27" s="154" t="s">
        <v>136</v>
      </c>
      <c r="G27" s="154" t="s">
        <v>1197</v>
      </c>
      <c r="H27" s="154" t="s">
        <v>1053</v>
      </c>
      <c r="I27" s="154" t="s">
        <v>136</v>
      </c>
      <c r="J27" s="157">
        <v>45660.73055555556</v>
      </c>
      <c r="K27" s="154" t="s">
        <v>185</v>
      </c>
      <c r="L27" s="156" t="s">
        <v>54</v>
      </c>
    </row>
    <row r="28">
      <c r="A28" s="153">
        <v>75.0</v>
      </c>
      <c r="B28" s="154" t="s">
        <v>6</v>
      </c>
      <c r="C28" s="154" t="s">
        <v>3290</v>
      </c>
      <c r="D28" s="154" t="s">
        <v>263</v>
      </c>
      <c r="E28" s="154"/>
      <c r="F28" s="154" t="s">
        <v>136</v>
      </c>
      <c r="G28" s="154" t="s">
        <v>297</v>
      </c>
      <c r="H28" s="155"/>
      <c r="I28" s="154" t="s">
        <v>136</v>
      </c>
      <c r="J28" s="154" t="s">
        <v>3291</v>
      </c>
      <c r="K28" s="154" t="s">
        <v>2513</v>
      </c>
      <c r="L28" s="156" t="s">
        <v>54</v>
      </c>
    </row>
    <row r="29">
      <c r="A29" s="153">
        <v>51.0</v>
      </c>
      <c r="B29" s="154" t="s">
        <v>7</v>
      </c>
      <c r="C29" s="154" t="s">
        <v>3292</v>
      </c>
      <c r="D29" s="154" t="s">
        <v>166</v>
      </c>
      <c r="E29" s="154"/>
      <c r="F29" s="154" t="s">
        <v>136</v>
      </c>
      <c r="G29" s="154" t="s">
        <v>310</v>
      </c>
      <c r="H29" s="155"/>
      <c r="I29" s="154" t="s">
        <v>136</v>
      </c>
      <c r="J29" s="154" t="s">
        <v>3293</v>
      </c>
      <c r="K29" s="154" t="s">
        <v>185</v>
      </c>
      <c r="L29" s="156" t="s">
        <v>54</v>
      </c>
    </row>
    <row r="30">
      <c r="A30" s="153">
        <v>35.0</v>
      </c>
      <c r="B30" s="154" t="s">
        <v>6</v>
      </c>
      <c r="C30" s="154" t="s">
        <v>3294</v>
      </c>
      <c r="D30" s="154" t="s">
        <v>203</v>
      </c>
      <c r="E30" s="154"/>
      <c r="F30" s="154" t="s">
        <v>136</v>
      </c>
      <c r="G30" s="154" t="s">
        <v>205</v>
      </c>
      <c r="H30" s="154" t="s">
        <v>3295</v>
      </c>
      <c r="I30" s="154" t="s">
        <v>136</v>
      </c>
      <c r="J30" s="154" t="s">
        <v>3296</v>
      </c>
      <c r="K30" s="154" t="s">
        <v>3252</v>
      </c>
      <c r="L30" s="156" t="s">
        <v>54</v>
      </c>
    </row>
    <row r="31">
      <c r="A31" s="153">
        <v>40.0</v>
      </c>
      <c r="B31" s="154" t="s">
        <v>6</v>
      </c>
      <c r="C31" s="154" t="s">
        <v>3297</v>
      </c>
      <c r="D31" s="154" t="s">
        <v>203</v>
      </c>
      <c r="E31" s="154"/>
      <c r="F31" s="154" t="s">
        <v>136</v>
      </c>
      <c r="G31" s="154" t="s">
        <v>221</v>
      </c>
      <c r="H31" s="155"/>
      <c r="I31" s="154" t="s">
        <v>136</v>
      </c>
      <c r="J31" s="154" t="s">
        <v>3298</v>
      </c>
      <c r="K31" s="154" t="s">
        <v>2513</v>
      </c>
      <c r="L31" s="156" t="s">
        <v>54</v>
      </c>
    </row>
    <row r="32">
      <c r="A32" s="153">
        <v>104.0</v>
      </c>
      <c r="B32" s="154" t="s">
        <v>7</v>
      </c>
      <c r="C32" s="154" t="s">
        <v>1957</v>
      </c>
      <c r="D32" s="154" t="s">
        <v>263</v>
      </c>
      <c r="E32" s="154"/>
      <c r="F32" s="154" t="s">
        <v>3299</v>
      </c>
      <c r="G32" s="154" t="s">
        <v>221</v>
      </c>
      <c r="H32" s="155"/>
      <c r="I32" s="154" t="s">
        <v>136</v>
      </c>
      <c r="J32" s="154" t="s">
        <v>3300</v>
      </c>
      <c r="K32" s="154" t="s">
        <v>2513</v>
      </c>
      <c r="L32" s="156" t="s">
        <v>54</v>
      </c>
    </row>
    <row r="33">
      <c r="A33" s="153">
        <v>22.0</v>
      </c>
      <c r="B33" s="154" t="s">
        <v>6</v>
      </c>
      <c r="C33" s="154" t="s">
        <v>1532</v>
      </c>
      <c r="D33" s="154" t="s">
        <v>358</v>
      </c>
      <c r="E33" s="154"/>
      <c r="F33" s="154" t="s">
        <v>136</v>
      </c>
      <c r="G33" s="154" t="s">
        <v>3301</v>
      </c>
      <c r="H33" s="155"/>
      <c r="I33" s="154" t="s">
        <v>136</v>
      </c>
      <c r="J33" s="154" t="s">
        <v>3302</v>
      </c>
      <c r="K33" s="154" t="s">
        <v>185</v>
      </c>
      <c r="L33" s="156" t="s">
        <v>54</v>
      </c>
    </row>
    <row r="34">
      <c r="A34" s="153">
        <v>142.0</v>
      </c>
      <c r="B34" s="154" t="s">
        <v>7</v>
      </c>
      <c r="C34" s="154" t="s">
        <v>3303</v>
      </c>
      <c r="D34" s="154" t="s">
        <v>209</v>
      </c>
      <c r="E34" s="154"/>
      <c r="F34" s="154" t="s">
        <v>136</v>
      </c>
      <c r="G34" s="154" t="s">
        <v>191</v>
      </c>
      <c r="H34" s="154" t="s">
        <v>1643</v>
      </c>
      <c r="I34" s="154" t="s">
        <v>136</v>
      </c>
      <c r="J34" s="157">
        <v>45658.393055555556</v>
      </c>
      <c r="K34" s="154" t="s">
        <v>3263</v>
      </c>
      <c r="L34" s="156" t="s">
        <v>54</v>
      </c>
    </row>
    <row r="35">
      <c r="A35" s="153">
        <v>85.0</v>
      </c>
      <c r="B35" s="154" t="s">
        <v>6</v>
      </c>
      <c r="C35" s="154" t="s">
        <v>3304</v>
      </c>
      <c r="D35" s="154" t="s">
        <v>239</v>
      </c>
      <c r="E35" s="154"/>
      <c r="F35" s="154" t="s">
        <v>136</v>
      </c>
      <c r="G35" s="154" t="s">
        <v>3305</v>
      </c>
      <c r="H35" s="154" t="s">
        <v>3306</v>
      </c>
      <c r="I35" s="154" t="s">
        <v>136</v>
      </c>
      <c r="J35" s="154" t="s">
        <v>3307</v>
      </c>
      <c r="K35" s="154" t="s">
        <v>185</v>
      </c>
      <c r="L35" s="156" t="s">
        <v>54</v>
      </c>
    </row>
    <row r="36">
      <c r="A36" s="153">
        <v>91.0</v>
      </c>
      <c r="B36" s="154" t="s">
        <v>7</v>
      </c>
      <c r="C36" s="154" t="s">
        <v>3308</v>
      </c>
      <c r="D36" s="154" t="s">
        <v>290</v>
      </c>
      <c r="E36" s="154"/>
      <c r="F36" s="154" t="s">
        <v>136</v>
      </c>
      <c r="G36" s="154" t="s">
        <v>3237</v>
      </c>
      <c r="H36" s="154" t="s">
        <v>3309</v>
      </c>
      <c r="I36" s="154" t="s">
        <v>136</v>
      </c>
      <c r="J36" s="154" t="s">
        <v>3310</v>
      </c>
      <c r="K36" s="154" t="s">
        <v>3252</v>
      </c>
      <c r="L36" s="156" t="s">
        <v>54</v>
      </c>
    </row>
    <row r="37">
      <c r="A37" s="153">
        <v>103.0</v>
      </c>
      <c r="B37" s="154" t="s">
        <v>7</v>
      </c>
      <c r="C37" s="154" t="s">
        <v>3311</v>
      </c>
      <c r="D37" s="154" t="s">
        <v>263</v>
      </c>
      <c r="E37" s="154"/>
      <c r="F37" s="154" t="s">
        <v>136</v>
      </c>
      <c r="G37" s="154" t="s">
        <v>3237</v>
      </c>
      <c r="H37" s="154" t="s">
        <v>411</v>
      </c>
      <c r="I37" s="154" t="s">
        <v>136</v>
      </c>
      <c r="J37" s="154" t="s">
        <v>3312</v>
      </c>
      <c r="K37" s="154" t="s">
        <v>185</v>
      </c>
      <c r="L37" s="156" t="s">
        <v>54</v>
      </c>
    </row>
    <row r="38">
      <c r="A38" s="153">
        <v>102.0</v>
      </c>
      <c r="B38" s="154" t="s">
        <v>6</v>
      </c>
      <c r="C38" s="154" t="s">
        <v>3313</v>
      </c>
      <c r="D38" s="154" t="s">
        <v>290</v>
      </c>
      <c r="E38" s="154"/>
      <c r="F38" s="154" t="s">
        <v>136</v>
      </c>
      <c r="G38" s="154" t="s">
        <v>2870</v>
      </c>
      <c r="H38" s="155"/>
      <c r="I38" s="154" t="s">
        <v>136</v>
      </c>
      <c r="J38" s="154" t="s">
        <v>3314</v>
      </c>
      <c r="K38" s="154" t="s">
        <v>3252</v>
      </c>
      <c r="L38" s="156" t="s">
        <v>54</v>
      </c>
    </row>
    <row r="39">
      <c r="A39" s="153">
        <v>128.0</v>
      </c>
      <c r="B39" s="154" t="s">
        <v>6</v>
      </c>
      <c r="C39" s="154" t="s">
        <v>1896</v>
      </c>
      <c r="D39" s="154" t="s">
        <v>177</v>
      </c>
      <c r="E39" s="154"/>
      <c r="F39" s="154" t="s">
        <v>136</v>
      </c>
      <c r="G39" s="154" t="s">
        <v>367</v>
      </c>
      <c r="H39" s="155"/>
      <c r="I39" s="154" t="s">
        <v>136</v>
      </c>
      <c r="J39" s="154" t="s">
        <v>3315</v>
      </c>
      <c r="K39" s="154" t="s">
        <v>3263</v>
      </c>
      <c r="L39" s="156" t="s">
        <v>54</v>
      </c>
    </row>
    <row r="40">
      <c r="A40" s="153">
        <v>152.0</v>
      </c>
      <c r="B40" s="154" t="s">
        <v>6</v>
      </c>
      <c r="C40" s="154" t="s">
        <v>3316</v>
      </c>
      <c r="D40" s="154" t="s">
        <v>263</v>
      </c>
      <c r="E40" s="154"/>
      <c r="F40" s="154" t="s">
        <v>136</v>
      </c>
      <c r="G40" s="154" t="s">
        <v>157</v>
      </c>
      <c r="H40" s="155"/>
      <c r="I40" s="154" t="s">
        <v>136</v>
      </c>
      <c r="J40" s="157">
        <v>45660.73125</v>
      </c>
      <c r="K40" s="154" t="s">
        <v>2513</v>
      </c>
      <c r="L40" s="156" t="s">
        <v>54</v>
      </c>
    </row>
    <row r="41">
      <c r="A41" s="153">
        <v>121.0</v>
      </c>
      <c r="B41" s="154" t="s">
        <v>7</v>
      </c>
      <c r="C41" s="154" t="s">
        <v>3317</v>
      </c>
      <c r="D41" s="154" t="s">
        <v>239</v>
      </c>
      <c r="E41" s="154"/>
      <c r="F41" s="154" t="s">
        <v>136</v>
      </c>
      <c r="G41" s="154" t="s">
        <v>367</v>
      </c>
      <c r="H41" s="155"/>
      <c r="I41" s="154" t="s">
        <v>136</v>
      </c>
      <c r="J41" s="154" t="s">
        <v>3318</v>
      </c>
      <c r="K41" s="154" t="s">
        <v>3267</v>
      </c>
      <c r="L41" s="156" t="s">
        <v>54</v>
      </c>
    </row>
    <row r="42">
      <c r="A42" s="153">
        <v>20.0</v>
      </c>
      <c r="B42" s="154" t="s">
        <v>6</v>
      </c>
      <c r="C42" s="154" t="s">
        <v>3319</v>
      </c>
      <c r="D42" s="154" t="s">
        <v>263</v>
      </c>
      <c r="E42" s="154"/>
      <c r="F42" s="154" t="s">
        <v>136</v>
      </c>
      <c r="G42" s="154" t="s">
        <v>221</v>
      </c>
      <c r="H42" s="154" t="s">
        <v>3320</v>
      </c>
      <c r="I42" s="154" t="s">
        <v>136</v>
      </c>
      <c r="J42" s="154" t="s">
        <v>3321</v>
      </c>
      <c r="K42" s="154" t="s">
        <v>3247</v>
      </c>
      <c r="L42" s="156" t="s">
        <v>54</v>
      </c>
    </row>
    <row r="43">
      <c r="A43" s="153">
        <v>19.0</v>
      </c>
      <c r="B43" s="154" t="s">
        <v>6</v>
      </c>
      <c r="C43" s="154" t="s">
        <v>3322</v>
      </c>
      <c r="D43" s="154" t="s">
        <v>263</v>
      </c>
      <c r="E43" s="154"/>
      <c r="F43" s="154" t="s">
        <v>136</v>
      </c>
      <c r="G43" s="154" t="s">
        <v>401</v>
      </c>
      <c r="H43" s="155"/>
      <c r="I43" s="154" t="s">
        <v>136</v>
      </c>
      <c r="J43" s="154" t="s">
        <v>3323</v>
      </c>
      <c r="K43" s="154" t="s">
        <v>3247</v>
      </c>
      <c r="L43" s="156" t="s">
        <v>54</v>
      </c>
    </row>
    <row r="44">
      <c r="A44" s="153">
        <v>57.0</v>
      </c>
      <c r="B44" s="154" t="s">
        <v>6</v>
      </c>
      <c r="C44" s="154" t="s">
        <v>3324</v>
      </c>
      <c r="D44" s="154" t="s">
        <v>403</v>
      </c>
      <c r="E44" s="154"/>
      <c r="F44" s="154" t="s">
        <v>136</v>
      </c>
      <c r="G44" s="154" t="s">
        <v>320</v>
      </c>
      <c r="H44" s="155"/>
      <c r="I44" s="154" t="s">
        <v>136</v>
      </c>
      <c r="J44" s="154" t="s">
        <v>3325</v>
      </c>
      <c r="K44" s="154" t="s">
        <v>185</v>
      </c>
      <c r="L44" s="156" t="s">
        <v>54</v>
      </c>
    </row>
    <row r="45">
      <c r="A45" s="153">
        <v>50.0</v>
      </c>
      <c r="B45" s="154" t="s">
        <v>6</v>
      </c>
      <c r="C45" s="154" t="s">
        <v>2107</v>
      </c>
      <c r="D45" s="154" t="s">
        <v>263</v>
      </c>
      <c r="E45" s="154"/>
      <c r="F45" s="154" t="s">
        <v>136</v>
      </c>
      <c r="G45" s="154" t="s">
        <v>137</v>
      </c>
      <c r="H45" s="155"/>
      <c r="I45" s="154" t="s">
        <v>136</v>
      </c>
      <c r="J45" s="154" t="s">
        <v>3326</v>
      </c>
      <c r="K45" s="154" t="s">
        <v>2513</v>
      </c>
      <c r="L45" s="156" t="s">
        <v>54</v>
      </c>
    </row>
    <row r="46">
      <c r="A46" s="153">
        <v>80.0</v>
      </c>
      <c r="B46" s="154" t="s">
        <v>6</v>
      </c>
      <c r="C46" s="154" t="s">
        <v>3327</v>
      </c>
      <c r="D46" s="154" t="s">
        <v>263</v>
      </c>
      <c r="E46" s="154"/>
      <c r="F46" s="154" t="s">
        <v>136</v>
      </c>
      <c r="G46" s="154" t="s">
        <v>310</v>
      </c>
      <c r="H46" s="154" t="s">
        <v>3328</v>
      </c>
      <c r="I46" s="154" t="s">
        <v>135</v>
      </c>
      <c r="J46" s="154" t="s">
        <v>3329</v>
      </c>
      <c r="K46" s="154" t="s">
        <v>185</v>
      </c>
      <c r="L46" s="156" t="s">
        <v>54</v>
      </c>
    </row>
    <row r="47">
      <c r="A47" s="153">
        <v>38.0</v>
      </c>
      <c r="B47" s="154" t="s">
        <v>6</v>
      </c>
      <c r="C47" s="154" t="s">
        <v>3330</v>
      </c>
      <c r="D47" s="154" t="s">
        <v>203</v>
      </c>
      <c r="E47" s="154"/>
      <c r="F47" s="154" t="s">
        <v>136</v>
      </c>
      <c r="G47" s="154" t="s">
        <v>401</v>
      </c>
      <c r="H47" s="155"/>
      <c r="I47" s="154" t="s">
        <v>136</v>
      </c>
      <c r="J47" s="154" t="s">
        <v>3331</v>
      </c>
      <c r="K47" s="154" t="s">
        <v>2513</v>
      </c>
      <c r="L47" s="156" t="s">
        <v>54</v>
      </c>
    </row>
    <row r="48">
      <c r="A48" s="153">
        <v>18.0</v>
      </c>
      <c r="B48" s="154" t="s">
        <v>6</v>
      </c>
      <c r="C48" s="154" t="s">
        <v>3332</v>
      </c>
      <c r="D48" s="154" t="s">
        <v>420</v>
      </c>
      <c r="E48" s="154"/>
      <c r="F48" s="154" t="s">
        <v>136</v>
      </c>
      <c r="G48" s="154" t="s">
        <v>3333</v>
      </c>
      <c r="H48" s="154" t="s">
        <v>3334</v>
      </c>
      <c r="I48" s="154" t="s">
        <v>136</v>
      </c>
      <c r="J48" s="154" t="s">
        <v>3335</v>
      </c>
      <c r="K48" s="154" t="s">
        <v>3336</v>
      </c>
      <c r="L48" s="156" t="s">
        <v>54</v>
      </c>
    </row>
    <row r="49">
      <c r="A49" s="153">
        <v>48.0</v>
      </c>
      <c r="B49" s="154" t="s">
        <v>7</v>
      </c>
      <c r="C49" s="154" t="s">
        <v>3337</v>
      </c>
      <c r="D49" s="154" t="s">
        <v>263</v>
      </c>
      <c r="E49" s="154"/>
      <c r="F49" s="154" t="s">
        <v>136</v>
      </c>
      <c r="G49" s="154" t="s">
        <v>3338</v>
      </c>
      <c r="H49" s="154" t="s">
        <v>3339</v>
      </c>
      <c r="I49" s="154" t="s">
        <v>136</v>
      </c>
      <c r="J49" s="154" t="s">
        <v>3340</v>
      </c>
      <c r="K49" s="154" t="s">
        <v>185</v>
      </c>
      <c r="L49" s="156" t="s">
        <v>54</v>
      </c>
    </row>
    <row r="50">
      <c r="A50" s="153">
        <v>140.0</v>
      </c>
      <c r="B50" s="154" t="s">
        <v>6</v>
      </c>
      <c r="C50" s="154" t="s">
        <v>3341</v>
      </c>
      <c r="D50" s="154" t="s">
        <v>268</v>
      </c>
      <c r="E50" s="154"/>
      <c r="F50" s="154" t="s">
        <v>136</v>
      </c>
      <c r="G50" s="154" t="s">
        <v>3342</v>
      </c>
      <c r="H50" s="155"/>
      <c r="I50" s="154" t="s">
        <v>135</v>
      </c>
      <c r="J50" s="154" t="s">
        <v>3343</v>
      </c>
      <c r="K50" s="154" t="s">
        <v>2513</v>
      </c>
      <c r="L50" s="156" t="s">
        <v>54</v>
      </c>
    </row>
    <row r="51">
      <c r="A51" s="153">
        <v>42.0</v>
      </c>
      <c r="B51" s="154" t="s">
        <v>7</v>
      </c>
      <c r="C51" s="154" t="s">
        <v>3344</v>
      </c>
      <c r="D51" s="154" t="s">
        <v>203</v>
      </c>
      <c r="E51" s="154"/>
      <c r="F51" s="154" t="s">
        <v>136</v>
      </c>
      <c r="G51" s="154" t="s">
        <v>137</v>
      </c>
      <c r="H51" s="155"/>
      <c r="I51" s="154" t="s">
        <v>136</v>
      </c>
      <c r="J51" s="154" t="s">
        <v>3345</v>
      </c>
      <c r="K51" s="154" t="s">
        <v>3263</v>
      </c>
      <c r="L51" s="156" t="s">
        <v>54</v>
      </c>
    </row>
    <row r="52">
      <c r="A52" s="153">
        <v>23.0</v>
      </c>
      <c r="B52" s="154" t="s">
        <v>6</v>
      </c>
      <c r="C52" s="154" t="s">
        <v>3346</v>
      </c>
      <c r="D52" s="154" t="s">
        <v>134</v>
      </c>
      <c r="E52" s="154"/>
      <c r="F52" s="154" t="s">
        <v>136</v>
      </c>
      <c r="G52" s="154" t="s">
        <v>320</v>
      </c>
      <c r="H52" s="155"/>
      <c r="I52" s="154" t="s">
        <v>136</v>
      </c>
      <c r="J52" s="154" t="s">
        <v>3347</v>
      </c>
      <c r="K52" s="154" t="s">
        <v>3247</v>
      </c>
      <c r="L52" s="156" t="s">
        <v>54</v>
      </c>
    </row>
    <row r="53">
      <c r="A53" s="153">
        <v>92.0</v>
      </c>
      <c r="B53" s="154" t="s">
        <v>6</v>
      </c>
      <c r="C53" s="154" t="s">
        <v>3348</v>
      </c>
      <c r="D53" s="154" t="s">
        <v>263</v>
      </c>
      <c r="E53" s="154"/>
      <c r="F53" s="154" t="s">
        <v>136</v>
      </c>
      <c r="G53" s="154" t="s">
        <v>3349</v>
      </c>
      <c r="H53" s="154" t="s">
        <v>3350</v>
      </c>
      <c r="I53" s="154" t="s">
        <v>135</v>
      </c>
      <c r="J53" s="154" t="s">
        <v>3351</v>
      </c>
      <c r="K53" s="154" t="s">
        <v>2513</v>
      </c>
      <c r="L53" s="156" t="s">
        <v>54</v>
      </c>
    </row>
    <row r="54">
      <c r="A54" s="153">
        <v>135.0</v>
      </c>
      <c r="B54" s="154" t="s">
        <v>6</v>
      </c>
      <c r="C54" s="154" t="s">
        <v>3352</v>
      </c>
      <c r="D54" s="154" t="s">
        <v>263</v>
      </c>
      <c r="E54" s="154"/>
      <c r="F54" s="154" t="s">
        <v>136</v>
      </c>
      <c r="G54" s="154" t="s">
        <v>2873</v>
      </c>
      <c r="H54" s="154" t="s">
        <v>3353</v>
      </c>
      <c r="I54" s="154" t="s">
        <v>136</v>
      </c>
      <c r="J54" s="154" t="s">
        <v>3354</v>
      </c>
      <c r="K54" s="154" t="s">
        <v>3263</v>
      </c>
      <c r="L54" s="156" t="s">
        <v>54</v>
      </c>
    </row>
    <row r="55">
      <c r="A55" s="153">
        <v>58.0</v>
      </c>
      <c r="B55" s="154" t="s">
        <v>6</v>
      </c>
      <c r="C55" s="154" t="s">
        <v>3348</v>
      </c>
      <c r="D55" s="154" t="s">
        <v>263</v>
      </c>
      <c r="E55" s="154"/>
      <c r="F55" s="154" t="s">
        <v>136</v>
      </c>
      <c r="G55" s="154" t="s">
        <v>3355</v>
      </c>
      <c r="H55" s="154" t="s">
        <v>3356</v>
      </c>
      <c r="I55" s="154" t="s">
        <v>136</v>
      </c>
      <c r="J55" s="154" t="s">
        <v>3357</v>
      </c>
      <c r="K55" s="154" t="s">
        <v>185</v>
      </c>
      <c r="L55" s="156" t="s">
        <v>54</v>
      </c>
    </row>
    <row r="56">
      <c r="A56" s="153">
        <v>76.0</v>
      </c>
      <c r="B56" s="154" t="s">
        <v>6</v>
      </c>
      <c r="C56" s="154" t="s">
        <v>3358</v>
      </c>
      <c r="D56" s="154" t="s">
        <v>284</v>
      </c>
      <c r="E56" s="154"/>
      <c r="F56" s="154" t="s">
        <v>136</v>
      </c>
      <c r="G56" s="154" t="s">
        <v>1421</v>
      </c>
      <c r="H56" s="155"/>
      <c r="I56" s="154" t="s">
        <v>136</v>
      </c>
      <c r="J56" s="154" t="s">
        <v>3359</v>
      </c>
      <c r="K56" s="154" t="s">
        <v>3236</v>
      </c>
      <c r="L56" s="156" t="s">
        <v>54</v>
      </c>
    </row>
    <row r="57">
      <c r="A57" s="153">
        <v>36.0</v>
      </c>
      <c r="B57" s="154" t="s">
        <v>6</v>
      </c>
      <c r="C57" s="154" t="s">
        <v>3294</v>
      </c>
      <c r="D57" s="154" t="s">
        <v>203</v>
      </c>
      <c r="E57" s="154"/>
      <c r="F57" s="154" t="s">
        <v>136</v>
      </c>
      <c r="G57" s="154" t="s">
        <v>3360</v>
      </c>
      <c r="H57" s="155"/>
      <c r="I57" s="154" t="s">
        <v>135</v>
      </c>
      <c r="J57" s="154" t="s">
        <v>3361</v>
      </c>
      <c r="K57" s="154" t="s">
        <v>3252</v>
      </c>
      <c r="L57" s="156" t="s">
        <v>54</v>
      </c>
    </row>
    <row r="58">
      <c r="A58" s="153">
        <v>125.0</v>
      </c>
      <c r="B58" s="154" t="s">
        <v>7</v>
      </c>
      <c r="C58" s="154" t="s">
        <v>3362</v>
      </c>
      <c r="D58" s="154" t="s">
        <v>426</v>
      </c>
      <c r="E58" s="154"/>
      <c r="F58" s="154" t="s">
        <v>136</v>
      </c>
      <c r="G58" s="154" t="s">
        <v>157</v>
      </c>
      <c r="H58" s="155"/>
      <c r="I58" s="154" t="s">
        <v>136</v>
      </c>
      <c r="J58" s="154" t="s">
        <v>3363</v>
      </c>
      <c r="K58" s="154" t="s">
        <v>3252</v>
      </c>
      <c r="L58" s="156" t="s">
        <v>54</v>
      </c>
    </row>
    <row r="59">
      <c r="A59" s="153">
        <v>17.0</v>
      </c>
      <c r="B59" s="154" t="s">
        <v>6</v>
      </c>
      <c r="C59" s="154" t="s">
        <v>3364</v>
      </c>
      <c r="D59" s="154" t="s">
        <v>263</v>
      </c>
      <c r="E59" s="154"/>
      <c r="F59" s="154" t="s">
        <v>136</v>
      </c>
      <c r="G59" s="154" t="s">
        <v>191</v>
      </c>
      <c r="H59" s="155"/>
      <c r="I59" s="154" t="s">
        <v>136</v>
      </c>
      <c r="J59" s="154" t="s">
        <v>3365</v>
      </c>
      <c r="K59" s="154" t="s">
        <v>3247</v>
      </c>
      <c r="L59" s="156" t="s">
        <v>54</v>
      </c>
    </row>
    <row r="60">
      <c r="A60" s="153">
        <v>144.0</v>
      </c>
      <c r="B60" s="154" t="s">
        <v>6</v>
      </c>
      <c r="C60" s="154" t="s">
        <v>3366</v>
      </c>
      <c r="D60" s="154" t="s">
        <v>203</v>
      </c>
      <c r="E60" s="154"/>
      <c r="F60" s="154" t="s">
        <v>136</v>
      </c>
      <c r="G60" s="154" t="s">
        <v>401</v>
      </c>
      <c r="H60" s="155"/>
      <c r="I60" s="154" t="s">
        <v>136</v>
      </c>
      <c r="J60" s="157">
        <v>45659.06597222222</v>
      </c>
      <c r="K60" s="154" t="s">
        <v>3263</v>
      </c>
      <c r="L60" s="156" t="s">
        <v>54</v>
      </c>
    </row>
    <row r="61">
      <c r="A61" s="153">
        <v>43.0</v>
      </c>
      <c r="B61" s="154" t="s">
        <v>6</v>
      </c>
      <c r="C61" s="154" t="s">
        <v>3322</v>
      </c>
      <c r="D61" s="154" t="s">
        <v>263</v>
      </c>
      <c r="E61" s="154"/>
      <c r="F61" s="154" t="s">
        <v>136</v>
      </c>
      <c r="G61" s="154" t="s">
        <v>3367</v>
      </c>
      <c r="H61" s="155"/>
      <c r="I61" s="154" t="s">
        <v>136</v>
      </c>
      <c r="J61" s="154" t="s">
        <v>3368</v>
      </c>
      <c r="K61" s="154" t="s">
        <v>3247</v>
      </c>
      <c r="L61" s="156" t="s">
        <v>54</v>
      </c>
    </row>
    <row r="62">
      <c r="A62" s="153">
        <v>108.0</v>
      </c>
      <c r="B62" s="154" t="s">
        <v>6</v>
      </c>
      <c r="C62" s="154" t="s">
        <v>3369</v>
      </c>
      <c r="D62" s="154" t="s">
        <v>263</v>
      </c>
      <c r="E62" s="154"/>
      <c r="F62" s="154" t="s">
        <v>136</v>
      </c>
      <c r="G62" s="154" t="s">
        <v>137</v>
      </c>
      <c r="H62" s="155"/>
      <c r="I62" s="154" t="s">
        <v>136</v>
      </c>
      <c r="J62" s="154" t="s">
        <v>3370</v>
      </c>
      <c r="K62" s="154" t="s">
        <v>185</v>
      </c>
      <c r="L62" s="156" t="s">
        <v>54</v>
      </c>
    </row>
    <row r="63">
      <c r="A63" s="153">
        <v>117.0</v>
      </c>
      <c r="B63" s="154" t="s">
        <v>7</v>
      </c>
      <c r="C63" s="154" t="s">
        <v>3371</v>
      </c>
      <c r="D63" s="154" t="s">
        <v>347</v>
      </c>
      <c r="E63" s="154"/>
      <c r="F63" s="154" t="s">
        <v>136</v>
      </c>
      <c r="G63" s="154" t="s">
        <v>297</v>
      </c>
      <c r="H63" s="154" t="s">
        <v>3372</v>
      </c>
      <c r="I63" s="154" t="s">
        <v>136</v>
      </c>
      <c r="J63" s="154" t="s">
        <v>3373</v>
      </c>
      <c r="K63" s="154" t="s">
        <v>3247</v>
      </c>
      <c r="L63" s="156" t="s">
        <v>54</v>
      </c>
    </row>
    <row r="64">
      <c r="A64" s="153">
        <v>123.0</v>
      </c>
      <c r="B64" s="154" t="s">
        <v>6</v>
      </c>
      <c r="C64" s="154" t="s">
        <v>3374</v>
      </c>
      <c r="D64" s="154" t="s">
        <v>188</v>
      </c>
      <c r="E64" s="154"/>
      <c r="F64" s="154" t="s">
        <v>136</v>
      </c>
      <c r="G64" s="154" t="s">
        <v>137</v>
      </c>
      <c r="H64" s="155"/>
      <c r="I64" s="154" t="s">
        <v>136</v>
      </c>
      <c r="J64" s="154" t="s">
        <v>3375</v>
      </c>
      <c r="K64" s="154" t="s">
        <v>3336</v>
      </c>
      <c r="L64" s="156" t="s">
        <v>54</v>
      </c>
    </row>
    <row r="65">
      <c r="A65" s="153">
        <v>150.0</v>
      </c>
      <c r="B65" s="154" t="s">
        <v>7</v>
      </c>
      <c r="C65" s="154" t="s">
        <v>3281</v>
      </c>
      <c r="D65" s="154" t="s">
        <v>263</v>
      </c>
      <c r="E65" s="154"/>
      <c r="F65" s="154" t="s">
        <v>136</v>
      </c>
      <c r="G65" s="154" t="s">
        <v>231</v>
      </c>
      <c r="H65" s="155"/>
      <c r="I65" s="154" t="s">
        <v>136</v>
      </c>
      <c r="J65" s="157">
        <v>45660.49722222222</v>
      </c>
      <c r="K65" s="154" t="s">
        <v>185</v>
      </c>
      <c r="L65" s="156" t="s">
        <v>54</v>
      </c>
    </row>
    <row r="66">
      <c r="A66" s="153">
        <v>53.0</v>
      </c>
      <c r="B66" s="154" t="s">
        <v>6</v>
      </c>
      <c r="C66" s="154" t="s">
        <v>3344</v>
      </c>
      <c r="D66" s="154" t="s">
        <v>203</v>
      </c>
      <c r="E66" s="154"/>
      <c r="F66" s="154" t="s">
        <v>185</v>
      </c>
      <c r="G66" s="154" t="s">
        <v>221</v>
      </c>
      <c r="H66" s="154" t="s">
        <v>3376</v>
      </c>
      <c r="I66" s="154" t="s">
        <v>136</v>
      </c>
      <c r="J66" s="154" t="s">
        <v>3377</v>
      </c>
      <c r="K66" s="154" t="s">
        <v>3247</v>
      </c>
      <c r="L66" s="156" t="s">
        <v>54</v>
      </c>
    </row>
    <row r="67">
      <c r="A67" s="153">
        <v>122.0</v>
      </c>
      <c r="B67" s="154" t="s">
        <v>6</v>
      </c>
      <c r="C67" s="154" t="s">
        <v>3378</v>
      </c>
      <c r="D67" s="154" t="s">
        <v>426</v>
      </c>
      <c r="E67" s="154"/>
      <c r="F67" s="154" t="s">
        <v>136</v>
      </c>
      <c r="G67" s="154" t="s">
        <v>137</v>
      </c>
      <c r="H67" s="155"/>
      <c r="I67" s="154" t="s">
        <v>136</v>
      </c>
      <c r="J67" s="154" t="s">
        <v>3379</v>
      </c>
      <c r="K67" s="154" t="s">
        <v>185</v>
      </c>
      <c r="L67" s="156" t="s">
        <v>54</v>
      </c>
    </row>
    <row r="68">
      <c r="A68" s="153">
        <v>14.0</v>
      </c>
      <c r="B68" s="154" t="s">
        <v>6</v>
      </c>
      <c r="C68" s="154" t="s">
        <v>3380</v>
      </c>
      <c r="D68" s="154" t="s">
        <v>263</v>
      </c>
      <c r="E68" s="154"/>
      <c r="F68" s="154" t="s">
        <v>136</v>
      </c>
      <c r="G68" s="154" t="s">
        <v>271</v>
      </c>
      <c r="H68" s="155"/>
      <c r="I68" s="154" t="s">
        <v>136</v>
      </c>
      <c r="J68" s="154" t="s">
        <v>3381</v>
      </c>
      <c r="K68" s="154" t="s">
        <v>3247</v>
      </c>
      <c r="L68" s="156" t="s">
        <v>54</v>
      </c>
    </row>
    <row r="69">
      <c r="A69" s="153">
        <v>98.0</v>
      </c>
      <c r="B69" s="154" t="s">
        <v>6</v>
      </c>
      <c r="C69" s="154" t="s">
        <v>3382</v>
      </c>
      <c r="D69" s="154" t="s">
        <v>140</v>
      </c>
      <c r="E69" s="154"/>
      <c r="F69" s="154" t="s">
        <v>136</v>
      </c>
      <c r="G69" s="154" t="s">
        <v>221</v>
      </c>
      <c r="H69" s="155"/>
      <c r="I69" s="154" t="s">
        <v>136</v>
      </c>
      <c r="J69" s="154" t="s">
        <v>3383</v>
      </c>
      <c r="K69" s="154" t="s">
        <v>2513</v>
      </c>
      <c r="L69" s="156" t="s">
        <v>54</v>
      </c>
    </row>
    <row r="70">
      <c r="A70" s="153">
        <v>141.0</v>
      </c>
      <c r="B70" s="154" t="s">
        <v>6</v>
      </c>
      <c r="C70" s="154" t="s">
        <v>3384</v>
      </c>
      <c r="D70" s="154" t="s">
        <v>290</v>
      </c>
      <c r="E70" s="154"/>
      <c r="F70" s="154" t="s">
        <v>136</v>
      </c>
      <c r="G70" s="154" t="s">
        <v>221</v>
      </c>
      <c r="H70" s="154" t="s">
        <v>3385</v>
      </c>
      <c r="I70" s="154" t="s">
        <v>136</v>
      </c>
      <c r="J70" s="157">
        <v>45658.177083333336</v>
      </c>
      <c r="K70" s="154" t="s">
        <v>185</v>
      </c>
      <c r="L70" s="156" t="s">
        <v>54</v>
      </c>
    </row>
    <row r="71">
      <c r="A71" s="153">
        <v>136.0</v>
      </c>
      <c r="B71" s="154" t="s">
        <v>7</v>
      </c>
      <c r="C71" s="154" t="s">
        <v>3386</v>
      </c>
      <c r="D71" s="154" t="s">
        <v>239</v>
      </c>
      <c r="E71" s="154"/>
      <c r="F71" s="154" t="s">
        <v>136</v>
      </c>
      <c r="G71" s="154" t="s">
        <v>1197</v>
      </c>
      <c r="H71" s="154" t="s">
        <v>2958</v>
      </c>
      <c r="I71" s="154" t="s">
        <v>136</v>
      </c>
      <c r="J71" s="154" t="s">
        <v>3387</v>
      </c>
      <c r="K71" s="154" t="s">
        <v>185</v>
      </c>
      <c r="L71" s="156" t="s">
        <v>54</v>
      </c>
    </row>
    <row r="72">
      <c r="A72" s="153">
        <v>24.0</v>
      </c>
      <c r="B72" s="154" t="s">
        <v>7</v>
      </c>
      <c r="C72" s="154" t="s">
        <v>3388</v>
      </c>
      <c r="D72" s="154" t="s">
        <v>134</v>
      </c>
      <c r="E72" s="154"/>
      <c r="F72" s="154" t="s">
        <v>136</v>
      </c>
      <c r="G72" s="154" t="s">
        <v>137</v>
      </c>
      <c r="H72" s="155"/>
      <c r="I72" s="154" t="s">
        <v>136</v>
      </c>
      <c r="J72" s="154" t="s">
        <v>3389</v>
      </c>
      <c r="K72" s="154" t="s">
        <v>3247</v>
      </c>
      <c r="L72" s="156" t="s">
        <v>54</v>
      </c>
    </row>
    <row r="73">
      <c r="A73" s="153">
        <v>29.0</v>
      </c>
      <c r="B73" s="154" t="s">
        <v>7</v>
      </c>
      <c r="C73" s="154" t="s">
        <v>3390</v>
      </c>
      <c r="D73" s="154" t="s">
        <v>263</v>
      </c>
      <c r="E73" s="154"/>
      <c r="F73" s="154" t="s">
        <v>136</v>
      </c>
      <c r="G73" s="154" t="s">
        <v>137</v>
      </c>
      <c r="H73" s="154" t="s">
        <v>1556</v>
      </c>
      <c r="I73" s="154" t="s">
        <v>136</v>
      </c>
      <c r="J73" s="154" t="s">
        <v>3391</v>
      </c>
      <c r="K73" s="154" t="s">
        <v>3247</v>
      </c>
      <c r="L73" s="156" t="s">
        <v>54</v>
      </c>
    </row>
    <row r="74">
      <c r="A74" s="153">
        <v>5.0</v>
      </c>
      <c r="B74" s="154" t="s">
        <v>6</v>
      </c>
      <c r="C74" s="154" t="s">
        <v>693</v>
      </c>
      <c r="D74" s="154" t="s">
        <v>143</v>
      </c>
      <c r="E74" s="154"/>
      <c r="F74" s="154" t="s">
        <v>136</v>
      </c>
      <c r="G74" s="154" t="s">
        <v>271</v>
      </c>
      <c r="H74" s="154" t="s">
        <v>647</v>
      </c>
      <c r="I74" s="154" t="s">
        <v>136</v>
      </c>
      <c r="J74" s="154" t="s">
        <v>3392</v>
      </c>
      <c r="K74" s="154" t="s">
        <v>3263</v>
      </c>
      <c r="L74" s="156" t="s">
        <v>54</v>
      </c>
    </row>
    <row r="75">
      <c r="A75" s="153">
        <v>72.0</v>
      </c>
      <c r="B75" s="154" t="s">
        <v>6</v>
      </c>
      <c r="C75" s="154" t="s">
        <v>3393</v>
      </c>
      <c r="D75" s="154" t="s">
        <v>263</v>
      </c>
      <c r="E75" s="154"/>
      <c r="F75" s="154" t="s">
        <v>136</v>
      </c>
      <c r="G75" s="154" t="s">
        <v>534</v>
      </c>
      <c r="H75" s="155"/>
      <c r="I75" s="154" t="s">
        <v>136</v>
      </c>
      <c r="J75" s="154" t="s">
        <v>3394</v>
      </c>
      <c r="K75" s="154" t="s">
        <v>3267</v>
      </c>
      <c r="L75" s="156" t="s">
        <v>54</v>
      </c>
    </row>
    <row r="76">
      <c r="A76" s="153">
        <v>33.0</v>
      </c>
      <c r="B76" s="154" t="s">
        <v>6</v>
      </c>
      <c r="C76" s="154" t="s">
        <v>3380</v>
      </c>
      <c r="D76" s="154" t="s">
        <v>263</v>
      </c>
      <c r="E76" s="154"/>
      <c r="F76" s="154" t="s">
        <v>136</v>
      </c>
      <c r="G76" s="154" t="s">
        <v>320</v>
      </c>
      <c r="H76" s="154" t="s">
        <v>3395</v>
      </c>
      <c r="I76" s="154" t="s">
        <v>136</v>
      </c>
      <c r="J76" s="154" t="s">
        <v>3396</v>
      </c>
      <c r="K76" s="154" t="s">
        <v>3252</v>
      </c>
      <c r="L76" s="156" t="s">
        <v>54</v>
      </c>
    </row>
    <row r="77">
      <c r="A77" s="153">
        <v>56.0</v>
      </c>
      <c r="B77" s="154" t="s">
        <v>7</v>
      </c>
      <c r="C77" s="154" t="s">
        <v>3397</v>
      </c>
      <c r="D77" s="154" t="s">
        <v>203</v>
      </c>
      <c r="E77" s="154"/>
      <c r="F77" s="154" t="s">
        <v>136</v>
      </c>
      <c r="G77" s="154" t="s">
        <v>137</v>
      </c>
      <c r="H77" s="154" t="s">
        <v>3398</v>
      </c>
      <c r="I77" s="154" t="s">
        <v>136</v>
      </c>
      <c r="J77" s="154" t="s">
        <v>3399</v>
      </c>
      <c r="K77" s="154" t="s">
        <v>185</v>
      </c>
      <c r="L77" s="156" t="s">
        <v>54</v>
      </c>
    </row>
    <row r="78">
      <c r="A78" s="153">
        <v>69.0</v>
      </c>
      <c r="B78" s="154" t="s">
        <v>7</v>
      </c>
      <c r="C78" s="154" t="s">
        <v>3400</v>
      </c>
      <c r="D78" s="154" t="s">
        <v>313</v>
      </c>
      <c r="E78" s="154"/>
      <c r="F78" s="154" t="s">
        <v>136</v>
      </c>
      <c r="G78" s="154" t="s">
        <v>367</v>
      </c>
      <c r="H78" s="155"/>
      <c r="I78" s="154" t="s">
        <v>136</v>
      </c>
      <c r="J78" s="154" t="s">
        <v>3401</v>
      </c>
      <c r="K78" s="154" t="s">
        <v>185</v>
      </c>
      <c r="L78" s="156" t="s">
        <v>54</v>
      </c>
    </row>
    <row r="79">
      <c r="A79" s="153">
        <v>148.0</v>
      </c>
      <c r="B79" s="154" t="s">
        <v>7</v>
      </c>
      <c r="C79" s="154" t="s">
        <v>633</v>
      </c>
      <c r="D79" s="154" t="s">
        <v>164</v>
      </c>
      <c r="E79" s="154"/>
      <c r="F79" s="154" t="s">
        <v>136</v>
      </c>
      <c r="G79" s="154" t="s">
        <v>137</v>
      </c>
      <c r="H79" s="155"/>
      <c r="I79" s="154" t="s">
        <v>136</v>
      </c>
      <c r="J79" s="157">
        <v>45660.06736111111</v>
      </c>
      <c r="K79" s="154" t="s">
        <v>3267</v>
      </c>
      <c r="L79" s="156" t="s">
        <v>54</v>
      </c>
    </row>
    <row r="80">
      <c r="A80" s="153">
        <v>138.0</v>
      </c>
      <c r="B80" s="154" t="s">
        <v>7</v>
      </c>
      <c r="C80" s="154" t="s">
        <v>1565</v>
      </c>
      <c r="D80" s="154" t="s">
        <v>296</v>
      </c>
      <c r="E80" s="154"/>
      <c r="F80" s="154" t="s">
        <v>136</v>
      </c>
      <c r="G80" s="154" t="s">
        <v>221</v>
      </c>
      <c r="H80" s="155"/>
      <c r="I80" s="154" t="s">
        <v>136</v>
      </c>
      <c r="J80" s="154" t="s">
        <v>3402</v>
      </c>
      <c r="K80" s="154" t="s">
        <v>2513</v>
      </c>
      <c r="L80" s="156" t="s">
        <v>54</v>
      </c>
    </row>
    <row r="81">
      <c r="A81" s="153">
        <v>147.0</v>
      </c>
      <c r="B81" s="154" t="s">
        <v>6</v>
      </c>
      <c r="C81" s="154" t="s">
        <v>3403</v>
      </c>
      <c r="D81" s="154" t="s">
        <v>263</v>
      </c>
      <c r="E81" s="154"/>
      <c r="F81" s="154" t="s">
        <v>136</v>
      </c>
      <c r="G81" s="154" t="s">
        <v>650</v>
      </c>
      <c r="H81" s="155"/>
      <c r="I81" s="154" t="s">
        <v>136</v>
      </c>
      <c r="J81" s="157">
        <v>45659.52569444444</v>
      </c>
      <c r="K81" s="154" t="s">
        <v>3247</v>
      </c>
      <c r="L81" s="156" t="s">
        <v>54</v>
      </c>
    </row>
    <row r="82">
      <c r="A82" s="153">
        <v>28.0</v>
      </c>
      <c r="B82" s="154" t="s">
        <v>6</v>
      </c>
      <c r="C82" s="154" t="s">
        <v>3268</v>
      </c>
      <c r="D82" s="154" t="s">
        <v>263</v>
      </c>
      <c r="E82" s="154"/>
      <c r="F82" s="154" t="s">
        <v>136</v>
      </c>
      <c r="G82" s="154" t="s">
        <v>395</v>
      </c>
      <c r="H82" s="155"/>
      <c r="I82" s="154" t="s">
        <v>135</v>
      </c>
      <c r="J82" s="154" t="s">
        <v>3404</v>
      </c>
      <c r="K82" s="154" t="s">
        <v>3247</v>
      </c>
      <c r="L82" s="156" t="s">
        <v>54</v>
      </c>
    </row>
    <row r="83">
      <c r="A83" s="153">
        <v>78.0</v>
      </c>
      <c r="B83" s="154" t="s">
        <v>6</v>
      </c>
      <c r="C83" s="154" t="s">
        <v>3405</v>
      </c>
      <c r="D83" s="154" t="s">
        <v>284</v>
      </c>
      <c r="E83" s="154"/>
      <c r="F83" s="154" t="s">
        <v>136</v>
      </c>
      <c r="G83" s="154" t="s">
        <v>606</v>
      </c>
      <c r="H83" s="155"/>
      <c r="I83" s="154" t="s">
        <v>136</v>
      </c>
      <c r="J83" s="154" t="s">
        <v>3406</v>
      </c>
      <c r="K83" s="154" t="s">
        <v>3252</v>
      </c>
      <c r="L83" s="156" t="s">
        <v>54</v>
      </c>
    </row>
    <row r="84">
      <c r="A84" s="153">
        <v>114.0</v>
      </c>
      <c r="B84" s="154" t="s">
        <v>6</v>
      </c>
      <c r="C84" s="154" t="s">
        <v>3407</v>
      </c>
      <c r="D84" s="154" t="s">
        <v>188</v>
      </c>
      <c r="E84" s="154"/>
      <c r="F84" s="154" t="s">
        <v>136</v>
      </c>
      <c r="G84" s="154" t="s">
        <v>221</v>
      </c>
      <c r="H84" s="155"/>
      <c r="I84" s="154" t="s">
        <v>136</v>
      </c>
      <c r="J84" s="154" t="s">
        <v>3408</v>
      </c>
      <c r="K84" s="154" t="s">
        <v>3252</v>
      </c>
      <c r="L84" s="156" t="s">
        <v>54</v>
      </c>
    </row>
    <row r="85">
      <c r="A85" s="153">
        <v>96.0</v>
      </c>
      <c r="B85" s="154" t="s">
        <v>6</v>
      </c>
      <c r="C85" s="154" t="s">
        <v>3409</v>
      </c>
      <c r="D85" s="154" t="s">
        <v>198</v>
      </c>
      <c r="E85" s="154"/>
      <c r="F85" s="154" t="s">
        <v>136</v>
      </c>
      <c r="G85" s="154" t="s">
        <v>221</v>
      </c>
      <c r="H85" s="155"/>
      <c r="I85" s="154" t="s">
        <v>136</v>
      </c>
      <c r="J85" s="154" t="s">
        <v>3410</v>
      </c>
      <c r="K85" s="154" t="s">
        <v>3252</v>
      </c>
      <c r="L85" s="156" t="s">
        <v>54</v>
      </c>
    </row>
    <row r="86">
      <c r="A86" s="153">
        <v>111.0</v>
      </c>
      <c r="B86" s="154" t="s">
        <v>6</v>
      </c>
      <c r="C86" s="154" t="s">
        <v>3411</v>
      </c>
      <c r="D86" s="154" t="s">
        <v>244</v>
      </c>
      <c r="E86" s="154"/>
      <c r="F86" s="154" t="s">
        <v>136</v>
      </c>
      <c r="G86" s="154" t="s">
        <v>221</v>
      </c>
      <c r="H86" s="155"/>
      <c r="I86" s="154" t="s">
        <v>136</v>
      </c>
      <c r="J86" s="154" t="s">
        <v>3412</v>
      </c>
      <c r="K86" s="154" t="s">
        <v>3252</v>
      </c>
      <c r="L86" s="156" t="s">
        <v>54</v>
      </c>
    </row>
    <row r="87">
      <c r="A87" s="153">
        <v>94.0</v>
      </c>
      <c r="B87" s="154" t="s">
        <v>6</v>
      </c>
      <c r="C87" s="154" t="s">
        <v>3413</v>
      </c>
      <c r="D87" s="154" t="s">
        <v>194</v>
      </c>
      <c r="E87" s="154"/>
      <c r="F87" s="154" t="s">
        <v>136</v>
      </c>
      <c r="G87" s="154" t="s">
        <v>221</v>
      </c>
      <c r="H87" s="155"/>
      <c r="I87" s="154" t="s">
        <v>136</v>
      </c>
      <c r="J87" s="154" t="s">
        <v>3414</v>
      </c>
      <c r="K87" s="154" t="s">
        <v>3252</v>
      </c>
      <c r="L87" s="156" t="s">
        <v>54</v>
      </c>
    </row>
    <row r="88">
      <c r="A88" s="153">
        <v>26.0</v>
      </c>
      <c r="B88" s="154" t="s">
        <v>6</v>
      </c>
      <c r="C88" s="154" t="s">
        <v>3415</v>
      </c>
      <c r="D88" s="154" t="s">
        <v>258</v>
      </c>
      <c r="E88" s="154"/>
      <c r="F88" s="154" t="s">
        <v>136</v>
      </c>
      <c r="G88" s="154" t="s">
        <v>221</v>
      </c>
      <c r="H88" s="155"/>
      <c r="I88" s="154" t="s">
        <v>136</v>
      </c>
      <c r="J88" s="154" t="s">
        <v>3416</v>
      </c>
      <c r="K88" s="154" t="s">
        <v>2513</v>
      </c>
      <c r="L88" s="156" t="s">
        <v>54</v>
      </c>
    </row>
    <row r="89">
      <c r="A89" s="153">
        <v>74.0</v>
      </c>
      <c r="B89" s="154" t="s">
        <v>6</v>
      </c>
      <c r="C89" s="154" t="s">
        <v>1802</v>
      </c>
      <c r="D89" s="154" t="s">
        <v>263</v>
      </c>
      <c r="E89" s="154"/>
      <c r="F89" s="154" t="s">
        <v>136</v>
      </c>
      <c r="G89" s="154" t="s">
        <v>395</v>
      </c>
      <c r="H89" s="155"/>
      <c r="I89" s="154" t="s">
        <v>135</v>
      </c>
      <c r="J89" s="154" t="s">
        <v>3417</v>
      </c>
      <c r="K89" s="154" t="s">
        <v>2513</v>
      </c>
      <c r="L89" s="156" t="s">
        <v>54</v>
      </c>
    </row>
    <row r="90">
      <c r="A90" s="153">
        <v>88.0</v>
      </c>
      <c r="B90" s="154" t="s">
        <v>6</v>
      </c>
      <c r="C90" s="154" t="s">
        <v>3418</v>
      </c>
      <c r="D90" s="154" t="s">
        <v>203</v>
      </c>
      <c r="E90" s="154"/>
      <c r="F90" s="154" t="s">
        <v>136</v>
      </c>
      <c r="G90" s="154" t="s">
        <v>221</v>
      </c>
      <c r="H90" s="155"/>
      <c r="I90" s="154" t="s">
        <v>136</v>
      </c>
      <c r="J90" s="154" t="s">
        <v>3419</v>
      </c>
      <c r="K90" s="154" t="s">
        <v>185</v>
      </c>
      <c r="L90" s="156" t="s">
        <v>54</v>
      </c>
    </row>
    <row r="91">
      <c r="A91" s="153">
        <v>113.0</v>
      </c>
      <c r="B91" s="154" t="s">
        <v>7</v>
      </c>
      <c r="C91" s="154" t="s">
        <v>3420</v>
      </c>
      <c r="D91" s="154" t="s">
        <v>426</v>
      </c>
      <c r="E91" s="154"/>
      <c r="F91" s="154" t="s">
        <v>136</v>
      </c>
      <c r="G91" s="154" t="s">
        <v>969</v>
      </c>
      <c r="H91" s="154" t="s">
        <v>3421</v>
      </c>
      <c r="I91" s="154" t="s">
        <v>136</v>
      </c>
      <c r="J91" s="154" t="s">
        <v>3422</v>
      </c>
      <c r="K91" s="154" t="s">
        <v>3267</v>
      </c>
      <c r="L91" s="156" t="s">
        <v>54</v>
      </c>
    </row>
    <row r="92">
      <c r="A92" s="153">
        <v>99.0</v>
      </c>
      <c r="B92" s="154" t="s">
        <v>7</v>
      </c>
      <c r="C92" s="154" t="s">
        <v>379</v>
      </c>
      <c r="D92" s="154" t="s">
        <v>202</v>
      </c>
      <c r="E92" s="154"/>
      <c r="F92" s="154" t="s">
        <v>136</v>
      </c>
      <c r="G92" s="154" t="s">
        <v>221</v>
      </c>
      <c r="H92" s="154" t="s">
        <v>3423</v>
      </c>
      <c r="I92" s="154" t="s">
        <v>136</v>
      </c>
      <c r="J92" s="154" t="s">
        <v>3424</v>
      </c>
      <c r="K92" s="154" t="s">
        <v>3267</v>
      </c>
      <c r="L92" s="156" t="s">
        <v>54</v>
      </c>
    </row>
    <row r="93">
      <c r="A93" s="153">
        <v>73.0</v>
      </c>
      <c r="B93" s="154" t="s">
        <v>7</v>
      </c>
      <c r="C93" s="154" t="s">
        <v>3425</v>
      </c>
      <c r="D93" s="154" t="s">
        <v>263</v>
      </c>
      <c r="E93" s="154"/>
      <c r="F93" s="154" t="s">
        <v>136</v>
      </c>
      <c r="G93" s="154" t="s">
        <v>137</v>
      </c>
      <c r="H93" s="154" t="s">
        <v>3426</v>
      </c>
      <c r="I93" s="154" t="s">
        <v>136</v>
      </c>
      <c r="J93" s="154" t="s">
        <v>3427</v>
      </c>
      <c r="K93" s="154" t="s">
        <v>2513</v>
      </c>
      <c r="L93" s="156" t="s">
        <v>54</v>
      </c>
    </row>
    <row r="94">
      <c r="A94" s="153">
        <v>110.0</v>
      </c>
      <c r="B94" s="154" t="s">
        <v>6</v>
      </c>
      <c r="C94" s="154" t="s">
        <v>3280</v>
      </c>
      <c r="D94" s="154" t="s">
        <v>263</v>
      </c>
      <c r="E94" s="154"/>
      <c r="F94" s="154" t="s">
        <v>136</v>
      </c>
      <c r="G94" s="154" t="s">
        <v>180</v>
      </c>
      <c r="H94" s="155"/>
      <c r="I94" s="154" t="s">
        <v>135</v>
      </c>
      <c r="J94" s="154" t="s">
        <v>3428</v>
      </c>
      <c r="K94" s="154" t="s">
        <v>3247</v>
      </c>
      <c r="L94" s="156" t="s">
        <v>54</v>
      </c>
    </row>
    <row r="95">
      <c r="A95" s="153">
        <v>59.0</v>
      </c>
      <c r="B95" s="154" t="s">
        <v>7</v>
      </c>
      <c r="C95" s="154" t="s">
        <v>3429</v>
      </c>
      <c r="D95" s="154" t="s">
        <v>263</v>
      </c>
      <c r="E95" s="154"/>
      <c r="F95" s="154" t="s">
        <v>136</v>
      </c>
      <c r="G95" s="154" t="s">
        <v>221</v>
      </c>
      <c r="H95" s="155"/>
      <c r="I95" s="154" t="s">
        <v>136</v>
      </c>
      <c r="J95" s="154" t="s">
        <v>3430</v>
      </c>
      <c r="K95" s="154" t="s">
        <v>3236</v>
      </c>
      <c r="L95" s="156" t="s">
        <v>54</v>
      </c>
    </row>
    <row r="96">
      <c r="A96" s="153">
        <v>11.0</v>
      </c>
      <c r="B96" s="154" t="s">
        <v>6</v>
      </c>
      <c r="C96" s="154" t="s">
        <v>3431</v>
      </c>
      <c r="D96" s="154" t="s">
        <v>263</v>
      </c>
      <c r="E96" s="154"/>
      <c r="F96" s="154" t="s">
        <v>136</v>
      </c>
      <c r="G96" s="154" t="s">
        <v>221</v>
      </c>
      <c r="H96" s="155"/>
      <c r="I96" s="154" t="s">
        <v>135</v>
      </c>
      <c r="J96" s="154" t="s">
        <v>3432</v>
      </c>
      <c r="K96" s="154" t="s">
        <v>3247</v>
      </c>
      <c r="L96" s="156" t="s">
        <v>54</v>
      </c>
    </row>
    <row r="97">
      <c r="A97" s="153">
        <v>112.0</v>
      </c>
      <c r="B97" s="154" t="s">
        <v>7</v>
      </c>
      <c r="C97" s="154" t="s">
        <v>971</v>
      </c>
      <c r="D97" s="154" t="s">
        <v>143</v>
      </c>
      <c r="E97" s="154"/>
      <c r="F97" s="154" t="s">
        <v>136</v>
      </c>
      <c r="G97" s="154" t="s">
        <v>320</v>
      </c>
      <c r="H97" s="155"/>
      <c r="I97" s="154" t="s">
        <v>136</v>
      </c>
      <c r="J97" s="154" t="s">
        <v>3433</v>
      </c>
      <c r="K97" s="154" t="s">
        <v>185</v>
      </c>
      <c r="L97" s="156" t="s">
        <v>54</v>
      </c>
    </row>
    <row r="98">
      <c r="A98" s="153">
        <v>130.0</v>
      </c>
      <c r="B98" s="154" t="s">
        <v>6</v>
      </c>
      <c r="C98" s="154" t="s">
        <v>2844</v>
      </c>
      <c r="D98" s="154" t="s">
        <v>177</v>
      </c>
      <c r="E98" s="154"/>
      <c r="F98" s="154" t="s">
        <v>136</v>
      </c>
      <c r="G98" s="154" t="s">
        <v>335</v>
      </c>
      <c r="H98" s="155"/>
      <c r="I98" s="154" t="s">
        <v>136</v>
      </c>
      <c r="J98" s="154" t="s">
        <v>3434</v>
      </c>
      <c r="K98" s="154" t="s">
        <v>3252</v>
      </c>
      <c r="L98" s="156" t="s">
        <v>54</v>
      </c>
    </row>
    <row r="99">
      <c r="A99" s="153">
        <v>65.0</v>
      </c>
      <c r="B99" s="154" t="s">
        <v>6</v>
      </c>
      <c r="C99" s="154" t="s">
        <v>3435</v>
      </c>
      <c r="D99" s="154" t="s">
        <v>177</v>
      </c>
      <c r="E99" s="154"/>
      <c r="F99" s="154" t="s">
        <v>136</v>
      </c>
      <c r="G99" s="154" t="s">
        <v>367</v>
      </c>
      <c r="H99" s="155"/>
      <c r="I99" s="154" t="s">
        <v>135</v>
      </c>
      <c r="J99" s="154" t="s">
        <v>3436</v>
      </c>
      <c r="K99" s="154" t="s">
        <v>3252</v>
      </c>
      <c r="L99" s="156" t="s">
        <v>54</v>
      </c>
    </row>
    <row r="100">
      <c r="A100" s="153">
        <v>47.0</v>
      </c>
      <c r="B100" s="154" t="s">
        <v>7</v>
      </c>
      <c r="C100" s="154" t="s">
        <v>3437</v>
      </c>
      <c r="D100" s="154" t="s">
        <v>263</v>
      </c>
      <c r="E100" s="154"/>
      <c r="F100" s="154" t="s">
        <v>136</v>
      </c>
      <c r="G100" s="154" t="s">
        <v>137</v>
      </c>
      <c r="H100" s="155"/>
      <c r="I100" s="154" t="s">
        <v>136</v>
      </c>
      <c r="J100" s="154" t="s">
        <v>3438</v>
      </c>
      <c r="K100" s="154" t="s">
        <v>2513</v>
      </c>
      <c r="L100" s="156" t="s">
        <v>54</v>
      </c>
    </row>
    <row r="101">
      <c r="A101" s="153">
        <v>9.0</v>
      </c>
      <c r="B101" s="154" t="s">
        <v>6</v>
      </c>
      <c r="C101" s="154" t="s">
        <v>3439</v>
      </c>
      <c r="D101" s="154" t="s">
        <v>263</v>
      </c>
      <c r="E101" s="154"/>
      <c r="F101" s="154" t="s">
        <v>136</v>
      </c>
      <c r="G101" s="154" t="s">
        <v>367</v>
      </c>
      <c r="H101" s="155"/>
      <c r="I101" s="154" t="s">
        <v>135</v>
      </c>
      <c r="J101" s="154" t="s">
        <v>3440</v>
      </c>
      <c r="K101" s="154" t="s">
        <v>2513</v>
      </c>
      <c r="L101" s="156" t="s">
        <v>54</v>
      </c>
    </row>
    <row r="102">
      <c r="A102" s="153">
        <v>124.0</v>
      </c>
      <c r="B102" s="154" t="s">
        <v>6</v>
      </c>
      <c r="C102" s="154" t="s">
        <v>909</v>
      </c>
      <c r="D102" s="154" t="s">
        <v>243</v>
      </c>
      <c r="E102" s="154"/>
      <c r="F102" s="154" t="s">
        <v>136</v>
      </c>
      <c r="G102" s="154" t="s">
        <v>1829</v>
      </c>
      <c r="H102" s="154" t="s">
        <v>3441</v>
      </c>
      <c r="I102" s="154" t="s">
        <v>136</v>
      </c>
      <c r="J102" s="154" t="s">
        <v>3442</v>
      </c>
      <c r="K102" s="154" t="s">
        <v>3267</v>
      </c>
      <c r="L102" s="156" t="s">
        <v>54</v>
      </c>
    </row>
    <row r="103">
      <c r="A103" s="153">
        <v>52.0</v>
      </c>
      <c r="B103" s="154" t="s">
        <v>6</v>
      </c>
      <c r="C103" s="154" t="s">
        <v>3443</v>
      </c>
      <c r="D103" s="154" t="s">
        <v>290</v>
      </c>
      <c r="E103" s="154"/>
      <c r="F103" s="154" t="s">
        <v>136</v>
      </c>
      <c r="G103" s="154" t="s">
        <v>320</v>
      </c>
      <c r="H103" s="155"/>
      <c r="I103" s="154" t="s">
        <v>136</v>
      </c>
      <c r="J103" s="154" t="s">
        <v>3444</v>
      </c>
      <c r="K103" s="154" t="s">
        <v>3275</v>
      </c>
      <c r="L103" s="156" t="s">
        <v>54</v>
      </c>
    </row>
    <row r="104">
      <c r="A104" s="153">
        <v>105.0</v>
      </c>
      <c r="B104" s="154" t="s">
        <v>6</v>
      </c>
      <c r="C104" s="154" t="s">
        <v>1957</v>
      </c>
      <c r="D104" s="154" t="s">
        <v>263</v>
      </c>
      <c r="E104" s="154"/>
      <c r="F104" s="154" t="s">
        <v>3299</v>
      </c>
      <c r="G104" s="154" t="s">
        <v>310</v>
      </c>
      <c r="H104" s="155"/>
      <c r="I104" s="154" t="s">
        <v>136</v>
      </c>
      <c r="J104" s="154" t="s">
        <v>3445</v>
      </c>
      <c r="K104" s="154" t="s">
        <v>3247</v>
      </c>
      <c r="L104" s="156" t="s">
        <v>54</v>
      </c>
    </row>
    <row r="105">
      <c r="A105" s="153">
        <v>39.0</v>
      </c>
      <c r="B105" s="154" t="s">
        <v>6</v>
      </c>
      <c r="C105" s="154" t="s">
        <v>3446</v>
      </c>
      <c r="D105" s="154" t="s">
        <v>203</v>
      </c>
      <c r="E105" s="154"/>
      <c r="F105" s="154" t="s">
        <v>136</v>
      </c>
      <c r="G105" s="154" t="s">
        <v>3447</v>
      </c>
      <c r="H105" s="155"/>
      <c r="I105" s="154" t="s">
        <v>136</v>
      </c>
      <c r="J105" s="154" t="s">
        <v>3448</v>
      </c>
      <c r="K105" s="154" t="s">
        <v>2513</v>
      </c>
      <c r="L105" s="156" t="s">
        <v>54</v>
      </c>
    </row>
    <row r="106">
      <c r="A106" s="153">
        <v>131.0</v>
      </c>
      <c r="B106" s="154" t="s">
        <v>6</v>
      </c>
      <c r="C106" s="154" t="s">
        <v>3449</v>
      </c>
      <c r="D106" s="154" t="s">
        <v>188</v>
      </c>
      <c r="E106" s="154"/>
      <c r="F106" s="154" t="s">
        <v>136</v>
      </c>
      <c r="G106" s="154" t="s">
        <v>185</v>
      </c>
      <c r="H106" s="154" t="s">
        <v>3450</v>
      </c>
      <c r="I106" s="154" t="s">
        <v>136</v>
      </c>
      <c r="J106" s="154" t="s">
        <v>3451</v>
      </c>
      <c r="K106" s="154" t="s">
        <v>3267</v>
      </c>
      <c r="L106" s="156" t="s">
        <v>54</v>
      </c>
    </row>
    <row r="107">
      <c r="A107" s="180">
        <v>7.0</v>
      </c>
      <c r="B107" s="181" t="s">
        <v>6</v>
      </c>
      <c r="C107" s="181" t="s">
        <v>3452</v>
      </c>
      <c r="D107" s="181" t="s">
        <v>313</v>
      </c>
      <c r="E107" s="181"/>
      <c r="F107" s="181" t="s">
        <v>136</v>
      </c>
      <c r="G107" s="181" t="s">
        <v>137</v>
      </c>
      <c r="H107" s="182"/>
      <c r="I107" s="181" t="s">
        <v>136</v>
      </c>
      <c r="J107" s="181" t="s">
        <v>3272</v>
      </c>
      <c r="K107" s="181" t="s">
        <v>3247</v>
      </c>
      <c r="L107" s="156" t="s">
        <v>54</v>
      </c>
    </row>
    <row r="108">
      <c r="A108" s="153">
        <v>118.0</v>
      </c>
      <c r="B108" s="154" t="s">
        <v>6</v>
      </c>
      <c r="C108" s="154" t="s">
        <v>1080</v>
      </c>
      <c r="D108" s="154" t="s">
        <v>243</v>
      </c>
      <c r="E108" s="154"/>
      <c r="F108" s="154" t="s">
        <v>136</v>
      </c>
      <c r="G108" s="154" t="s">
        <v>1295</v>
      </c>
      <c r="H108" s="155"/>
      <c r="I108" s="154" t="s">
        <v>136</v>
      </c>
      <c r="J108" s="154" t="s">
        <v>3453</v>
      </c>
      <c r="K108" s="154" t="s">
        <v>3267</v>
      </c>
      <c r="L108" s="156" t="s">
        <v>54</v>
      </c>
    </row>
    <row r="109">
      <c r="A109" s="153">
        <v>66.0</v>
      </c>
      <c r="B109" s="154" t="s">
        <v>6</v>
      </c>
      <c r="C109" s="154" t="s">
        <v>602</v>
      </c>
      <c r="D109" s="154" t="s">
        <v>284</v>
      </c>
      <c r="E109" s="154"/>
      <c r="F109" s="154" t="s">
        <v>136</v>
      </c>
      <c r="G109" s="154" t="s">
        <v>221</v>
      </c>
      <c r="H109" s="155"/>
      <c r="I109" s="154" t="s">
        <v>136</v>
      </c>
      <c r="J109" s="154" t="s">
        <v>3454</v>
      </c>
      <c r="K109" s="154" t="s">
        <v>3336</v>
      </c>
      <c r="L109" s="156" t="s">
        <v>54</v>
      </c>
    </row>
    <row r="110">
      <c r="A110" s="153">
        <v>100.0</v>
      </c>
      <c r="B110" s="154" t="s">
        <v>7</v>
      </c>
      <c r="C110" s="154" t="s">
        <v>3455</v>
      </c>
      <c r="D110" s="154" t="s">
        <v>202</v>
      </c>
      <c r="E110" s="154"/>
      <c r="F110" s="154" t="s">
        <v>136</v>
      </c>
      <c r="G110" s="154" t="s">
        <v>271</v>
      </c>
      <c r="H110" s="155"/>
      <c r="I110" s="154" t="s">
        <v>136</v>
      </c>
      <c r="J110" s="154" t="s">
        <v>3456</v>
      </c>
      <c r="K110" s="154" t="s">
        <v>2513</v>
      </c>
      <c r="L110" s="156" t="s">
        <v>54</v>
      </c>
    </row>
    <row r="111">
      <c r="A111" s="153">
        <v>129.0</v>
      </c>
      <c r="B111" s="154" t="s">
        <v>7</v>
      </c>
      <c r="C111" s="154" t="s">
        <v>3457</v>
      </c>
      <c r="D111" s="154" t="s">
        <v>193</v>
      </c>
      <c r="E111" s="154"/>
      <c r="F111" s="154" t="s">
        <v>136</v>
      </c>
      <c r="G111" s="154" t="s">
        <v>367</v>
      </c>
      <c r="H111" s="155"/>
      <c r="I111" s="154" t="s">
        <v>136</v>
      </c>
      <c r="J111" s="154" t="s">
        <v>3458</v>
      </c>
      <c r="K111" s="154" t="s">
        <v>3240</v>
      </c>
      <c r="L111" s="156" t="s">
        <v>54</v>
      </c>
    </row>
    <row r="112">
      <c r="A112" s="153">
        <v>71.0</v>
      </c>
      <c r="B112" s="154" t="s">
        <v>7</v>
      </c>
      <c r="C112" s="154" t="s">
        <v>3459</v>
      </c>
      <c r="D112" s="154" t="s">
        <v>263</v>
      </c>
      <c r="E112" s="154"/>
      <c r="F112" s="154" t="s">
        <v>3299</v>
      </c>
      <c r="G112" s="154" t="s">
        <v>221</v>
      </c>
      <c r="H112" s="155"/>
      <c r="I112" s="154" t="s">
        <v>136</v>
      </c>
      <c r="J112" s="154" t="s">
        <v>3460</v>
      </c>
      <c r="K112" s="154" t="s">
        <v>2513</v>
      </c>
      <c r="L112" s="156" t="s">
        <v>54</v>
      </c>
    </row>
    <row r="113">
      <c r="A113" s="153">
        <v>139.0</v>
      </c>
      <c r="B113" s="154" t="s">
        <v>6</v>
      </c>
      <c r="C113" s="154" t="s">
        <v>3461</v>
      </c>
      <c r="D113" s="154" t="s">
        <v>400</v>
      </c>
      <c r="E113" s="154"/>
      <c r="F113" s="154" t="s">
        <v>136</v>
      </c>
      <c r="G113" s="154" t="s">
        <v>271</v>
      </c>
      <c r="H113" s="154" t="s">
        <v>2108</v>
      </c>
      <c r="I113" s="154" t="s">
        <v>136</v>
      </c>
      <c r="J113" s="154" t="s">
        <v>3462</v>
      </c>
      <c r="K113" s="154" t="s">
        <v>2513</v>
      </c>
      <c r="L113" s="156" t="s">
        <v>54</v>
      </c>
    </row>
    <row r="114">
      <c r="A114" s="153">
        <v>83.0</v>
      </c>
      <c r="B114" s="154" t="s">
        <v>7</v>
      </c>
      <c r="C114" s="154" t="s">
        <v>3243</v>
      </c>
      <c r="D114" s="154" t="s">
        <v>263</v>
      </c>
      <c r="E114" s="154"/>
      <c r="F114" s="154" t="s">
        <v>136</v>
      </c>
      <c r="G114" s="154" t="s">
        <v>137</v>
      </c>
      <c r="H114" s="155"/>
      <c r="I114" s="154" t="s">
        <v>136</v>
      </c>
      <c r="J114" s="154" t="s">
        <v>3463</v>
      </c>
      <c r="K114" s="154" t="s">
        <v>2513</v>
      </c>
      <c r="L114" s="156" t="s">
        <v>54</v>
      </c>
    </row>
    <row r="115">
      <c r="A115" s="153">
        <v>132.0</v>
      </c>
      <c r="B115" s="154" t="s">
        <v>6</v>
      </c>
      <c r="C115" s="154" t="s">
        <v>3464</v>
      </c>
      <c r="D115" s="154" t="s">
        <v>263</v>
      </c>
      <c r="E115" s="154"/>
      <c r="F115" s="154" t="s">
        <v>136</v>
      </c>
      <c r="G115" s="154" t="s">
        <v>3465</v>
      </c>
      <c r="H115" s="155"/>
      <c r="I115" s="154" t="s">
        <v>136</v>
      </c>
      <c r="J115" s="154" t="s">
        <v>3466</v>
      </c>
      <c r="K115" s="154" t="s">
        <v>185</v>
      </c>
      <c r="L115" s="156" t="s">
        <v>54</v>
      </c>
    </row>
    <row r="116">
      <c r="A116" s="153">
        <v>93.0</v>
      </c>
      <c r="B116" s="154" t="s">
        <v>6</v>
      </c>
      <c r="C116" s="154" t="s">
        <v>3467</v>
      </c>
      <c r="D116" s="154" t="s">
        <v>154</v>
      </c>
      <c r="E116" s="154"/>
      <c r="F116" s="154" t="s">
        <v>136</v>
      </c>
      <c r="G116" s="154" t="s">
        <v>1829</v>
      </c>
      <c r="H116" s="155"/>
      <c r="I116" s="154" t="s">
        <v>136</v>
      </c>
      <c r="J116" s="154" t="s">
        <v>3468</v>
      </c>
      <c r="K116" s="154" t="s">
        <v>185</v>
      </c>
      <c r="L116" s="156" t="s">
        <v>54</v>
      </c>
    </row>
    <row r="117">
      <c r="A117" s="153">
        <v>87.0</v>
      </c>
      <c r="B117" s="154" t="s">
        <v>7</v>
      </c>
      <c r="C117" s="154" t="s">
        <v>3469</v>
      </c>
      <c r="D117" s="154" t="s">
        <v>224</v>
      </c>
      <c r="E117" s="154"/>
      <c r="F117" s="154" t="s">
        <v>136</v>
      </c>
      <c r="G117" s="154" t="s">
        <v>185</v>
      </c>
      <c r="H117" s="154" t="s">
        <v>3470</v>
      </c>
      <c r="I117" s="154" t="s">
        <v>136</v>
      </c>
      <c r="J117" s="154" t="s">
        <v>3471</v>
      </c>
      <c r="K117" s="154" t="s">
        <v>185</v>
      </c>
      <c r="L117" s="156" t="s">
        <v>54</v>
      </c>
    </row>
    <row r="118">
      <c r="A118" s="153">
        <v>86.0</v>
      </c>
      <c r="B118" s="154" t="s">
        <v>7</v>
      </c>
      <c r="C118" s="154" t="s">
        <v>3472</v>
      </c>
      <c r="D118" s="154" t="s">
        <v>426</v>
      </c>
      <c r="E118" s="154"/>
      <c r="F118" s="154" t="s">
        <v>136</v>
      </c>
      <c r="G118" s="154" t="s">
        <v>969</v>
      </c>
      <c r="H118" s="154" t="s">
        <v>3473</v>
      </c>
      <c r="I118" s="154" t="s">
        <v>136</v>
      </c>
      <c r="J118" s="154" t="s">
        <v>3474</v>
      </c>
      <c r="K118" s="154" t="s">
        <v>2513</v>
      </c>
      <c r="L118" s="156" t="s">
        <v>54</v>
      </c>
    </row>
    <row r="119">
      <c r="A119" s="153">
        <v>89.0</v>
      </c>
      <c r="B119" s="154" t="s">
        <v>6</v>
      </c>
      <c r="C119" s="154" t="s">
        <v>3475</v>
      </c>
      <c r="D119" s="154" t="s">
        <v>284</v>
      </c>
      <c r="E119" s="154"/>
      <c r="F119" s="154" t="s">
        <v>136</v>
      </c>
      <c r="G119" s="154" t="s">
        <v>3476</v>
      </c>
      <c r="H119" s="154" t="s">
        <v>1053</v>
      </c>
      <c r="I119" s="154" t="s">
        <v>136</v>
      </c>
      <c r="J119" s="154" t="s">
        <v>3477</v>
      </c>
      <c r="K119" s="154" t="s">
        <v>3252</v>
      </c>
      <c r="L119" s="156" t="s">
        <v>54</v>
      </c>
    </row>
    <row r="120">
      <c r="A120" s="153">
        <v>68.0</v>
      </c>
      <c r="B120" s="154" t="s">
        <v>6</v>
      </c>
      <c r="C120" s="154" t="s">
        <v>3478</v>
      </c>
      <c r="D120" s="154" t="s">
        <v>290</v>
      </c>
      <c r="E120" s="154"/>
      <c r="F120" s="154" t="s">
        <v>136</v>
      </c>
      <c r="G120" s="154" t="s">
        <v>320</v>
      </c>
      <c r="H120" s="154" t="s">
        <v>3479</v>
      </c>
      <c r="I120" s="154" t="s">
        <v>136</v>
      </c>
      <c r="J120" s="154" t="s">
        <v>3480</v>
      </c>
      <c r="K120" s="154" t="s">
        <v>3247</v>
      </c>
      <c r="L120" s="156" t="s">
        <v>54</v>
      </c>
    </row>
    <row r="121">
      <c r="A121" s="153">
        <v>82.0</v>
      </c>
      <c r="B121" s="154" t="s">
        <v>6</v>
      </c>
      <c r="C121" s="154" t="s">
        <v>3481</v>
      </c>
      <c r="D121" s="154" t="s">
        <v>243</v>
      </c>
      <c r="E121" s="154"/>
      <c r="F121" s="154" t="s">
        <v>136</v>
      </c>
      <c r="G121" s="154" t="s">
        <v>137</v>
      </c>
      <c r="H121" s="155"/>
      <c r="I121" s="154" t="s">
        <v>136</v>
      </c>
      <c r="J121" s="154" t="s">
        <v>3482</v>
      </c>
      <c r="K121" s="154" t="s">
        <v>3252</v>
      </c>
      <c r="L121" s="156" t="s">
        <v>54</v>
      </c>
    </row>
    <row r="122">
      <c r="A122" s="153">
        <v>67.0</v>
      </c>
      <c r="B122" s="156" t="s">
        <v>8</v>
      </c>
      <c r="C122" s="154" t="s">
        <v>3483</v>
      </c>
      <c r="D122" s="154" t="s">
        <v>290</v>
      </c>
      <c r="E122" s="154"/>
      <c r="F122" s="154" t="s">
        <v>136</v>
      </c>
      <c r="G122" s="154" t="s">
        <v>137</v>
      </c>
      <c r="H122" s="155"/>
      <c r="I122" s="154" t="s">
        <v>136</v>
      </c>
      <c r="J122" s="154" t="s">
        <v>3484</v>
      </c>
      <c r="K122" s="154" t="s">
        <v>3252</v>
      </c>
      <c r="L122" s="156" t="s">
        <v>54</v>
      </c>
    </row>
    <row r="123">
      <c r="A123" s="153">
        <v>120.0</v>
      </c>
      <c r="B123" s="154" t="s">
        <v>6</v>
      </c>
      <c r="C123" s="154" t="s">
        <v>3485</v>
      </c>
      <c r="D123" s="154" t="s">
        <v>290</v>
      </c>
      <c r="E123" s="154"/>
      <c r="F123" s="154" t="s">
        <v>136</v>
      </c>
      <c r="G123" s="154" t="s">
        <v>265</v>
      </c>
      <c r="H123" s="155"/>
      <c r="I123" s="154" t="s">
        <v>136</v>
      </c>
      <c r="J123" s="154" t="s">
        <v>3486</v>
      </c>
      <c r="K123" s="154" t="s">
        <v>185</v>
      </c>
      <c r="L123" s="156" t="s">
        <v>54</v>
      </c>
    </row>
    <row r="124">
      <c r="A124" s="153">
        <v>70.0</v>
      </c>
      <c r="B124" s="154" t="s">
        <v>6</v>
      </c>
      <c r="C124" s="154" t="s">
        <v>427</v>
      </c>
      <c r="D124" s="154" t="s">
        <v>243</v>
      </c>
      <c r="E124" s="154"/>
      <c r="F124" s="154" t="s">
        <v>136</v>
      </c>
      <c r="G124" s="154" t="s">
        <v>137</v>
      </c>
      <c r="H124" s="155"/>
      <c r="I124" s="154" t="s">
        <v>136</v>
      </c>
      <c r="J124" s="154" t="s">
        <v>3487</v>
      </c>
      <c r="K124" s="154" t="s">
        <v>3247</v>
      </c>
      <c r="L124" s="156" t="s">
        <v>54</v>
      </c>
    </row>
    <row r="125">
      <c r="A125" s="153">
        <v>34.0</v>
      </c>
      <c r="B125" s="154" t="s">
        <v>6</v>
      </c>
      <c r="C125" s="154" t="s">
        <v>3488</v>
      </c>
      <c r="D125" s="154" t="s">
        <v>134</v>
      </c>
      <c r="E125" s="154"/>
      <c r="F125" s="154" t="s">
        <v>136</v>
      </c>
      <c r="G125" s="154" t="s">
        <v>137</v>
      </c>
      <c r="H125" s="154" t="s">
        <v>1650</v>
      </c>
      <c r="I125" s="154" t="s">
        <v>136</v>
      </c>
      <c r="J125" s="154" t="s">
        <v>3489</v>
      </c>
      <c r="K125" s="154" t="s">
        <v>185</v>
      </c>
      <c r="L125" s="156" t="s">
        <v>54</v>
      </c>
    </row>
    <row r="126">
      <c r="A126" s="153">
        <v>41.0</v>
      </c>
      <c r="B126" s="154" t="s">
        <v>7</v>
      </c>
      <c r="C126" s="154" t="s">
        <v>3268</v>
      </c>
      <c r="D126" s="154" t="s">
        <v>263</v>
      </c>
      <c r="E126" s="154"/>
      <c r="F126" s="154" t="s">
        <v>136</v>
      </c>
      <c r="G126" s="154" t="s">
        <v>174</v>
      </c>
      <c r="H126" s="155"/>
      <c r="I126" s="154" t="s">
        <v>135</v>
      </c>
      <c r="J126" s="154" t="s">
        <v>3490</v>
      </c>
      <c r="K126" s="154" t="s">
        <v>3247</v>
      </c>
      <c r="L126" s="156" t="s">
        <v>54</v>
      </c>
    </row>
    <row r="127">
      <c r="A127" s="153">
        <v>30.0</v>
      </c>
      <c r="B127" s="154" t="s">
        <v>6</v>
      </c>
      <c r="C127" s="154" t="s">
        <v>1608</v>
      </c>
      <c r="D127" s="154" t="s">
        <v>358</v>
      </c>
      <c r="E127" s="154"/>
      <c r="F127" s="154" t="s">
        <v>136</v>
      </c>
      <c r="G127" s="154" t="s">
        <v>137</v>
      </c>
      <c r="H127" s="155"/>
      <c r="I127" s="154" t="s">
        <v>136</v>
      </c>
      <c r="J127" s="154" t="s">
        <v>3491</v>
      </c>
      <c r="K127" s="154" t="s">
        <v>2513</v>
      </c>
      <c r="L127" s="156" t="s">
        <v>54</v>
      </c>
    </row>
    <row r="128">
      <c r="A128" s="153">
        <v>27.0</v>
      </c>
      <c r="B128" s="154" t="s">
        <v>7</v>
      </c>
      <c r="C128" s="154" t="s">
        <v>3415</v>
      </c>
      <c r="D128" s="154" t="s">
        <v>279</v>
      </c>
      <c r="E128" s="154"/>
      <c r="F128" s="154" t="s">
        <v>136</v>
      </c>
      <c r="G128" s="154" t="s">
        <v>221</v>
      </c>
      <c r="H128" s="155"/>
      <c r="I128" s="154" t="s">
        <v>136</v>
      </c>
      <c r="J128" s="154" t="s">
        <v>3492</v>
      </c>
      <c r="K128" s="154" t="s">
        <v>2513</v>
      </c>
      <c r="L128" s="156" t="s">
        <v>54</v>
      </c>
    </row>
    <row r="129">
      <c r="A129" s="153">
        <v>60.0</v>
      </c>
      <c r="B129" s="154" t="s">
        <v>7</v>
      </c>
      <c r="C129" s="154" t="s">
        <v>3493</v>
      </c>
      <c r="D129" s="154" t="s">
        <v>263</v>
      </c>
      <c r="E129" s="154"/>
      <c r="F129" s="154" t="s">
        <v>136</v>
      </c>
      <c r="G129" s="154" t="s">
        <v>137</v>
      </c>
      <c r="H129" s="155"/>
      <c r="I129" s="154" t="s">
        <v>136</v>
      </c>
      <c r="J129" s="154" t="s">
        <v>3494</v>
      </c>
      <c r="K129" s="154" t="s">
        <v>3247</v>
      </c>
      <c r="L129" s="156" t="s">
        <v>54</v>
      </c>
    </row>
    <row r="130">
      <c r="A130" s="153">
        <v>84.0</v>
      </c>
      <c r="B130" s="154" t="s">
        <v>6</v>
      </c>
      <c r="C130" s="154" t="s">
        <v>3495</v>
      </c>
      <c r="D130" s="154" t="s">
        <v>171</v>
      </c>
      <c r="E130" s="154"/>
      <c r="F130" s="154" t="s">
        <v>136</v>
      </c>
      <c r="G130" s="154" t="s">
        <v>3496</v>
      </c>
      <c r="H130" s="154" t="s">
        <v>411</v>
      </c>
      <c r="I130" s="154" t="s">
        <v>136</v>
      </c>
      <c r="J130" s="154" t="s">
        <v>3497</v>
      </c>
      <c r="K130" s="154" t="s">
        <v>3252</v>
      </c>
      <c r="L130" s="156" t="s">
        <v>54</v>
      </c>
    </row>
    <row r="131">
      <c r="A131" s="153">
        <v>127.0</v>
      </c>
      <c r="B131" s="154" t="s">
        <v>7</v>
      </c>
      <c r="C131" s="154" t="s">
        <v>3498</v>
      </c>
      <c r="D131" s="154" t="s">
        <v>153</v>
      </c>
      <c r="E131" s="154"/>
      <c r="F131" s="154" t="s">
        <v>136</v>
      </c>
      <c r="G131" s="154" t="s">
        <v>191</v>
      </c>
      <c r="H131" s="155"/>
      <c r="I131" s="154" t="s">
        <v>136</v>
      </c>
      <c r="J131" s="154" t="s">
        <v>3499</v>
      </c>
      <c r="K131" s="154" t="s">
        <v>3263</v>
      </c>
      <c r="L131" s="156" t="s">
        <v>54</v>
      </c>
    </row>
    <row r="132">
      <c r="A132" s="153">
        <v>16.0</v>
      </c>
      <c r="B132" s="154" t="s">
        <v>6</v>
      </c>
      <c r="C132" s="154" t="s">
        <v>3500</v>
      </c>
      <c r="D132" s="154" t="s">
        <v>166</v>
      </c>
      <c r="E132" s="154"/>
      <c r="F132" s="154" t="s">
        <v>136</v>
      </c>
      <c r="G132" s="154" t="s">
        <v>271</v>
      </c>
      <c r="H132" s="155"/>
      <c r="I132" s="154" t="s">
        <v>136</v>
      </c>
      <c r="J132" s="154" t="s">
        <v>3501</v>
      </c>
      <c r="K132" s="154" t="s">
        <v>3247</v>
      </c>
      <c r="L132" s="156" t="s">
        <v>54</v>
      </c>
    </row>
    <row r="133">
      <c r="A133" s="153">
        <v>49.0</v>
      </c>
      <c r="B133" s="154" t="s">
        <v>7</v>
      </c>
      <c r="C133" s="154" t="s">
        <v>3502</v>
      </c>
      <c r="D133" s="154" t="s">
        <v>263</v>
      </c>
      <c r="E133" s="154"/>
      <c r="F133" s="154" t="s">
        <v>136</v>
      </c>
      <c r="G133" s="154" t="s">
        <v>221</v>
      </c>
      <c r="H133" s="155"/>
      <c r="I133" s="154" t="s">
        <v>136</v>
      </c>
      <c r="J133" s="154" t="s">
        <v>3503</v>
      </c>
      <c r="K133" s="154" t="s">
        <v>3336</v>
      </c>
      <c r="L133" s="156" t="s">
        <v>54</v>
      </c>
    </row>
    <row r="134">
      <c r="A134" s="153">
        <v>77.0</v>
      </c>
      <c r="B134" s="154" t="s">
        <v>7</v>
      </c>
      <c r="C134" s="154" t="s">
        <v>3472</v>
      </c>
      <c r="D134" s="154" t="s">
        <v>426</v>
      </c>
      <c r="E134" s="154"/>
      <c r="F134" s="154" t="s">
        <v>136</v>
      </c>
      <c r="G134" s="154" t="s">
        <v>137</v>
      </c>
      <c r="H134" s="155"/>
      <c r="I134" s="154" t="s">
        <v>136</v>
      </c>
      <c r="J134" s="154" t="s">
        <v>3504</v>
      </c>
      <c r="K134" s="154" t="s">
        <v>185</v>
      </c>
      <c r="L134" s="156" t="s">
        <v>54</v>
      </c>
    </row>
    <row r="135">
      <c r="A135" s="153">
        <v>55.0</v>
      </c>
      <c r="B135" s="154" t="s">
        <v>6</v>
      </c>
      <c r="C135" s="154" t="s">
        <v>3505</v>
      </c>
      <c r="D135" s="154" t="s">
        <v>187</v>
      </c>
      <c r="E135" s="154"/>
      <c r="F135" s="154" t="s">
        <v>135</v>
      </c>
      <c r="G135" s="154" t="s">
        <v>642</v>
      </c>
      <c r="H135" s="154" t="s">
        <v>3506</v>
      </c>
      <c r="I135" s="154" t="s">
        <v>136</v>
      </c>
      <c r="J135" s="154" t="s">
        <v>3507</v>
      </c>
      <c r="K135" s="154" t="s">
        <v>185</v>
      </c>
      <c r="L135" s="156" t="s">
        <v>54</v>
      </c>
    </row>
    <row r="136">
      <c r="A136" s="153">
        <v>12.0</v>
      </c>
      <c r="B136" s="154" t="s">
        <v>6</v>
      </c>
      <c r="C136" s="154" t="s">
        <v>3380</v>
      </c>
      <c r="D136" s="154" t="s">
        <v>263</v>
      </c>
      <c r="E136" s="154"/>
      <c r="F136" s="154" t="s">
        <v>136</v>
      </c>
      <c r="G136" s="154" t="s">
        <v>1277</v>
      </c>
      <c r="H136" s="155"/>
      <c r="I136" s="154" t="s">
        <v>136</v>
      </c>
      <c r="J136" s="154" t="s">
        <v>3508</v>
      </c>
      <c r="K136" s="154" t="s">
        <v>3247</v>
      </c>
      <c r="L136" s="156" t="s">
        <v>54</v>
      </c>
    </row>
    <row r="137">
      <c r="A137" s="153">
        <v>107.0</v>
      </c>
      <c r="B137" s="154" t="s">
        <v>6</v>
      </c>
      <c r="C137" s="154" t="s">
        <v>3509</v>
      </c>
      <c r="D137" s="154" t="s">
        <v>390</v>
      </c>
      <c r="E137" s="154"/>
      <c r="F137" s="154" t="s">
        <v>136</v>
      </c>
      <c r="G137" s="154" t="s">
        <v>3510</v>
      </c>
      <c r="H137" s="154" t="s">
        <v>3511</v>
      </c>
      <c r="I137" s="154" t="s">
        <v>136</v>
      </c>
      <c r="J137" s="154" t="s">
        <v>3512</v>
      </c>
      <c r="K137" s="154" t="s">
        <v>3252</v>
      </c>
      <c r="L137" s="156" t="s">
        <v>54</v>
      </c>
    </row>
    <row r="138">
      <c r="A138" s="153">
        <v>133.0</v>
      </c>
      <c r="B138" s="154" t="s">
        <v>7</v>
      </c>
      <c r="C138" s="154" t="s">
        <v>3513</v>
      </c>
      <c r="D138" s="154" t="s">
        <v>263</v>
      </c>
      <c r="E138" s="154"/>
      <c r="F138" s="154" t="s">
        <v>136</v>
      </c>
      <c r="G138" s="154" t="s">
        <v>1060</v>
      </c>
      <c r="H138" s="155"/>
      <c r="I138" s="154" t="s">
        <v>136</v>
      </c>
      <c r="J138" s="154" t="s">
        <v>3514</v>
      </c>
      <c r="K138" s="154" t="s">
        <v>3247</v>
      </c>
      <c r="L138" s="156" t="s">
        <v>54</v>
      </c>
    </row>
    <row r="139">
      <c r="A139" s="153">
        <v>15.0</v>
      </c>
      <c r="B139" s="155"/>
      <c r="C139" s="154" t="s">
        <v>3515</v>
      </c>
      <c r="D139" s="154" t="s">
        <v>263</v>
      </c>
      <c r="E139" s="154"/>
      <c r="F139" s="154" t="s">
        <v>136</v>
      </c>
      <c r="G139" s="154" t="s">
        <v>205</v>
      </c>
      <c r="H139" s="155"/>
      <c r="I139" s="154" t="s">
        <v>136</v>
      </c>
      <c r="J139" s="154" t="s">
        <v>3516</v>
      </c>
      <c r="K139" s="154" t="s">
        <v>3247</v>
      </c>
      <c r="L139" s="156" t="s">
        <v>54</v>
      </c>
    </row>
    <row r="140">
      <c r="A140" s="153">
        <v>126.0</v>
      </c>
      <c r="B140" s="154" t="s">
        <v>6</v>
      </c>
      <c r="C140" s="154" t="s">
        <v>3380</v>
      </c>
      <c r="D140" s="154" t="s">
        <v>263</v>
      </c>
      <c r="E140" s="154"/>
      <c r="F140" s="154" t="s">
        <v>136</v>
      </c>
      <c r="G140" s="154" t="s">
        <v>2967</v>
      </c>
      <c r="H140" s="155"/>
      <c r="I140" s="154" t="s">
        <v>136</v>
      </c>
      <c r="J140" s="154" t="s">
        <v>3517</v>
      </c>
      <c r="K140" s="154" t="s">
        <v>2513</v>
      </c>
      <c r="L140" s="156" t="s">
        <v>54</v>
      </c>
    </row>
    <row r="141">
      <c r="A141" s="153">
        <v>32.0</v>
      </c>
      <c r="B141" s="154" t="s">
        <v>6</v>
      </c>
      <c r="C141" s="154" t="s">
        <v>3518</v>
      </c>
      <c r="D141" s="154" t="s">
        <v>187</v>
      </c>
      <c r="E141" s="154"/>
      <c r="F141" s="154" t="s">
        <v>136</v>
      </c>
      <c r="G141" s="154" t="s">
        <v>221</v>
      </c>
      <c r="H141" s="155"/>
      <c r="I141" s="154" t="s">
        <v>136</v>
      </c>
      <c r="J141" s="154" t="s">
        <v>3519</v>
      </c>
      <c r="K141" s="154" t="s">
        <v>2513</v>
      </c>
      <c r="L141" s="156" t="s">
        <v>54</v>
      </c>
    </row>
    <row r="142">
      <c r="A142" s="153">
        <v>153.0</v>
      </c>
      <c r="B142" s="154" t="s">
        <v>6</v>
      </c>
      <c r="C142" s="154" t="s">
        <v>3520</v>
      </c>
      <c r="D142" s="154" t="s">
        <v>263</v>
      </c>
      <c r="E142" s="154"/>
      <c r="F142" s="154" t="s">
        <v>136</v>
      </c>
      <c r="G142" s="154" t="s">
        <v>335</v>
      </c>
      <c r="H142" s="154" t="s">
        <v>3521</v>
      </c>
      <c r="I142" s="154" t="s">
        <v>136</v>
      </c>
      <c r="J142" s="157">
        <v>45660.739583333336</v>
      </c>
      <c r="K142" s="154" t="s">
        <v>185</v>
      </c>
      <c r="L142" s="156" t="s">
        <v>54</v>
      </c>
    </row>
    <row r="143">
      <c r="A143" s="153">
        <v>146.0</v>
      </c>
      <c r="B143" s="154" t="s">
        <v>6</v>
      </c>
      <c r="C143" s="154" t="s">
        <v>3522</v>
      </c>
      <c r="D143" s="154" t="s">
        <v>203</v>
      </c>
      <c r="E143" s="154"/>
      <c r="F143" s="154" t="s">
        <v>136</v>
      </c>
      <c r="G143" s="154" t="s">
        <v>320</v>
      </c>
      <c r="H143" s="155"/>
      <c r="I143" s="154" t="s">
        <v>136</v>
      </c>
      <c r="J143" s="157">
        <v>45659.28680555556</v>
      </c>
      <c r="K143" s="154" t="s">
        <v>2513</v>
      </c>
      <c r="L143" s="156" t="s">
        <v>54</v>
      </c>
    </row>
    <row r="144">
      <c r="A144" s="153">
        <v>31.0</v>
      </c>
      <c r="B144" s="154" t="s">
        <v>6</v>
      </c>
      <c r="C144" s="154" t="s">
        <v>3523</v>
      </c>
      <c r="D144" s="154" t="s">
        <v>263</v>
      </c>
      <c r="E144" s="154"/>
      <c r="F144" s="154" t="s">
        <v>136</v>
      </c>
      <c r="G144" s="154" t="s">
        <v>320</v>
      </c>
      <c r="H144" s="155"/>
      <c r="I144" s="154" t="s">
        <v>136</v>
      </c>
      <c r="J144" s="154" t="s">
        <v>3524</v>
      </c>
      <c r="K144" s="154" t="s">
        <v>2513</v>
      </c>
      <c r="L144" s="156" t="s">
        <v>54</v>
      </c>
    </row>
    <row r="145">
      <c r="A145" s="153">
        <v>134.0</v>
      </c>
      <c r="B145" s="154" t="s">
        <v>6</v>
      </c>
      <c r="C145" s="154" t="s">
        <v>3525</v>
      </c>
      <c r="D145" s="154" t="s">
        <v>203</v>
      </c>
      <c r="E145" s="154"/>
      <c r="F145" s="154" t="s">
        <v>136</v>
      </c>
      <c r="G145" s="154" t="s">
        <v>168</v>
      </c>
      <c r="H145" s="155"/>
      <c r="I145" s="154" t="s">
        <v>136</v>
      </c>
      <c r="J145" s="154" t="s">
        <v>3526</v>
      </c>
      <c r="K145" s="154" t="s">
        <v>2513</v>
      </c>
      <c r="L145" s="156" t="s">
        <v>54</v>
      </c>
    </row>
    <row r="146">
      <c r="A146" s="153">
        <v>37.0</v>
      </c>
      <c r="B146" s="154" t="s">
        <v>6</v>
      </c>
      <c r="C146" s="154" t="s">
        <v>3527</v>
      </c>
      <c r="D146" s="154" t="s">
        <v>263</v>
      </c>
      <c r="E146" s="154"/>
      <c r="F146" s="154" t="s">
        <v>136</v>
      </c>
      <c r="G146" s="154" t="s">
        <v>440</v>
      </c>
      <c r="H146" s="155"/>
      <c r="I146" s="154" t="s">
        <v>136</v>
      </c>
      <c r="J146" s="154" t="s">
        <v>3528</v>
      </c>
      <c r="K146" s="154" t="s">
        <v>3252</v>
      </c>
      <c r="L146" s="156" t="s">
        <v>54</v>
      </c>
    </row>
    <row r="147">
      <c r="A147" s="153">
        <v>116.0</v>
      </c>
      <c r="B147" s="154" t="s">
        <v>7</v>
      </c>
      <c r="C147" s="154" t="s">
        <v>3529</v>
      </c>
      <c r="D147" s="154" t="s">
        <v>263</v>
      </c>
      <c r="E147" s="154"/>
      <c r="F147" s="154" t="s">
        <v>136</v>
      </c>
      <c r="G147" s="154" t="s">
        <v>137</v>
      </c>
      <c r="H147" s="155"/>
      <c r="I147" s="154" t="s">
        <v>136</v>
      </c>
      <c r="J147" s="154" t="s">
        <v>3530</v>
      </c>
      <c r="K147" s="154" t="s">
        <v>185</v>
      </c>
      <c r="L147" s="156" t="s">
        <v>54</v>
      </c>
    </row>
    <row r="148">
      <c r="A148" s="153">
        <v>44.0</v>
      </c>
      <c r="B148" s="154" t="s">
        <v>6</v>
      </c>
      <c r="C148" s="154" t="s">
        <v>3397</v>
      </c>
      <c r="D148" s="154" t="s">
        <v>203</v>
      </c>
      <c r="E148" s="154"/>
      <c r="F148" s="154" t="s">
        <v>136</v>
      </c>
      <c r="G148" s="154" t="s">
        <v>3237</v>
      </c>
      <c r="H148" s="154" t="s">
        <v>3531</v>
      </c>
      <c r="I148" s="154" t="s">
        <v>136</v>
      </c>
      <c r="J148" s="154" t="s">
        <v>3532</v>
      </c>
      <c r="K148" s="154" t="s">
        <v>3247</v>
      </c>
      <c r="L148" s="156" t="s">
        <v>54</v>
      </c>
    </row>
    <row r="149">
      <c r="A149" s="153">
        <v>10.0</v>
      </c>
      <c r="B149" s="154" t="s">
        <v>6</v>
      </c>
      <c r="C149" s="154" t="s">
        <v>3380</v>
      </c>
      <c r="D149" s="154" t="s">
        <v>263</v>
      </c>
      <c r="E149" s="154"/>
      <c r="F149" s="154" t="s">
        <v>136</v>
      </c>
      <c r="G149" s="154" t="s">
        <v>310</v>
      </c>
      <c r="H149" s="155"/>
      <c r="I149" s="154" t="s">
        <v>135</v>
      </c>
      <c r="J149" s="154" t="s">
        <v>3533</v>
      </c>
      <c r="K149" s="154" t="s">
        <v>3247</v>
      </c>
      <c r="L149" s="156" t="s">
        <v>54</v>
      </c>
    </row>
    <row r="150">
      <c r="A150" s="153">
        <v>46.0</v>
      </c>
      <c r="B150" s="154" t="s">
        <v>6</v>
      </c>
      <c r="C150" s="154" t="s">
        <v>3534</v>
      </c>
      <c r="D150" s="154" t="s">
        <v>203</v>
      </c>
      <c r="E150" s="154"/>
      <c r="F150" s="154" t="s">
        <v>136</v>
      </c>
      <c r="G150" s="154" t="s">
        <v>320</v>
      </c>
      <c r="H150" s="155"/>
      <c r="I150" s="154" t="s">
        <v>136</v>
      </c>
      <c r="J150" s="154" t="s">
        <v>3535</v>
      </c>
      <c r="K150" s="154" t="s">
        <v>3247</v>
      </c>
      <c r="L150" s="156" t="s">
        <v>54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
    <col customWidth="1" min="2" max="2" width="5.86"/>
    <col customWidth="1" min="7" max="7" width="43.57"/>
  </cols>
  <sheetData>
    <row r="1">
      <c r="A1" s="165" t="s">
        <v>116</v>
      </c>
      <c r="B1" s="165" t="s">
        <v>117</v>
      </c>
      <c r="C1" s="165" t="s">
        <v>118</v>
      </c>
      <c r="D1" s="165" t="s">
        <v>119</v>
      </c>
      <c r="E1" s="165" t="s">
        <v>120</v>
      </c>
      <c r="F1" s="165" t="s">
        <v>121</v>
      </c>
      <c r="G1" s="165" t="s">
        <v>122</v>
      </c>
      <c r="H1" s="165" t="s">
        <v>123</v>
      </c>
      <c r="I1" s="165" t="s">
        <v>3890</v>
      </c>
      <c r="J1" s="165" t="s">
        <v>125</v>
      </c>
      <c r="K1" s="165" t="s">
        <v>126</v>
      </c>
      <c r="L1" s="165" t="s">
        <v>3873</v>
      </c>
      <c r="M1" s="165" t="s">
        <v>3771</v>
      </c>
      <c r="O1" s="123" t="s">
        <v>129</v>
      </c>
      <c r="P1" s="123" t="s">
        <v>130</v>
      </c>
      <c r="Q1" s="123" t="s">
        <v>131</v>
      </c>
    </row>
    <row r="2">
      <c r="A2" s="153">
        <v>5.0</v>
      </c>
      <c r="B2" s="154" t="s">
        <v>7</v>
      </c>
      <c r="C2" s="154" t="s">
        <v>3536</v>
      </c>
      <c r="D2" s="154" t="s">
        <v>164</v>
      </c>
      <c r="E2" s="154" t="s">
        <v>135</v>
      </c>
      <c r="F2" s="154" t="s">
        <v>136</v>
      </c>
      <c r="G2" s="165" t="s">
        <v>534</v>
      </c>
      <c r="H2" s="155"/>
      <c r="I2" s="154" t="s">
        <v>136</v>
      </c>
      <c r="J2" s="157">
        <v>45706.902083333334</v>
      </c>
      <c r="K2" s="154" t="s">
        <v>139</v>
      </c>
      <c r="L2" s="154"/>
      <c r="M2" s="154" t="s">
        <v>262</v>
      </c>
      <c r="O2" s="7" t="str">
        <f t="array" ref="O2:O9">UNIQUE(D2:D187)</f>
        <v>Germany</v>
      </c>
      <c r="P2" s="7">
        <f t="shared" ref="P2:P8" si="1">COUNTIF(D$2:D$120,O2)</f>
        <v>1</v>
      </c>
      <c r="Q2" s="215" t="str">
        <f t="array" ref="Q2">XLOOKUP(O2,Countries!A$2:A$98,Countries!B$2:B$98,"tbd",0)</f>
        <v>Europe</v>
      </c>
    </row>
    <row r="3">
      <c r="A3" s="153">
        <v>9.0</v>
      </c>
      <c r="B3" s="154" t="s">
        <v>7</v>
      </c>
      <c r="C3" s="154" t="s">
        <v>3537</v>
      </c>
      <c r="D3" s="154" t="s">
        <v>374</v>
      </c>
      <c r="E3" s="154" t="s">
        <v>135</v>
      </c>
      <c r="F3" s="154" t="s">
        <v>136</v>
      </c>
      <c r="G3" s="154" t="s">
        <v>3891</v>
      </c>
      <c r="H3" s="154" t="s">
        <v>3539</v>
      </c>
      <c r="I3" s="154" t="s">
        <v>136</v>
      </c>
      <c r="J3" s="157">
        <v>45716.825</v>
      </c>
      <c r="K3" s="154" t="s">
        <v>139</v>
      </c>
      <c r="L3" s="154"/>
      <c r="M3" s="154" t="s">
        <v>262</v>
      </c>
      <c r="O3" s="16" t="s">
        <v>374</v>
      </c>
      <c r="P3" s="7">
        <f t="shared" si="1"/>
        <v>1</v>
      </c>
      <c r="Q3" s="215" t="str">
        <f t="array" ref="Q3">XLOOKUP(O3,Countries!A$2:A$98,Countries!B$2:B$98,"tbd",0)</f>
        <v>Europe</v>
      </c>
    </row>
    <row r="4">
      <c r="A4" s="153">
        <v>10.0</v>
      </c>
      <c r="B4" s="154" t="s">
        <v>7</v>
      </c>
      <c r="C4" s="154" t="s">
        <v>3540</v>
      </c>
      <c r="D4" s="154" t="s">
        <v>228</v>
      </c>
      <c r="E4" s="154" t="s">
        <v>136</v>
      </c>
      <c r="F4" s="154" t="s">
        <v>136</v>
      </c>
      <c r="G4" s="154" t="s">
        <v>3237</v>
      </c>
      <c r="H4" s="165" t="s">
        <v>3541</v>
      </c>
      <c r="I4" s="154" t="s">
        <v>136</v>
      </c>
      <c r="J4" s="154" t="s">
        <v>3542</v>
      </c>
      <c r="K4" s="154" t="s">
        <v>139</v>
      </c>
      <c r="L4" s="154"/>
      <c r="M4" s="154" t="s">
        <v>262</v>
      </c>
      <c r="O4" s="83" t="s">
        <v>228</v>
      </c>
      <c r="P4" s="54">
        <f t="shared" si="1"/>
        <v>14</v>
      </c>
      <c r="Q4" s="142" t="str">
        <f t="array" ref="Q4">XLOOKUP(O4,Countries!A$2:A$98,Countries!B$2:B$98,"tbd",0)</f>
        <v>widening countries</v>
      </c>
    </row>
    <row r="5">
      <c r="A5" s="153">
        <v>4.0</v>
      </c>
      <c r="B5" s="154" t="s">
        <v>6</v>
      </c>
      <c r="C5" s="154" t="s">
        <v>3543</v>
      </c>
      <c r="D5" s="154" t="s">
        <v>177</v>
      </c>
      <c r="E5" s="154" t="s">
        <v>135</v>
      </c>
      <c r="F5" s="154" t="s">
        <v>136</v>
      </c>
      <c r="G5" s="154" t="s">
        <v>467</v>
      </c>
      <c r="H5" s="155"/>
      <c r="I5" s="154" t="s">
        <v>136</v>
      </c>
      <c r="J5" s="157">
        <v>45705.861805555556</v>
      </c>
      <c r="K5" s="154" t="s">
        <v>139</v>
      </c>
      <c r="L5" s="154"/>
      <c r="M5" s="154" t="s">
        <v>262</v>
      </c>
      <c r="O5" s="216" t="s">
        <v>177</v>
      </c>
      <c r="P5" s="217">
        <f t="shared" si="1"/>
        <v>1</v>
      </c>
      <c r="Q5" s="218" t="str">
        <f t="array" ref="Q5">XLOOKUP(O5,Countries!A$2:A$98,Countries!B$2:B$98,"tbd",0)</f>
        <v>Africa</v>
      </c>
    </row>
    <row r="6">
      <c r="A6" s="153">
        <v>17.0</v>
      </c>
      <c r="B6" s="154" t="s">
        <v>7</v>
      </c>
      <c r="C6" s="154" t="s">
        <v>3544</v>
      </c>
      <c r="D6" s="154" t="s">
        <v>228</v>
      </c>
      <c r="E6" s="154" t="s">
        <v>136</v>
      </c>
      <c r="F6" s="154" t="s">
        <v>136</v>
      </c>
      <c r="G6" s="154" t="s">
        <v>185</v>
      </c>
      <c r="H6" s="165" t="s">
        <v>3545</v>
      </c>
      <c r="I6" s="154" t="s">
        <v>136</v>
      </c>
      <c r="J6" s="154" t="s">
        <v>3546</v>
      </c>
      <c r="K6" s="154" t="s">
        <v>139</v>
      </c>
      <c r="L6" s="154"/>
      <c r="M6" s="154" t="s">
        <v>262</v>
      </c>
      <c r="O6" s="83" t="s">
        <v>302</v>
      </c>
      <c r="P6" s="54">
        <f t="shared" si="1"/>
        <v>1</v>
      </c>
      <c r="Q6" s="142" t="str">
        <f t="array" ref="Q6">XLOOKUP(O6,Countries!A$2:A$98,Countries!B$2:B$98,"tbd",0)</f>
        <v>associated countries</v>
      </c>
    </row>
    <row r="7">
      <c r="A7" s="153">
        <v>18.0</v>
      </c>
      <c r="B7" s="154" t="s">
        <v>6</v>
      </c>
      <c r="C7" s="154" t="s">
        <v>2903</v>
      </c>
      <c r="D7" s="154" t="s">
        <v>228</v>
      </c>
      <c r="E7" s="154" t="s">
        <v>135</v>
      </c>
      <c r="F7" s="154" t="s">
        <v>136</v>
      </c>
      <c r="G7" s="154" t="s">
        <v>137</v>
      </c>
      <c r="H7" s="155"/>
      <c r="I7" s="154" t="s">
        <v>136</v>
      </c>
      <c r="J7" s="154" t="s">
        <v>3547</v>
      </c>
      <c r="K7" s="154" t="s">
        <v>139</v>
      </c>
      <c r="L7" s="154"/>
      <c r="M7" s="154" t="s">
        <v>262</v>
      </c>
      <c r="O7" s="83" t="s">
        <v>352</v>
      </c>
      <c r="P7" s="54">
        <f t="shared" si="1"/>
        <v>1</v>
      </c>
      <c r="Q7" s="142" t="str">
        <f t="array" ref="Q7">XLOOKUP(O7,Countries!A$2:A$98,Countries!B$2:B$98,"tbd",0)</f>
        <v>widening countries</v>
      </c>
    </row>
    <row r="8">
      <c r="A8" s="153">
        <v>20.0</v>
      </c>
      <c r="B8" s="154" t="s">
        <v>7</v>
      </c>
      <c r="C8" s="154" t="s">
        <v>3548</v>
      </c>
      <c r="D8" s="154" t="s">
        <v>228</v>
      </c>
      <c r="E8" s="154" t="s">
        <v>135</v>
      </c>
      <c r="F8" s="154" t="s">
        <v>136</v>
      </c>
      <c r="G8" s="154" t="s">
        <v>185</v>
      </c>
      <c r="H8" s="165" t="s">
        <v>3549</v>
      </c>
      <c r="I8" s="154" t="s">
        <v>136</v>
      </c>
      <c r="J8" s="154" t="s">
        <v>3550</v>
      </c>
      <c r="K8" s="154" t="s">
        <v>139</v>
      </c>
      <c r="L8" s="154"/>
      <c r="M8" s="154" t="s">
        <v>262</v>
      </c>
      <c r="O8" s="16" t="s">
        <v>143</v>
      </c>
      <c r="P8" s="7">
        <f t="shared" si="1"/>
        <v>1</v>
      </c>
      <c r="Q8" s="215" t="str">
        <f t="array" ref="Q8">XLOOKUP(O8,Countries!A$2:A$98,Countries!B$2:B$98,"tbd",0)</f>
        <v>Europe</v>
      </c>
    </row>
    <row r="9">
      <c r="A9" s="153">
        <v>8.0</v>
      </c>
      <c r="B9" s="154" t="s">
        <v>6</v>
      </c>
      <c r="C9" s="154" t="s">
        <v>3551</v>
      </c>
      <c r="D9" s="154" t="s">
        <v>302</v>
      </c>
      <c r="E9" s="154" t="s">
        <v>135</v>
      </c>
      <c r="F9" s="154" t="s">
        <v>136</v>
      </c>
      <c r="G9" s="154" t="s">
        <v>221</v>
      </c>
      <c r="H9" s="155"/>
      <c r="I9" s="154" t="s">
        <v>136</v>
      </c>
      <c r="J9" s="157">
        <v>45715.603472222225</v>
      </c>
      <c r="K9" s="154" t="s">
        <v>139</v>
      </c>
      <c r="L9" s="154"/>
      <c r="M9" s="154" t="s">
        <v>262</v>
      </c>
      <c r="O9" s="16"/>
    </row>
    <row r="10">
      <c r="A10" s="153">
        <v>3.0</v>
      </c>
      <c r="B10" s="154" t="s">
        <v>7</v>
      </c>
      <c r="C10" s="154" t="s">
        <v>3552</v>
      </c>
      <c r="D10" s="154" t="s">
        <v>228</v>
      </c>
      <c r="E10" s="154" t="s">
        <v>135</v>
      </c>
      <c r="F10" s="154" t="s">
        <v>135</v>
      </c>
      <c r="G10" s="154" t="s">
        <v>2974</v>
      </c>
      <c r="H10" s="155"/>
      <c r="I10" s="154" t="s">
        <v>135</v>
      </c>
      <c r="J10" s="157">
        <v>45695.7625</v>
      </c>
      <c r="K10" s="154" t="s">
        <v>139</v>
      </c>
      <c r="L10" s="154"/>
      <c r="M10" s="154" t="s">
        <v>262</v>
      </c>
      <c r="P10" s="16">
        <f>SUM(P2:P8)</f>
        <v>20</v>
      </c>
    </row>
    <row r="11">
      <c r="A11" s="153">
        <v>12.0</v>
      </c>
      <c r="B11" s="154" t="s">
        <v>7</v>
      </c>
      <c r="C11" s="154" t="s">
        <v>3177</v>
      </c>
      <c r="D11" s="154" t="s">
        <v>228</v>
      </c>
      <c r="E11" s="154" t="s">
        <v>136</v>
      </c>
      <c r="F11" s="154" t="s">
        <v>136</v>
      </c>
      <c r="G11" s="154" t="s">
        <v>137</v>
      </c>
      <c r="H11" s="155"/>
      <c r="I11" s="154" t="s">
        <v>136</v>
      </c>
      <c r="J11" s="154" t="s">
        <v>3553</v>
      </c>
      <c r="K11" s="154" t="s">
        <v>139</v>
      </c>
      <c r="L11" s="154"/>
      <c r="M11" s="154" t="s">
        <v>262</v>
      </c>
    </row>
    <row r="12">
      <c r="A12" s="153">
        <v>1.0</v>
      </c>
      <c r="B12" s="154" t="s">
        <v>6</v>
      </c>
      <c r="C12" s="154" t="s">
        <v>2965</v>
      </c>
      <c r="D12" s="154" t="s">
        <v>352</v>
      </c>
      <c r="E12" s="154" t="s">
        <v>135</v>
      </c>
      <c r="F12" s="154" t="s">
        <v>136</v>
      </c>
      <c r="G12" s="154" t="s">
        <v>3892</v>
      </c>
      <c r="H12" s="154" t="s">
        <v>3555</v>
      </c>
      <c r="I12" s="154" t="s">
        <v>136</v>
      </c>
      <c r="J12" s="157">
        <v>45686.197916666664</v>
      </c>
      <c r="K12" s="154" t="s">
        <v>139</v>
      </c>
      <c r="L12" s="154"/>
      <c r="M12" s="154" t="s">
        <v>262</v>
      </c>
      <c r="P12" s="17">
        <v>16.0</v>
      </c>
      <c r="Q12" s="17" t="s">
        <v>3818</v>
      </c>
    </row>
    <row r="13">
      <c r="A13" s="153">
        <v>15.0</v>
      </c>
      <c r="B13" s="154" t="s">
        <v>6</v>
      </c>
      <c r="C13" s="154" t="s">
        <v>3556</v>
      </c>
      <c r="D13" s="154" t="s">
        <v>228</v>
      </c>
      <c r="E13" s="154" t="s">
        <v>135</v>
      </c>
      <c r="F13" s="154" t="s">
        <v>136</v>
      </c>
      <c r="G13" s="154" t="s">
        <v>3893</v>
      </c>
      <c r="H13" s="155"/>
      <c r="I13" s="154" t="s">
        <v>136</v>
      </c>
      <c r="J13" s="154" t="s">
        <v>3558</v>
      </c>
      <c r="K13" s="154" t="s">
        <v>139</v>
      </c>
      <c r="L13" s="154"/>
      <c r="M13" s="154" t="s">
        <v>262</v>
      </c>
      <c r="P13" s="17">
        <v>1.0</v>
      </c>
      <c r="Q13" s="17" t="s">
        <v>22</v>
      </c>
    </row>
    <row r="14">
      <c r="A14" s="153">
        <v>11.0</v>
      </c>
      <c r="B14" s="154" t="s">
        <v>6</v>
      </c>
      <c r="C14" s="154" t="s">
        <v>3176</v>
      </c>
      <c r="D14" s="154" t="s">
        <v>228</v>
      </c>
      <c r="E14" s="154" t="s">
        <v>136</v>
      </c>
      <c r="F14" s="154" t="s">
        <v>136</v>
      </c>
      <c r="G14" s="154" t="s">
        <v>137</v>
      </c>
      <c r="H14" s="155"/>
      <c r="I14" s="154" t="s">
        <v>135</v>
      </c>
      <c r="J14" s="154" t="s">
        <v>3559</v>
      </c>
      <c r="K14" s="154" t="s">
        <v>139</v>
      </c>
      <c r="L14" s="154"/>
      <c r="M14" s="154" t="s">
        <v>262</v>
      </c>
      <c r="P14" s="17">
        <v>7.0</v>
      </c>
      <c r="Q14" s="17" t="s">
        <v>3821</v>
      </c>
    </row>
    <row r="15">
      <c r="A15" s="153">
        <v>13.0</v>
      </c>
      <c r="B15" s="154" t="s">
        <v>6</v>
      </c>
      <c r="C15" s="154" t="s">
        <v>3560</v>
      </c>
      <c r="D15" s="154" t="s">
        <v>228</v>
      </c>
      <c r="E15" s="154" t="s">
        <v>136</v>
      </c>
      <c r="F15" s="154" t="s">
        <v>136</v>
      </c>
      <c r="G15" s="154" t="s">
        <v>185</v>
      </c>
      <c r="H15" s="165" t="s">
        <v>1053</v>
      </c>
      <c r="I15" s="154" t="s">
        <v>136</v>
      </c>
      <c r="J15" s="154" t="s">
        <v>3561</v>
      </c>
      <c r="K15" s="154" t="s">
        <v>139</v>
      </c>
      <c r="L15" s="154"/>
      <c r="M15" s="154" t="s">
        <v>262</v>
      </c>
      <c r="P15" s="17">
        <v>14.0</v>
      </c>
      <c r="Q15" s="17" t="s">
        <v>3822</v>
      </c>
    </row>
    <row r="16">
      <c r="A16" s="153">
        <v>16.0</v>
      </c>
      <c r="B16" s="154" t="s">
        <v>7</v>
      </c>
      <c r="C16" s="154" t="s">
        <v>3562</v>
      </c>
      <c r="D16" s="154" t="s">
        <v>228</v>
      </c>
      <c r="E16" s="154" t="s">
        <v>135</v>
      </c>
      <c r="F16" s="154" t="s">
        <v>136</v>
      </c>
      <c r="G16" s="154" t="s">
        <v>185</v>
      </c>
      <c r="H16" s="154" t="s">
        <v>3563</v>
      </c>
      <c r="I16" s="154" t="s">
        <v>136</v>
      </c>
      <c r="J16" s="154" t="s">
        <v>3564</v>
      </c>
      <c r="K16" s="154" t="s">
        <v>139</v>
      </c>
      <c r="L16" s="154"/>
      <c r="M16" s="154" t="s">
        <v>262</v>
      </c>
    </row>
    <row r="17">
      <c r="A17" s="153">
        <v>2.0</v>
      </c>
      <c r="B17" s="154" t="s">
        <v>6</v>
      </c>
      <c r="C17" s="154" t="s">
        <v>3565</v>
      </c>
      <c r="D17" s="154" t="s">
        <v>228</v>
      </c>
      <c r="E17" s="154" t="s">
        <v>135</v>
      </c>
      <c r="F17" s="154" t="s">
        <v>136</v>
      </c>
      <c r="G17" s="154" t="s">
        <v>221</v>
      </c>
      <c r="H17" s="155"/>
      <c r="I17" s="154" t="s">
        <v>135</v>
      </c>
      <c r="J17" s="157">
        <v>45688.61597222222</v>
      </c>
      <c r="K17" s="154" t="s">
        <v>139</v>
      </c>
      <c r="L17" s="154"/>
      <c r="M17" s="154" t="s">
        <v>262</v>
      </c>
    </row>
    <row r="18">
      <c r="A18" s="153">
        <v>14.0</v>
      </c>
      <c r="B18" s="154" t="s">
        <v>7</v>
      </c>
      <c r="C18" s="154" t="s">
        <v>3566</v>
      </c>
      <c r="D18" s="154" t="s">
        <v>228</v>
      </c>
      <c r="E18" s="154" t="s">
        <v>136</v>
      </c>
      <c r="F18" s="154" t="s">
        <v>136</v>
      </c>
      <c r="G18" s="154" t="s">
        <v>401</v>
      </c>
      <c r="H18" s="155"/>
      <c r="I18" s="154" t="s">
        <v>136</v>
      </c>
      <c r="J18" s="154" t="s">
        <v>3567</v>
      </c>
      <c r="K18" s="154" t="s">
        <v>139</v>
      </c>
      <c r="L18" s="154"/>
      <c r="M18" s="154" t="s">
        <v>262</v>
      </c>
    </row>
    <row r="19">
      <c r="A19" s="153">
        <v>7.0</v>
      </c>
      <c r="B19" s="154" t="s">
        <v>6</v>
      </c>
      <c r="C19" s="154" t="s">
        <v>2989</v>
      </c>
      <c r="D19" s="154" t="s">
        <v>228</v>
      </c>
      <c r="E19" s="154" t="s">
        <v>135</v>
      </c>
      <c r="F19" s="154" t="s">
        <v>136</v>
      </c>
      <c r="G19" s="154" t="s">
        <v>3568</v>
      </c>
      <c r="H19" s="154" t="s">
        <v>3569</v>
      </c>
      <c r="I19" s="154" t="s">
        <v>136</v>
      </c>
      <c r="J19" s="157">
        <v>45714.54861111111</v>
      </c>
      <c r="K19" s="154" t="s">
        <v>139</v>
      </c>
      <c r="L19" s="154"/>
      <c r="M19" s="154" t="s">
        <v>262</v>
      </c>
    </row>
    <row r="20">
      <c r="A20" s="153">
        <v>6.0</v>
      </c>
      <c r="B20" s="154" t="s">
        <v>6</v>
      </c>
      <c r="C20" s="154" t="s">
        <v>3570</v>
      </c>
      <c r="D20" s="154" t="s">
        <v>143</v>
      </c>
      <c r="E20" s="154" t="s">
        <v>135</v>
      </c>
      <c r="F20" s="154" t="s">
        <v>136</v>
      </c>
      <c r="G20" s="154" t="s">
        <v>367</v>
      </c>
      <c r="H20" s="154" t="s">
        <v>3571</v>
      </c>
      <c r="I20" s="154" t="s">
        <v>135</v>
      </c>
      <c r="J20" s="157">
        <v>45710.09583333333</v>
      </c>
      <c r="K20" s="154" t="s">
        <v>139</v>
      </c>
      <c r="L20" s="154"/>
      <c r="M20" s="154" t="s">
        <v>262</v>
      </c>
    </row>
    <row r="21">
      <c r="A21" s="153">
        <v>19.0</v>
      </c>
      <c r="B21" s="154" t="s">
        <v>6</v>
      </c>
      <c r="C21" s="154" t="s">
        <v>3572</v>
      </c>
      <c r="D21" s="154" t="s">
        <v>228</v>
      </c>
      <c r="E21" s="154" t="s">
        <v>135</v>
      </c>
      <c r="F21" s="154" t="s">
        <v>136</v>
      </c>
      <c r="G21" s="154" t="s">
        <v>185</v>
      </c>
      <c r="H21" s="165" t="s">
        <v>3573</v>
      </c>
      <c r="I21" s="154" t="s">
        <v>136</v>
      </c>
      <c r="J21" s="154" t="s">
        <v>3574</v>
      </c>
      <c r="K21" s="154" t="s">
        <v>139</v>
      </c>
      <c r="L21" s="154"/>
      <c r="M21" s="154" t="s">
        <v>262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
    <col customWidth="1" min="7" max="7" width="36.71"/>
    <col customWidth="1" min="9" max="9" width="10.86"/>
    <col customWidth="1" min="10" max="10" width="13.71"/>
    <col customWidth="1" min="11" max="11" width="31.71"/>
  </cols>
  <sheetData>
    <row r="1">
      <c r="A1" s="165" t="s">
        <v>116</v>
      </c>
      <c r="B1" s="165" t="s">
        <v>117</v>
      </c>
      <c r="C1" s="165" t="s">
        <v>118</v>
      </c>
      <c r="D1" s="165" t="s">
        <v>119</v>
      </c>
      <c r="E1" s="165" t="s">
        <v>120</v>
      </c>
      <c r="F1" s="165" t="s">
        <v>121</v>
      </c>
      <c r="G1" s="165" t="s">
        <v>122</v>
      </c>
      <c r="H1" s="165" t="s">
        <v>123</v>
      </c>
      <c r="I1" s="165" t="s">
        <v>3769</v>
      </c>
      <c r="J1" s="165" t="s">
        <v>125</v>
      </c>
      <c r="K1" s="165" t="s">
        <v>3770</v>
      </c>
      <c r="L1" s="165" t="s">
        <v>3771</v>
      </c>
      <c r="O1" s="123" t="s">
        <v>129</v>
      </c>
      <c r="P1" s="123" t="s">
        <v>130</v>
      </c>
      <c r="Q1" s="123" t="s">
        <v>131</v>
      </c>
    </row>
    <row r="2">
      <c r="A2" s="153">
        <v>13.0</v>
      </c>
      <c r="B2" s="154" t="s">
        <v>7</v>
      </c>
      <c r="C2" s="154" t="s">
        <v>2993</v>
      </c>
      <c r="D2" s="154" t="s">
        <v>164</v>
      </c>
      <c r="E2" s="154" t="s">
        <v>135</v>
      </c>
      <c r="F2" s="154" t="s">
        <v>136</v>
      </c>
      <c r="G2" s="154" t="s">
        <v>185</v>
      </c>
      <c r="H2" s="165" t="s">
        <v>2994</v>
      </c>
      <c r="I2" s="154" t="s">
        <v>135</v>
      </c>
      <c r="J2" s="154" t="s">
        <v>2995</v>
      </c>
      <c r="K2" s="154" t="s">
        <v>185</v>
      </c>
      <c r="L2" s="156" t="s">
        <v>66</v>
      </c>
      <c r="O2" s="7" t="str">
        <f t="array" ref="O2:O11">UNIQUE(D2:D187)</f>
        <v>Germany</v>
      </c>
      <c r="P2" s="7">
        <f t="shared" ref="P2:P10" si="1">COUNTIF(D$2:D$120,O2)</f>
        <v>4</v>
      </c>
      <c r="Q2" s="215" t="str">
        <f t="array" ref="Q2">XLOOKUP(O2,Countries!A$2:A$98,Countries!B$2:B$98,"tbd",0)</f>
        <v>Europe</v>
      </c>
    </row>
    <row r="3">
      <c r="A3" s="153">
        <v>19.0</v>
      </c>
      <c r="B3" s="154" t="s">
        <v>7</v>
      </c>
      <c r="C3" s="154" t="s">
        <v>2579</v>
      </c>
      <c r="D3" s="154" t="s">
        <v>164</v>
      </c>
      <c r="E3" s="154" t="s">
        <v>135</v>
      </c>
      <c r="F3" s="154" t="s">
        <v>136</v>
      </c>
      <c r="G3" s="154" t="s">
        <v>1197</v>
      </c>
      <c r="H3" s="165" t="s">
        <v>2996</v>
      </c>
      <c r="I3" s="154" t="s">
        <v>135</v>
      </c>
      <c r="J3" s="154" t="s">
        <v>2997</v>
      </c>
      <c r="K3" s="154" t="s">
        <v>2509</v>
      </c>
      <c r="L3" s="156" t="s">
        <v>66</v>
      </c>
      <c r="O3" s="83" t="s">
        <v>233</v>
      </c>
      <c r="P3" s="54">
        <f t="shared" si="1"/>
        <v>2</v>
      </c>
      <c r="Q3" s="142" t="str">
        <f t="array" ref="Q3">XLOOKUP(O3,Countries!A$2:A$98,Countries!B$2:B$98,"tbd",0)</f>
        <v>widening countries</v>
      </c>
    </row>
    <row r="4">
      <c r="A4" s="153">
        <v>12.0</v>
      </c>
      <c r="B4" s="154" t="s">
        <v>6</v>
      </c>
      <c r="C4" s="154" t="s">
        <v>1134</v>
      </c>
      <c r="D4" s="154" t="s">
        <v>233</v>
      </c>
      <c r="E4" s="154" t="s">
        <v>136</v>
      </c>
      <c r="F4" s="154" t="s">
        <v>136</v>
      </c>
      <c r="G4" s="165" t="s">
        <v>174</v>
      </c>
      <c r="H4" s="155"/>
      <c r="I4" s="154" t="s">
        <v>135</v>
      </c>
      <c r="J4" s="154" t="s">
        <v>2998</v>
      </c>
      <c r="K4" s="154" t="s">
        <v>2507</v>
      </c>
      <c r="L4" s="156" t="s">
        <v>66</v>
      </c>
      <c r="O4" s="16" t="s">
        <v>143</v>
      </c>
      <c r="P4" s="7">
        <f t="shared" si="1"/>
        <v>5</v>
      </c>
      <c r="Q4" s="215" t="str">
        <f t="array" ref="Q4">XLOOKUP(O4,Countries!A$2:A$98,Countries!B$2:B$98,"tbd",0)</f>
        <v>Europe</v>
      </c>
    </row>
    <row r="5">
      <c r="A5" s="153">
        <v>16.0</v>
      </c>
      <c r="B5" s="154" t="s">
        <v>6</v>
      </c>
      <c r="C5" s="154" t="s">
        <v>2999</v>
      </c>
      <c r="D5" s="154" t="s">
        <v>143</v>
      </c>
      <c r="E5" s="154" t="s">
        <v>135</v>
      </c>
      <c r="F5" s="154" t="s">
        <v>136</v>
      </c>
      <c r="G5" s="165" t="s">
        <v>150</v>
      </c>
      <c r="H5" s="155"/>
      <c r="I5" s="154" t="s">
        <v>135</v>
      </c>
      <c r="J5" s="154" t="s">
        <v>3000</v>
      </c>
      <c r="K5" s="154" t="s">
        <v>2509</v>
      </c>
      <c r="L5" s="156" t="s">
        <v>66</v>
      </c>
      <c r="O5" s="16" t="s">
        <v>197</v>
      </c>
      <c r="P5" s="7">
        <f t="shared" si="1"/>
        <v>2</v>
      </c>
      <c r="Q5" s="215" t="str">
        <f t="array" ref="Q5">XLOOKUP(O5,Countries!A$2:A$98,Countries!B$2:B$98,"tbd",0)</f>
        <v>Europe</v>
      </c>
    </row>
    <row r="6">
      <c r="A6" s="153">
        <v>20.0</v>
      </c>
      <c r="B6" s="154" t="s">
        <v>7</v>
      </c>
      <c r="C6" s="154" t="s">
        <v>195</v>
      </c>
      <c r="D6" s="154" t="s">
        <v>164</v>
      </c>
      <c r="E6" s="154" t="s">
        <v>136</v>
      </c>
      <c r="F6" s="154" t="s">
        <v>136</v>
      </c>
      <c r="G6" s="154" t="s">
        <v>174</v>
      </c>
      <c r="H6" s="154" t="s">
        <v>2787</v>
      </c>
      <c r="I6" s="154" t="s">
        <v>135</v>
      </c>
      <c r="J6" s="154" t="s">
        <v>3001</v>
      </c>
      <c r="K6" s="154" t="s">
        <v>2502</v>
      </c>
      <c r="L6" s="156" t="s">
        <v>66</v>
      </c>
      <c r="O6" s="216" t="s">
        <v>263</v>
      </c>
      <c r="P6" s="217">
        <f t="shared" si="1"/>
        <v>1</v>
      </c>
      <c r="Q6" s="218" t="str">
        <f t="array" ref="Q6">XLOOKUP(O6,Countries!A$2:A$98,Countries!B$2:B$98,"tbd",0)</f>
        <v>U.S. + Canada</v>
      </c>
    </row>
    <row r="7">
      <c r="A7" s="153">
        <v>17.0</v>
      </c>
      <c r="B7" s="154" t="s">
        <v>7</v>
      </c>
      <c r="C7" s="154" t="s">
        <v>200</v>
      </c>
      <c r="D7" s="154" t="s">
        <v>143</v>
      </c>
      <c r="E7" s="154" t="s">
        <v>136</v>
      </c>
      <c r="F7" s="154" t="s">
        <v>136</v>
      </c>
      <c r="G7" s="154" t="s">
        <v>3894</v>
      </c>
      <c r="H7" s="155"/>
      <c r="I7" s="154" t="s">
        <v>135</v>
      </c>
      <c r="J7" s="154" t="s">
        <v>3003</v>
      </c>
      <c r="K7" s="154" t="s">
        <v>2509</v>
      </c>
      <c r="L7" s="156" t="s">
        <v>66</v>
      </c>
      <c r="O7" s="16" t="s">
        <v>202</v>
      </c>
      <c r="P7" s="7">
        <f t="shared" si="1"/>
        <v>2</v>
      </c>
      <c r="Q7" s="215" t="str">
        <f t="array" ref="Q7">XLOOKUP(O7,Countries!A$2:A$98,Countries!B$2:B$98,"tbd",0)</f>
        <v>Europe</v>
      </c>
    </row>
    <row r="8">
      <c r="A8" s="153">
        <v>2.0</v>
      </c>
      <c r="B8" s="154" t="s">
        <v>6</v>
      </c>
      <c r="C8" s="154" t="s">
        <v>240</v>
      </c>
      <c r="D8" s="154" t="s">
        <v>197</v>
      </c>
      <c r="E8" s="154" t="s">
        <v>136</v>
      </c>
      <c r="F8" s="154" t="s">
        <v>136</v>
      </c>
      <c r="G8" s="154" t="s">
        <v>241</v>
      </c>
      <c r="H8" s="155"/>
      <c r="I8" s="154" t="s">
        <v>135</v>
      </c>
      <c r="J8" s="157">
        <v>45755.48125</v>
      </c>
      <c r="K8" s="154" t="s">
        <v>2502</v>
      </c>
      <c r="L8" s="156" t="s">
        <v>66</v>
      </c>
      <c r="O8" s="83" t="s">
        <v>268</v>
      </c>
      <c r="P8" s="54">
        <f t="shared" si="1"/>
        <v>1</v>
      </c>
      <c r="Q8" s="142" t="str">
        <f t="array" ref="Q8">XLOOKUP(O8,Countries!A$2:A$98,Countries!B$2:B$98,"tbd",0)</f>
        <v>associated countries</v>
      </c>
    </row>
    <row r="9">
      <c r="A9" s="153">
        <v>5.0</v>
      </c>
      <c r="B9" s="154" t="s">
        <v>7</v>
      </c>
      <c r="C9" s="154" t="s">
        <v>2892</v>
      </c>
      <c r="D9" s="154" t="s">
        <v>143</v>
      </c>
      <c r="E9" s="154" t="s">
        <v>136</v>
      </c>
      <c r="F9" s="154" t="s">
        <v>136</v>
      </c>
      <c r="G9" s="154" t="s">
        <v>185</v>
      </c>
      <c r="H9" s="155"/>
      <c r="I9" s="154" t="s">
        <v>135</v>
      </c>
      <c r="J9" s="157">
        <v>45755.629166666666</v>
      </c>
      <c r="K9" s="154" t="s">
        <v>185</v>
      </c>
      <c r="L9" s="156" t="s">
        <v>66</v>
      </c>
      <c r="O9" s="83" t="s">
        <v>153</v>
      </c>
      <c r="P9" s="54">
        <f t="shared" si="1"/>
        <v>1</v>
      </c>
      <c r="Q9" s="142" t="str">
        <f t="array" ref="Q9">XLOOKUP(O9,Countries!A$2:A$98,Countries!B$2:B$98,"tbd",0)</f>
        <v>associated countries</v>
      </c>
    </row>
    <row r="10">
      <c r="A10" s="153">
        <v>8.0</v>
      </c>
      <c r="B10" s="154" t="s">
        <v>7</v>
      </c>
      <c r="C10" s="154" t="s">
        <v>3004</v>
      </c>
      <c r="D10" s="154" t="s">
        <v>263</v>
      </c>
      <c r="E10" s="154" t="s">
        <v>136</v>
      </c>
      <c r="F10" s="154" t="s">
        <v>136</v>
      </c>
      <c r="G10" s="165" t="s">
        <v>320</v>
      </c>
      <c r="H10" s="155"/>
      <c r="I10" s="154" t="s">
        <v>135</v>
      </c>
      <c r="J10" s="157">
        <v>45761.82916666667</v>
      </c>
      <c r="K10" s="154" t="s">
        <v>2513</v>
      </c>
      <c r="L10" s="156" t="s">
        <v>66</v>
      </c>
      <c r="O10" s="16" t="s">
        <v>134</v>
      </c>
      <c r="P10" s="7">
        <f t="shared" si="1"/>
        <v>2</v>
      </c>
      <c r="Q10" s="215" t="str">
        <f t="array" ref="Q10">XLOOKUP(O10,Countries!A$2:A$98,Countries!B$2:B$98,"tbd",0)</f>
        <v>Europe</v>
      </c>
    </row>
    <row r="11">
      <c r="A11" s="153">
        <v>7.0</v>
      </c>
      <c r="B11" s="154" t="s">
        <v>7</v>
      </c>
      <c r="C11" s="154" t="s">
        <v>3005</v>
      </c>
      <c r="D11" s="154" t="s">
        <v>202</v>
      </c>
      <c r="E11" s="154" t="s">
        <v>136</v>
      </c>
      <c r="F11" s="154" t="s">
        <v>136</v>
      </c>
      <c r="G11" s="154" t="s">
        <v>3895</v>
      </c>
      <c r="H11" s="154" t="s">
        <v>3007</v>
      </c>
      <c r="I11" s="154" t="s">
        <v>135</v>
      </c>
      <c r="J11" s="157">
        <v>45761.40277777778</v>
      </c>
      <c r="K11" s="154" t="s">
        <v>185</v>
      </c>
      <c r="L11" s="156" t="s">
        <v>66</v>
      </c>
      <c r="O11" s="16"/>
    </row>
    <row r="12">
      <c r="A12" s="153">
        <v>18.0</v>
      </c>
      <c r="B12" s="154" t="s">
        <v>6</v>
      </c>
      <c r="C12" s="154" t="s">
        <v>142</v>
      </c>
      <c r="D12" s="154" t="s">
        <v>143</v>
      </c>
      <c r="E12" s="154" t="s">
        <v>136</v>
      </c>
      <c r="F12" s="154" t="s">
        <v>136</v>
      </c>
      <c r="G12" s="154" t="s">
        <v>3008</v>
      </c>
      <c r="H12" s="155"/>
      <c r="I12" s="154" t="s">
        <v>135</v>
      </c>
      <c r="J12" s="154" t="s">
        <v>3009</v>
      </c>
      <c r="K12" s="154" t="s">
        <v>2509</v>
      </c>
      <c r="L12" s="156" t="s">
        <v>66</v>
      </c>
      <c r="P12" s="16">
        <f>SUM(P2:P10)</f>
        <v>20</v>
      </c>
    </row>
    <row r="13">
      <c r="A13" s="153">
        <v>4.0</v>
      </c>
      <c r="B13" s="154" t="s">
        <v>8</v>
      </c>
      <c r="C13" s="154" t="s">
        <v>167</v>
      </c>
      <c r="D13" s="154" t="s">
        <v>143</v>
      </c>
      <c r="E13" s="154" t="s">
        <v>136</v>
      </c>
      <c r="F13" s="154" t="s">
        <v>136</v>
      </c>
      <c r="G13" s="154" t="s">
        <v>385</v>
      </c>
      <c r="H13" s="155"/>
      <c r="I13" s="154" t="s">
        <v>135</v>
      </c>
      <c r="J13" s="157">
        <v>45755.527083333334</v>
      </c>
      <c r="K13" s="154" t="s">
        <v>2509</v>
      </c>
      <c r="L13" s="156" t="s">
        <v>66</v>
      </c>
    </row>
    <row r="14">
      <c r="A14" s="153">
        <v>1.0</v>
      </c>
      <c r="B14" s="154" t="s">
        <v>6</v>
      </c>
      <c r="C14" s="154" t="s">
        <v>1116</v>
      </c>
      <c r="D14" s="154" t="s">
        <v>197</v>
      </c>
      <c r="E14" s="154" t="s">
        <v>136</v>
      </c>
      <c r="F14" s="154" t="s">
        <v>136</v>
      </c>
      <c r="G14" s="154" t="s">
        <v>3896</v>
      </c>
      <c r="H14" s="154" t="s">
        <v>1180</v>
      </c>
      <c r="I14" s="154" t="s">
        <v>136</v>
      </c>
      <c r="J14" s="157">
        <v>45755.47777777778</v>
      </c>
      <c r="K14" s="154" t="s">
        <v>2509</v>
      </c>
      <c r="L14" s="156" t="s">
        <v>66</v>
      </c>
      <c r="P14" s="17">
        <v>4.0</v>
      </c>
      <c r="Q14" s="17" t="s">
        <v>3818</v>
      </c>
    </row>
    <row r="15">
      <c r="A15" s="153">
        <v>9.0</v>
      </c>
      <c r="B15" s="154" t="s">
        <v>6</v>
      </c>
      <c r="C15" s="154" t="s">
        <v>2986</v>
      </c>
      <c r="D15" s="154" t="s">
        <v>268</v>
      </c>
      <c r="E15" s="154" t="s">
        <v>135</v>
      </c>
      <c r="F15" s="154" t="s">
        <v>136</v>
      </c>
      <c r="G15" s="154" t="s">
        <v>297</v>
      </c>
      <c r="H15" s="155"/>
      <c r="I15" s="154" t="s">
        <v>136</v>
      </c>
      <c r="J15" s="157">
        <v>45772.50555555556</v>
      </c>
      <c r="K15" s="154" t="s">
        <v>2502</v>
      </c>
      <c r="L15" s="156" t="s">
        <v>66</v>
      </c>
      <c r="P15" s="17">
        <v>1.0</v>
      </c>
      <c r="Q15" s="17" t="s">
        <v>22</v>
      </c>
    </row>
    <row r="16">
      <c r="A16" s="153">
        <v>6.0</v>
      </c>
      <c r="B16" s="154" t="s">
        <v>7</v>
      </c>
      <c r="C16" s="154" t="s">
        <v>3011</v>
      </c>
      <c r="D16" s="154" t="s">
        <v>233</v>
      </c>
      <c r="E16" s="154" t="s">
        <v>136</v>
      </c>
      <c r="F16" s="154" t="s">
        <v>136</v>
      </c>
      <c r="G16" s="154" t="s">
        <v>1250</v>
      </c>
      <c r="H16" s="165" t="s">
        <v>953</v>
      </c>
      <c r="I16" s="154" t="s">
        <v>135</v>
      </c>
      <c r="J16" s="157">
        <v>45757.48402777778</v>
      </c>
      <c r="K16" s="154" t="s">
        <v>2507</v>
      </c>
      <c r="L16" s="156" t="s">
        <v>66</v>
      </c>
      <c r="P16" s="17">
        <v>9.0</v>
      </c>
      <c r="Q16" s="17" t="s">
        <v>3821</v>
      </c>
    </row>
    <row r="17">
      <c r="A17" s="153">
        <v>11.0</v>
      </c>
      <c r="B17" s="154" t="s">
        <v>7</v>
      </c>
      <c r="C17" s="154" t="s">
        <v>3012</v>
      </c>
      <c r="D17" s="154" t="s">
        <v>153</v>
      </c>
      <c r="E17" s="154" t="s">
        <v>135</v>
      </c>
      <c r="F17" s="154" t="s">
        <v>136</v>
      </c>
      <c r="G17" s="154" t="s">
        <v>137</v>
      </c>
      <c r="H17" s="155"/>
      <c r="I17" s="154" t="s">
        <v>136</v>
      </c>
      <c r="J17" s="154" t="s">
        <v>3013</v>
      </c>
      <c r="K17" s="154" t="s">
        <v>2502</v>
      </c>
      <c r="L17" s="156" t="s">
        <v>66</v>
      </c>
      <c r="P17" s="17">
        <v>13.0</v>
      </c>
      <c r="Q17" s="17" t="s">
        <v>3822</v>
      </c>
    </row>
    <row r="18">
      <c r="A18" s="153">
        <v>14.0</v>
      </c>
      <c r="B18" s="154" t="s">
        <v>6</v>
      </c>
      <c r="C18" s="154" t="s">
        <v>1282</v>
      </c>
      <c r="D18" s="154" t="s">
        <v>134</v>
      </c>
      <c r="E18" s="154" t="s">
        <v>136</v>
      </c>
      <c r="F18" s="154" t="s">
        <v>136</v>
      </c>
      <c r="G18" s="154" t="s">
        <v>3897</v>
      </c>
      <c r="H18" s="155"/>
      <c r="I18" s="154" t="s">
        <v>135</v>
      </c>
      <c r="J18" s="154" t="s">
        <v>3015</v>
      </c>
      <c r="K18" s="154" t="s">
        <v>2509</v>
      </c>
      <c r="L18" s="156" t="s">
        <v>66</v>
      </c>
    </row>
    <row r="19">
      <c r="A19" s="153">
        <v>3.0</v>
      </c>
      <c r="B19" s="154" t="s">
        <v>6</v>
      </c>
      <c r="C19" s="154" t="s">
        <v>2912</v>
      </c>
      <c r="D19" s="154" t="s">
        <v>134</v>
      </c>
      <c r="E19" s="154" t="s">
        <v>136</v>
      </c>
      <c r="F19" s="154" t="s">
        <v>136</v>
      </c>
      <c r="G19" s="154" t="s">
        <v>401</v>
      </c>
      <c r="H19" s="165" t="s">
        <v>3016</v>
      </c>
      <c r="I19" s="154" t="s">
        <v>135</v>
      </c>
      <c r="J19" s="157">
        <v>45755.481944444444</v>
      </c>
      <c r="K19" s="154" t="s">
        <v>2509</v>
      </c>
      <c r="L19" s="156" t="s">
        <v>66</v>
      </c>
    </row>
    <row r="20">
      <c r="A20" s="153">
        <v>10.0</v>
      </c>
      <c r="B20" s="154" t="s">
        <v>7</v>
      </c>
      <c r="C20" s="154" t="s">
        <v>315</v>
      </c>
      <c r="D20" s="154" t="s">
        <v>164</v>
      </c>
      <c r="E20" s="154" t="s">
        <v>135</v>
      </c>
      <c r="F20" s="154" t="s">
        <v>135</v>
      </c>
      <c r="G20" s="154" t="s">
        <v>3898</v>
      </c>
      <c r="H20" s="155"/>
      <c r="I20" s="154" t="s">
        <v>136</v>
      </c>
      <c r="J20" s="157">
        <v>45777.48541666667</v>
      </c>
      <c r="K20" s="154" t="s">
        <v>2513</v>
      </c>
      <c r="L20" s="156" t="s">
        <v>66</v>
      </c>
    </row>
    <row r="21">
      <c r="A21" s="153">
        <v>15.0</v>
      </c>
      <c r="B21" s="154" t="s">
        <v>6</v>
      </c>
      <c r="C21" s="154" t="s">
        <v>2991</v>
      </c>
      <c r="D21" s="154" t="s">
        <v>202</v>
      </c>
      <c r="E21" s="154" t="s">
        <v>135</v>
      </c>
      <c r="F21" s="154" t="s">
        <v>136</v>
      </c>
      <c r="G21" s="154" t="s">
        <v>3018</v>
      </c>
      <c r="H21" s="155"/>
      <c r="I21" s="154" t="s">
        <v>136</v>
      </c>
      <c r="J21" s="154" t="s">
        <v>3019</v>
      </c>
      <c r="K21" s="154" t="s">
        <v>2502</v>
      </c>
      <c r="L21" s="156" t="s">
        <v>66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
    <col customWidth="1" min="2" max="2" width="5.86"/>
    <col customWidth="1" min="7" max="7" width="70.86"/>
  </cols>
  <sheetData>
    <row r="1">
      <c r="A1" s="165" t="s">
        <v>116</v>
      </c>
      <c r="B1" s="165" t="s">
        <v>117</v>
      </c>
      <c r="C1" s="165" t="s">
        <v>118</v>
      </c>
      <c r="D1" s="165" t="s">
        <v>119</v>
      </c>
      <c r="E1" s="165" t="s">
        <v>120</v>
      </c>
      <c r="F1" s="165" t="s">
        <v>121</v>
      </c>
      <c r="G1" s="165" t="s">
        <v>122</v>
      </c>
      <c r="H1" s="165" t="s">
        <v>123</v>
      </c>
      <c r="I1" s="165" t="s">
        <v>3890</v>
      </c>
      <c r="J1" s="165" t="s">
        <v>125</v>
      </c>
      <c r="K1" s="165" t="s">
        <v>126</v>
      </c>
      <c r="L1" s="17" t="s">
        <v>3771</v>
      </c>
      <c r="O1" s="123" t="s">
        <v>129</v>
      </c>
      <c r="P1" s="123" t="s">
        <v>130</v>
      </c>
      <c r="Q1" s="123" t="s">
        <v>131</v>
      </c>
    </row>
    <row r="2">
      <c r="A2" s="153">
        <v>25.0</v>
      </c>
      <c r="B2" s="154" t="s">
        <v>7</v>
      </c>
      <c r="C2" s="154" t="s">
        <v>195</v>
      </c>
      <c r="D2" s="154" t="s">
        <v>164</v>
      </c>
      <c r="E2" s="154" t="s">
        <v>136</v>
      </c>
      <c r="F2" s="154" t="s">
        <v>136</v>
      </c>
      <c r="G2" s="165" t="s">
        <v>174</v>
      </c>
      <c r="H2" s="155"/>
      <c r="I2" s="154" t="s">
        <v>136</v>
      </c>
      <c r="J2" s="154" t="s">
        <v>2951</v>
      </c>
      <c r="K2" s="154" t="s">
        <v>139</v>
      </c>
      <c r="L2" s="17" t="s">
        <v>74</v>
      </c>
      <c r="O2" s="7" t="str">
        <f t="array" ref="O2:O14">UNIQUE(D2:D187)</f>
        <v>Germany</v>
      </c>
      <c r="P2" s="7">
        <f t="shared" ref="P2:P13" si="1">COUNTIF(D$2:D$120,O2)</f>
        <v>2</v>
      </c>
      <c r="Q2" s="215" t="str">
        <f t="array" ref="Q2">XLOOKUP(O2,Countries!A$2:A$98,Countries!B$2:B$98,"tbd",0)</f>
        <v>Europe</v>
      </c>
    </row>
    <row r="3">
      <c r="A3" s="153">
        <v>14.0</v>
      </c>
      <c r="B3" s="154" t="s">
        <v>6</v>
      </c>
      <c r="C3" s="154" t="s">
        <v>2952</v>
      </c>
      <c r="D3" s="154" t="s">
        <v>182</v>
      </c>
      <c r="E3" s="154" t="s">
        <v>135</v>
      </c>
      <c r="F3" s="154" t="s">
        <v>136</v>
      </c>
      <c r="G3" s="165" t="s">
        <v>251</v>
      </c>
      <c r="H3" s="155"/>
      <c r="I3" s="154" t="s">
        <v>136</v>
      </c>
      <c r="J3" s="157">
        <v>45772.62222222222</v>
      </c>
      <c r="K3" s="154" t="s">
        <v>139</v>
      </c>
      <c r="L3" s="17" t="s">
        <v>74</v>
      </c>
      <c r="O3" s="216" t="s">
        <v>182</v>
      </c>
      <c r="P3" s="217">
        <f t="shared" si="1"/>
        <v>4</v>
      </c>
      <c r="Q3" s="218" t="str">
        <f t="array" ref="Q3">XLOOKUP(O3,Countries!A$2:A$98,Countries!B$2:B$98,"tbd",0)</f>
        <v>Africa</v>
      </c>
    </row>
    <row r="4">
      <c r="A4" s="153">
        <v>7.0</v>
      </c>
      <c r="B4" s="154" t="s">
        <v>6</v>
      </c>
      <c r="C4" s="154" t="s">
        <v>2953</v>
      </c>
      <c r="D4" s="154" t="s">
        <v>177</v>
      </c>
      <c r="E4" s="154" t="s">
        <v>135</v>
      </c>
      <c r="F4" s="154" t="s">
        <v>136</v>
      </c>
      <c r="G4" s="165" t="s">
        <v>221</v>
      </c>
      <c r="H4" s="155"/>
      <c r="I4" s="154" t="s">
        <v>136</v>
      </c>
      <c r="J4" s="157">
        <v>45757.78402777778</v>
      </c>
      <c r="K4" s="154" t="s">
        <v>139</v>
      </c>
      <c r="L4" s="17" t="s">
        <v>74</v>
      </c>
      <c r="O4" s="216" t="s">
        <v>177</v>
      </c>
      <c r="P4" s="217">
        <f t="shared" si="1"/>
        <v>1</v>
      </c>
      <c r="Q4" s="218" t="str">
        <f t="array" ref="Q4">XLOOKUP(O4,Countries!A$2:A$98,Countries!B$2:B$98,"tbd",0)</f>
        <v>Africa</v>
      </c>
    </row>
    <row r="5">
      <c r="A5" s="153">
        <v>8.0</v>
      </c>
      <c r="B5" s="154" t="s">
        <v>6</v>
      </c>
      <c r="C5" s="154" t="s">
        <v>1837</v>
      </c>
      <c r="D5" s="154" t="s">
        <v>164</v>
      </c>
      <c r="E5" s="154" t="s">
        <v>135</v>
      </c>
      <c r="F5" s="154" t="s">
        <v>136</v>
      </c>
      <c r="G5" s="154" t="s">
        <v>3899</v>
      </c>
      <c r="H5" s="155"/>
      <c r="I5" s="154" t="s">
        <v>136</v>
      </c>
      <c r="J5" s="157">
        <v>45764.3625</v>
      </c>
      <c r="K5" s="154" t="s">
        <v>139</v>
      </c>
      <c r="L5" s="17" t="s">
        <v>74</v>
      </c>
      <c r="O5" s="216" t="s">
        <v>403</v>
      </c>
      <c r="P5" s="217">
        <f t="shared" si="1"/>
        <v>3</v>
      </c>
      <c r="Q5" s="218" t="str">
        <f t="array" ref="Q5">XLOOKUP(O5,Countries!A$2:A$98,Countries!B$2:B$98,"tbd",0)</f>
        <v>Middle/South America</v>
      </c>
    </row>
    <row r="6">
      <c r="A6" s="153">
        <v>17.0</v>
      </c>
      <c r="B6" s="154" t="s">
        <v>6</v>
      </c>
      <c r="C6" s="154" t="s">
        <v>2955</v>
      </c>
      <c r="D6" s="154" t="s">
        <v>403</v>
      </c>
      <c r="E6" s="154" t="s">
        <v>135</v>
      </c>
      <c r="F6" s="154" t="s">
        <v>136</v>
      </c>
      <c r="G6" s="154" t="s">
        <v>221</v>
      </c>
      <c r="H6" s="155"/>
      <c r="I6" s="154" t="s">
        <v>135</v>
      </c>
      <c r="J6" s="157">
        <v>45772.80347222222</v>
      </c>
      <c r="K6" s="154" t="s">
        <v>139</v>
      </c>
      <c r="L6" s="17" t="s">
        <v>74</v>
      </c>
      <c r="O6" s="16" t="s">
        <v>202</v>
      </c>
      <c r="P6" s="7">
        <f t="shared" si="1"/>
        <v>3</v>
      </c>
      <c r="Q6" s="215" t="str">
        <f t="array" ref="Q6">XLOOKUP(O6,Countries!A$2:A$98,Countries!B$2:B$98,"tbd",0)</f>
        <v>Europe</v>
      </c>
    </row>
    <row r="7">
      <c r="A7" s="153">
        <v>6.0</v>
      </c>
      <c r="B7" s="154" t="s">
        <v>7</v>
      </c>
      <c r="C7" s="154" t="s">
        <v>1087</v>
      </c>
      <c r="D7" s="154" t="s">
        <v>202</v>
      </c>
      <c r="E7" s="154" t="s">
        <v>136</v>
      </c>
      <c r="F7" s="154" t="s">
        <v>136</v>
      </c>
      <c r="G7" s="154" t="s">
        <v>3900</v>
      </c>
      <c r="H7" s="155"/>
      <c r="I7" s="154" t="s">
        <v>136</v>
      </c>
      <c r="J7" s="157">
        <v>45750.40138888889</v>
      </c>
      <c r="K7" s="154" t="s">
        <v>139</v>
      </c>
      <c r="L7" s="17" t="s">
        <v>74</v>
      </c>
      <c r="O7" s="83" t="s">
        <v>193</v>
      </c>
      <c r="P7" s="54">
        <f t="shared" si="1"/>
        <v>1</v>
      </c>
      <c r="Q7" s="142" t="str">
        <f t="array" ref="Q7">XLOOKUP(O7,Countries!A$2:A$98,Countries!B$2:B$98,"tbd",0)</f>
        <v>associated countries</v>
      </c>
    </row>
    <row r="8">
      <c r="A8" s="153">
        <v>12.0</v>
      </c>
      <c r="B8" s="154" t="s">
        <v>6</v>
      </c>
      <c r="C8" s="154" t="s">
        <v>2956</v>
      </c>
      <c r="D8" s="154" t="s">
        <v>403</v>
      </c>
      <c r="E8" s="154" t="s">
        <v>136</v>
      </c>
      <c r="F8" s="154" t="s">
        <v>136</v>
      </c>
      <c r="G8" s="154" t="s">
        <v>137</v>
      </c>
      <c r="H8" s="155"/>
      <c r="I8" s="154" t="s">
        <v>135</v>
      </c>
      <c r="J8" s="157">
        <v>45772.535416666666</v>
      </c>
      <c r="K8" s="154" t="s">
        <v>139</v>
      </c>
      <c r="L8" s="17" t="s">
        <v>74</v>
      </c>
      <c r="O8" s="83" t="s">
        <v>228</v>
      </c>
      <c r="P8" s="54">
        <f t="shared" si="1"/>
        <v>6</v>
      </c>
      <c r="Q8" s="142" t="str">
        <f t="array" ref="Q8">XLOOKUP(O8,Countries!A$2:A$98,Countries!B$2:B$98,"tbd",0)</f>
        <v>widening countries</v>
      </c>
    </row>
    <row r="9">
      <c r="A9" s="153">
        <v>16.0</v>
      </c>
      <c r="B9" s="154" t="s">
        <v>6</v>
      </c>
      <c r="C9" s="154" t="s">
        <v>2957</v>
      </c>
      <c r="D9" s="154" t="s">
        <v>182</v>
      </c>
      <c r="E9" s="154" t="s">
        <v>135</v>
      </c>
      <c r="F9" s="154" t="s">
        <v>136</v>
      </c>
      <c r="G9" s="154" t="s">
        <v>3901</v>
      </c>
      <c r="H9" s="154" t="s">
        <v>2958</v>
      </c>
      <c r="I9" s="154" t="s">
        <v>136</v>
      </c>
      <c r="J9" s="157">
        <v>45772.75625</v>
      </c>
      <c r="K9" s="154" t="s">
        <v>139</v>
      </c>
      <c r="L9" s="17" t="s">
        <v>74</v>
      </c>
      <c r="O9" s="83" t="s">
        <v>352</v>
      </c>
      <c r="P9" s="54">
        <f t="shared" si="1"/>
        <v>1</v>
      </c>
      <c r="Q9" s="142" t="str">
        <f t="array" ref="Q9">XLOOKUP(O9,Countries!A$2:A$98,Countries!B$2:B$98,"tbd",0)</f>
        <v>widening countries</v>
      </c>
    </row>
    <row r="10">
      <c r="A10" s="153">
        <v>5.0</v>
      </c>
      <c r="B10" s="154" t="s">
        <v>7</v>
      </c>
      <c r="C10" s="154" t="s">
        <v>2959</v>
      </c>
      <c r="D10" s="154" t="s">
        <v>193</v>
      </c>
      <c r="E10" s="154" t="s">
        <v>135</v>
      </c>
      <c r="F10" s="154" t="s">
        <v>136</v>
      </c>
      <c r="G10" s="154" t="s">
        <v>401</v>
      </c>
      <c r="H10" s="155"/>
      <c r="I10" s="154" t="s">
        <v>136</v>
      </c>
      <c r="J10" s="154" t="s">
        <v>2960</v>
      </c>
      <c r="K10" s="154" t="s">
        <v>139</v>
      </c>
      <c r="L10" s="17" t="s">
        <v>74</v>
      </c>
      <c r="O10" s="216" t="s">
        <v>264</v>
      </c>
      <c r="P10" s="217">
        <f t="shared" si="1"/>
        <v>2</v>
      </c>
      <c r="Q10" s="218" t="str">
        <f t="array" ref="Q10">XLOOKUP(O10,Countries!A$2:A$98,Countries!B$2:B$98,"tbd",0)</f>
        <v>Asia</v>
      </c>
    </row>
    <row r="11">
      <c r="A11" s="153">
        <v>21.0</v>
      </c>
      <c r="B11" s="154" t="s">
        <v>7</v>
      </c>
      <c r="C11" s="154" t="s">
        <v>2961</v>
      </c>
      <c r="D11" s="154" t="s">
        <v>228</v>
      </c>
      <c r="E11" s="154" t="s">
        <v>135</v>
      </c>
      <c r="F11" s="154" t="s">
        <v>136</v>
      </c>
      <c r="G11" s="154" t="s">
        <v>221</v>
      </c>
      <c r="H11" s="155"/>
      <c r="I11" s="154" t="s">
        <v>135</v>
      </c>
      <c r="J11" s="157">
        <v>45776.64236111111</v>
      </c>
      <c r="K11" s="154" t="s">
        <v>139</v>
      </c>
      <c r="L11" s="17" t="s">
        <v>74</v>
      </c>
      <c r="O11" s="216" t="s">
        <v>318</v>
      </c>
      <c r="P11" s="217">
        <f t="shared" si="1"/>
        <v>1</v>
      </c>
      <c r="Q11" s="218" t="str">
        <f t="array" ref="Q11">XLOOKUP(O11,Countries!A$2:A$98,Countries!B$2:B$98,"tbd",0)</f>
        <v>Middle/South America</v>
      </c>
    </row>
    <row r="12">
      <c r="A12" s="153">
        <v>4.0</v>
      </c>
      <c r="B12" s="154" t="s">
        <v>7</v>
      </c>
      <c r="C12" s="154" t="s">
        <v>2962</v>
      </c>
      <c r="D12" s="154" t="s">
        <v>228</v>
      </c>
      <c r="E12" s="154" t="s">
        <v>135</v>
      </c>
      <c r="F12" s="154" t="s">
        <v>136</v>
      </c>
      <c r="G12" s="154" t="s">
        <v>457</v>
      </c>
      <c r="H12" s="154" t="s">
        <v>2963</v>
      </c>
      <c r="I12" s="154" t="s">
        <v>136</v>
      </c>
      <c r="J12" s="154" t="s">
        <v>2964</v>
      </c>
      <c r="K12" s="154" t="s">
        <v>139</v>
      </c>
      <c r="L12" s="17" t="s">
        <v>74</v>
      </c>
      <c r="O12" s="16" t="s">
        <v>143</v>
      </c>
      <c r="P12" s="7">
        <f t="shared" si="1"/>
        <v>1</v>
      </c>
      <c r="Q12" s="215" t="str">
        <f t="array" ref="Q12">XLOOKUP(O12,Countries!A$2:A$98,Countries!B$2:B$98,"tbd",0)</f>
        <v>Europe</v>
      </c>
    </row>
    <row r="13">
      <c r="A13" s="153">
        <v>9.0</v>
      </c>
      <c r="B13" s="154" t="s">
        <v>6</v>
      </c>
      <c r="C13" s="154" t="s">
        <v>2965</v>
      </c>
      <c r="D13" s="154" t="s">
        <v>352</v>
      </c>
      <c r="E13" s="154" t="s">
        <v>135</v>
      </c>
      <c r="F13" s="154" t="s">
        <v>136</v>
      </c>
      <c r="G13" s="154" t="s">
        <v>3902</v>
      </c>
      <c r="H13" s="154" t="s">
        <v>2966</v>
      </c>
      <c r="I13" s="154" t="s">
        <v>136</v>
      </c>
      <c r="J13" s="157">
        <v>45764.433333333334</v>
      </c>
      <c r="K13" s="154" t="s">
        <v>139</v>
      </c>
      <c r="L13" s="17" t="s">
        <v>74</v>
      </c>
      <c r="O13" s="83" t="s">
        <v>268</v>
      </c>
      <c r="P13" s="54">
        <f t="shared" si="1"/>
        <v>1</v>
      </c>
      <c r="Q13" s="142" t="str">
        <f t="array" ref="Q13">XLOOKUP(O13,Countries!A$2:A$98,Countries!B$2:B$98,"tbd",0)</f>
        <v>associated countries</v>
      </c>
    </row>
    <row r="14">
      <c r="A14" s="153">
        <v>10.0</v>
      </c>
      <c r="B14" s="154" t="s">
        <v>7</v>
      </c>
      <c r="C14" s="154" t="s">
        <v>334</v>
      </c>
      <c r="D14" s="154" t="s">
        <v>228</v>
      </c>
      <c r="E14" s="154" t="s">
        <v>136</v>
      </c>
      <c r="F14" s="154" t="s">
        <v>136</v>
      </c>
      <c r="G14" s="154" t="s">
        <v>2967</v>
      </c>
      <c r="H14" s="155"/>
      <c r="I14" s="154" t="s">
        <v>135</v>
      </c>
      <c r="J14" s="157">
        <v>45772.44236111111</v>
      </c>
      <c r="K14" s="154" t="s">
        <v>139</v>
      </c>
      <c r="L14" s="17" t="s">
        <v>74</v>
      </c>
      <c r="O14" s="16"/>
    </row>
    <row r="15">
      <c r="A15" s="153">
        <v>1.0</v>
      </c>
      <c r="B15" s="154" t="s">
        <v>6</v>
      </c>
      <c r="C15" s="154" t="s">
        <v>2968</v>
      </c>
      <c r="D15" s="154" t="s">
        <v>228</v>
      </c>
      <c r="E15" s="154" t="s">
        <v>136</v>
      </c>
      <c r="F15" s="154" t="s">
        <v>136</v>
      </c>
      <c r="G15" s="154" t="s">
        <v>3903</v>
      </c>
      <c r="H15" s="155"/>
      <c r="I15" s="154" t="s">
        <v>136</v>
      </c>
      <c r="J15" s="154" t="s">
        <v>2970</v>
      </c>
      <c r="K15" s="154" t="s">
        <v>139</v>
      </c>
      <c r="L15" s="17" t="s">
        <v>74</v>
      </c>
      <c r="P15" s="16">
        <f>SUM(P2:P13)</f>
        <v>26</v>
      </c>
    </row>
    <row r="16">
      <c r="A16" s="153">
        <v>18.0</v>
      </c>
      <c r="B16" s="154" t="s">
        <v>6</v>
      </c>
      <c r="C16" s="154" t="s">
        <v>2971</v>
      </c>
      <c r="D16" s="154" t="s">
        <v>182</v>
      </c>
      <c r="E16" s="154" t="s">
        <v>135</v>
      </c>
      <c r="F16" s="154" t="s">
        <v>135</v>
      </c>
      <c r="G16" s="154" t="s">
        <v>2972</v>
      </c>
      <c r="H16" s="155"/>
      <c r="I16" s="154" t="s">
        <v>136</v>
      </c>
      <c r="J16" s="157">
        <v>45772.82708333333</v>
      </c>
      <c r="K16" s="154" t="s">
        <v>139</v>
      </c>
      <c r="L16" s="17" t="s">
        <v>74</v>
      </c>
    </row>
    <row r="17">
      <c r="A17" s="153">
        <v>13.0</v>
      </c>
      <c r="B17" s="154" t="s">
        <v>6</v>
      </c>
      <c r="C17" s="154" t="s">
        <v>2973</v>
      </c>
      <c r="D17" s="154" t="s">
        <v>403</v>
      </c>
      <c r="E17" s="154" t="s">
        <v>136</v>
      </c>
      <c r="F17" s="154" t="s">
        <v>136</v>
      </c>
      <c r="G17" s="154" t="s">
        <v>2974</v>
      </c>
      <c r="H17" s="154" t="s">
        <v>2975</v>
      </c>
      <c r="I17" s="154" t="s">
        <v>136</v>
      </c>
      <c r="J17" s="157">
        <v>45772.54861111111</v>
      </c>
      <c r="K17" s="154" t="s">
        <v>139</v>
      </c>
      <c r="L17" s="17" t="s">
        <v>74</v>
      </c>
      <c r="P17" s="17">
        <v>9.0</v>
      </c>
      <c r="Q17" s="17" t="s">
        <v>3818</v>
      </c>
    </row>
    <row r="18">
      <c r="A18" s="153">
        <v>19.0</v>
      </c>
      <c r="B18" s="154" t="s">
        <v>6</v>
      </c>
      <c r="C18" s="154" t="s">
        <v>2976</v>
      </c>
      <c r="D18" s="154" t="s">
        <v>264</v>
      </c>
      <c r="E18" s="154" t="s">
        <v>135</v>
      </c>
      <c r="F18" s="154" t="s">
        <v>135</v>
      </c>
      <c r="G18" s="154" t="s">
        <v>1291</v>
      </c>
      <c r="H18" s="155"/>
      <c r="I18" s="154" t="s">
        <v>136</v>
      </c>
      <c r="J18" s="157">
        <v>45776.21319444444</v>
      </c>
      <c r="K18" s="154" t="s">
        <v>139</v>
      </c>
      <c r="L18" s="17" t="s">
        <v>74</v>
      </c>
      <c r="P18" s="17">
        <v>11.0</v>
      </c>
      <c r="Q18" s="17" t="s">
        <v>22</v>
      </c>
    </row>
    <row r="19">
      <c r="A19" s="153">
        <v>20.0</v>
      </c>
      <c r="B19" s="154" t="s">
        <v>6</v>
      </c>
      <c r="C19" s="154" t="s">
        <v>2977</v>
      </c>
      <c r="D19" s="154" t="s">
        <v>264</v>
      </c>
      <c r="E19" s="154" t="s">
        <v>135</v>
      </c>
      <c r="F19" s="154" t="s">
        <v>136</v>
      </c>
      <c r="G19" s="154" t="s">
        <v>650</v>
      </c>
      <c r="H19" s="155"/>
      <c r="I19" s="154" t="s">
        <v>136</v>
      </c>
      <c r="J19" s="157">
        <v>45776.225694444445</v>
      </c>
      <c r="K19" s="154" t="s">
        <v>139</v>
      </c>
      <c r="L19" s="17" t="s">
        <v>74</v>
      </c>
      <c r="P19" s="17">
        <v>12.0</v>
      </c>
      <c r="Q19" s="17" t="s">
        <v>3821</v>
      </c>
    </row>
    <row r="20">
      <c r="A20" s="153">
        <v>24.0</v>
      </c>
      <c r="B20" s="154" t="s">
        <v>7</v>
      </c>
      <c r="C20" s="154" t="s">
        <v>2978</v>
      </c>
      <c r="D20" s="154" t="s">
        <v>202</v>
      </c>
      <c r="E20" s="154" t="s">
        <v>136</v>
      </c>
      <c r="F20" s="154" t="s">
        <v>136</v>
      </c>
      <c r="G20" s="154" t="s">
        <v>137</v>
      </c>
      <c r="H20" s="155"/>
      <c r="I20" s="154" t="s">
        <v>135</v>
      </c>
      <c r="J20" s="154" t="s">
        <v>2979</v>
      </c>
      <c r="K20" s="154" t="s">
        <v>139</v>
      </c>
      <c r="L20" s="17" t="s">
        <v>74</v>
      </c>
      <c r="P20" s="17">
        <v>11.0</v>
      </c>
      <c r="Q20" s="17" t="s">
        <v>3822</v>
      </c>
    </row>
    <row r="21">
      <c r="A21" s="153">
        <v>22.0</v>
      </c>
      <c r="B21" s="154" t="s">
        <v>6</v>
      </c>
      <c r="C21" s="154" t="s">
        <v>2980</v>
      </c>
      <c r="D21" s="154" t="s">
        <v>318</v>
      </c>
      <c r="E21" s="154" t="s">
        <v>135</v>
      </c>
      <c r="F21" s="154" t="s">
        <v>135</v>
      </c>
      <c r="G21" s="154" t="s">
        <v>157</v>
      </c>
      <c r="H21" s="155"/>
      <c r="I21" s="154" t="s">
        <v>136</v>
      </c>
      <c r="J21" s="154" t="s">
        <v>2981</v>
      </c>
      <c r="K21" s="154" t="s">
        <v>139</v>
      </c>
      <c r="L21" s="17" t="s">
        <v>74</v>
      </c>
    </row>
    <row r="22">
      <c r="A22" s="153">
        <v>23.0</v>
      </c>
      <c r="B22" s="154" t="s">
        <v>6</v>
      </c>
      <c r="C22" s="154" t="s">
        <v>2982</v>
      </c>
      <c r="D22" s="154" t="s">
        <v>143</v>
      </c>
      <c r="E22" s="154" t="s">
        <v>135</v>
      </c>
      <c r="F22" s="154" t="s">
        <v>136</v>
      </c>
      <c r="G22" s="154" t="s">
        <v>1829</v>
      </c>
      <c r="H22" s="155"/>
      <c r="I22" s="154" t="s">
        <v>136</v>
      </c>
      <c r="J22" s="154" t="s">
        <v>2983</v>
      </c>
      <c r="K22" s="154" t="s">
        <v>139</v>
      </c>
      <c r="L22" s="17" t="s">
        <v>74</v>
      </c>
    </row>
    <row r="23">
      <c r="A23" s="153">
        <v>3.0</v>
      </c>
      <c r="B23" s="154" t="s">
        <v>6</v>
      </c>
      <c r="C23" s="154" t="s">
        <v>2984</v>
      </c>
      <c r="D23" s="154" t="s">
        <v>228</v>
      </c>
      <c r="E23" s="154" t="s">
        <v>135</v>
      </c>
      <c r="F23" s="154" t="s">
        <v>135</v>
      </c>
      <c r="G23" s="154" t="s">
        <v>157</v>
      </c>
      <c r="H23" s="155"/>
      <c r="I23" s="154" t="s">
        <v>135</v>
      </c>
      <c r="J23" s="154" t="s">
        <v>2985</v>
      </c>
      <c r="K23" s="154" t="s">
        <v>139</v>
      </c>
      <c r="L23" s="17" t="s">
        <v>74</v>
      </c>
    </row>
    <row r="24">
      <c r="A24" s="153">
        <v>11.0</v>
      </c>
      <c r="B24" s="154" t="s">
        <v>6</v>
      </c>
      <c r="C24" s="154" t="s">
        <v>2986</v>
      </c>
      <c r="D24" s="154" t="s">
        <v>268</v>
      </c>
      <c r="E24" s="154" t="s">
        <v>135</v>
      </c>
      <c r="F24" s="154" t="s">
        <v>136</v>
      </c>
      <c r="G24" s="154" t="s">
        <v>137</v>
      </c>
      <c r="H24" s="154" t="s">
        <v>1623</v>
      </c>
      <c r="I24" s="154" t="s">
        <v>136</v>
      </c>
      <c r="J24" s="157">
        <v>45772.498611111114</v>
      </c>
      <c r="K24" s="154" t="s">
        <v>139</v>
      </c>
      <c r="L24" s="17" t="s">
        <v>74</v>
      </c>
    </row>
    <row r="25">
      <c r="A25" s="153">
        <v>15.0</v>
      </c>
      <c r="B25" s="154" t="s">
        <v>6</v>
      </c>
      <c r="C25" s="154" t="s">
        <v>2987</v>
      </c>
      <c r="D25" s="154" t="s">
        <v>182</v>
      </c>
      <c r="E25" s="154" t="s">
        <v>135</v>
      </c>
      <c r="F25" s="154" t="s">
        <v>136</v>
      </c>
      <c r="G25" s="154" t="s">
        <v>185</v>
      </c>
      <c r="H25" s="154" t="s">
        <v>2988</v>
      </c>
      <c r="I25" s="154" t="s">
        <v>136</v>
      </c>
      <c r="J25" s="157">
        <v>45772.67013888889</v>
      </c>
      <c r="K25" s="154" t="s">
        <v>139</v>
      </c>
      <c r="L25" s="17" t="s">
        <v>74</v>
      </c>
    </row>
    <row r="26">
      <c r="A26" s="153">
        <v>2.0</v>
      </c>
      <c r="B26" s="154" t="s">
        <v>6</v>
      </c>
      <c r="C26" s="154" t="s">
        <v>2989</v>
      </c>
      <c r="D26" s="154" t="s">
        <v>228</v>
      </c>
      <c r="E26" s="154" t="s">
        <v>135</v>
      </c>
      <c r="F26" s="154" t="s">
        <v>136</v>
      </c>
      <c r="G26" s="154" t="s">
        <v>2873</v>
      </c>
      <c r="H26" s="155"/>
      <c r="I26" s="154" t="s">
        <v>136</v>
      </c>
      <c r="J26" s="154" t="s">
        <v>2990</v>
      </c>
      <c r="K26" s="154" t="s">
        <v>139</v>
      </c>
      <c r="L26" s="17" t="s">
        <v>74</v>
      </c>
    </row>
    <row r="27">
      <c r="A27" s="153">
        <v>26.0</v>
      </c>
      <c r="B27" s="154" t="s">
        <v>6</v>
      </c>
      <c r="C27" s="154" t="s">
        <v>2991</v>
      </c>
      <c r="D27" s="154" t="s">
        <v>202</v>
      </c>
      <c r="E27" s="154" t="s">
        <v>135</v>
      </c>
      <c r="F27" s="154" t="s">
        <v>136</v>
      </c>
      <c r="G27" s="154" t="s">
        <v>1320</v>
      </c>
      <c r="H27" s="155"/>
      <c r="I27" s="154" t="s">
        <v>136</v>
      </c>
      <c r="J27" s="154" t="s">
        <v>2992</v>
      </c>
      <c r="K27" s="154" t="s">
        <v>139</v>
      </c>
      <c r="L27" s="17" t="s">
        <v>74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7.57"/>
    <col customWidth="1" min="7" max="7" width="45.86"/>
    <col customWidth="1" min="8" max="8" width="26.57"/>
    <col customWidth="1" min="14" max="14" width="22.43"/>
  </cols>
  <sheetData>
    <row r="1">
      <c r="A1" s="167" t="s">
        <v>116</v>
      </c>
      <c r="B1" s="167" t="s">
        <v>117</v>
      </c>
      <c r="C1" s="167" t="s">
        <v>118</v>
      </c>
      <c r="D1" s="167" t="s">
        <v>119</v>
      </c>
      <c r="E1" s="167" t="s">
        <v>120</v>
      </c>
      <c r="F1" s="167" t="s">
        <v>121</v>
      </c>
      <c r="G1" s="167" t="s">
        <v>122</v>
      </c>
      <c r="H1" s="167" t="s">
        <v>123</v>
      </c>
      <c r="I1" s="167" t="s">
        <v>3794</v>
      </c>
      <c r="J1" s="167" t="s">
        <v>125</v>
      </c>
      <c r="K1" s="167" t="s">
        <v>3770</v>
      </c>
      <c r="L1" s="167" t="s">
        <v>3771</v>
      </c>
      <c r="M1" s="35"/>
      <c r="N1" s="123" t="s">
        <v>129</v>
      </c>
      <c r="O1" s="123" t="s">
        <v>130</v>
      </c>
      <c r="P1" s="123" t="s">
        <v>131</v>
      </c>
      <c r="Q1" s="35"/>
      <c r="R1" s="35"/>
      <c r="S1" s="35"/>
      <c r="T1" s="35"/>
      <c r="U1" s="35"/>
      <c r="V1" s="35"/>
      <c r="W1" s="35"/>
    </row>
    <row r="2">
      <c r="A2" s="17">
        <v>5.0</v>
      </c>
      <c r="B2" s="17" t="s">
        <v>6</v>
      </c>
      <c r="C2" s="17" t="s">
        <v>486</v>
      </c>
      <c r="D2" s="17" t="s">
        <v>219</v>
      </c>
      <c r="E2" s="17" t="s">
        <v>135</v>
      </c>
      <c r="F2" s="17" t="s">
        <v>136</v>
      </c>
      <c r="G2" s="17" t="s">
        <v>401</v>
      </c>
      <c r="I2" s="17" t="s">
        <v>135</v>
      </c>
      <c r="J2" s="166">
        <v>45690.00486111111</v>
      </c>
      <c r="K2" s="17" t="s">
        <v>2509</v>
      </c>
      <c r="L2" s="17" t="s">
        <v>72</v>
      </c>
      <c r="N2" s="217" t="str">
        <f t="array" ref="N2:N31">UNIQUE(D2:D187)</f>
        <v>Japan</v>
      </c>
      <c r="O2" s="217">
        <f t="shared" ref="O2:O30" si="1">COUNTIF(D$2:D$120,N2)</f>
        <v>2</v>
      </c>
      <c r="P2" s="218" t="str">
        <f t="array" ref="P2">XLOOKUP(N2,Countries!A$2:A$98,Countries!B$2:B$98,"tbd",0)</f>
        <v>Asia</v>
      </c>
    </row>
    <row r="3">
      <c r="A3" s="17">
        <v>58.0</v>
      </c>
      <c r="B3" s="17" t="s">
        <v>6</v>
      </c>
      <c r="C3" s="17" t="s">
        <v>486</v>
      </c>
      <c r="D3" s="17" t="s">
        <v>214</v>
      </c>
      <c r="E3" s="17" t="s">
        <v>135</v>
      </c>
      <c r="F3" s="17" t="s">
        <v>136</v>
      </c>
      <c r="G3" s="167" t="s">
        <v>251</v>
      </c>
      <c r="I3" s="17" t="s">
        <v>135</v>
      </c>
      <c r="J3" s="17" t="s">
        <v>2600</v>
      </c>
      <c r="K3" s="17" t="s">
        <v>2509</v>
      </c>
      <c r="L3" s="17" t="s">
        <v>72</v>
      </c>
      <c r="N3" s="216" t="s">
        <v>214</v>
      </c>
      <c r="O3" s="217">
        <f t="shared" si="1"/>
        <v>1</v>
      </c>
      <c r="P3" s="218" t="str">
        <f t="array" ref="P3">XLOOKUP(N3,Countries!A$2:A$98,Countries!B$2:B$98,"tbd",0)</f>
        <v>Asia</v>
      </c>
    </row>
    <row r="4">
      <c r="A4" s="17">
        <v>93.0</v>
      </c>
      <c r="B4" s="17" t="s">
        <v>7</v>
      </c>
      <c r="C4" s="17" t="s">
        <v>808</v>
      </c>
      <c r="D4" s="17" t="s">
        <v>153</v>
      </c>
      <c r="E4" s="17" t="s">
        <v>136</v>
      </c>
      <c r="F4" s="17" t="s">
        <v>136</v>
      </c>
      <c r="G4" s="167" t="s">
        <v>137</v>
      </c>
      <c r="H4" s="17" t="s">
        <v>2601</v>
      </c>
      <c r="I4" s="17" t="s">
        <v>136</v>
      </c>
      <c r="J4" s="17" t="s">
        <v>2602</v>
      </c>
      <c r="K4" s="17" t="s">
        <v>2603</v>
      </c>
      <c r="L4" s="17" t="s">
        <v>72</v>
      </c>
      <c r="N4" s="83" t="s">
        <v>153</v>
      </c>
      <c r="O4" s="54">
        <f t="shared" si="1"/>
        <v>5</v>
      </c>
      <c r="P4" s="142" t="str">
        <f t="array" ref="P4">XLOOKUP(N4,Countries!A$2:A$98,Countries!B$2:B$98,"tbd",0)</f>
        <v>associated countries</v>
      </c>
    </row>
    <row r="5">
      <c r="A5" s="17">
        <v>76.0</v>
      </c>
      <c r="B5" s="17" t="s">
        <v>7</v>
      </c>
      <c r="C5" s="17" t="s">
        <v>1055</v>
      </c>
      <c r="D5" s="17" t="s">
        <v>369</v>
      </c>
      <c r="E5" s="17" t="s">
        <v>135</v>
      </c>
      <c r="F5" s="17" t="s">
        <v>135</v>
      </c>
      <c r="G5" s="167" t="s">
        <v>2604</v>
      </c>
      <c r="I5" s="17" t="s">
        <v>136</v>
      </c>
      <c r="J5" s="17" t="s">
        <v>2605</v>
      </c>
      <c r="K5" s="17" t="s">
        <v>2513</v>
      </c>
      <c r="L5" s="17" t="s">
        <v>72</v>
      </c>
      <c r="N5" s="216" t="s">
        <v>369</v>
      </c>
      <c r="O5" s="217">
        <f t="shared" si="1"/>
        <v>7</v>
      </c>
      <c r="P5" s="218" t="str">
        <f t="array" ref="P5">XLOOKUP(N5,Countries!A$2:A$98,Countries!B$2:B$98,"tbd",0)</f>
        <v>Middle/South America</v>
      </c>
    </row>
    <row r="6">
      <c r="A6" s="17">
        <v>72.0</v>
      </c>
      <c r="B6" s="17" t="s">
        <v>6</v>
      </c>
      <c r="C6" s="17" t="s">
        <v>167</v>
      </c>
      <c r="D6" s="17" t="s">
        <v>143</v>
      </c>
      <c r="E6" s="17" t="s">
        <v>136</v>
      </c>
      <c r="F6" s="17" t="s">
        <v>136</v>
      </c>
      <c r="G6" s="17" t="s">
        <v>1789</v>
      </c>
      <c r="I6" s="17" t="s">
        <v>136</v>
      </c>
      <c r="J6" s="17" t="s">
        <v>2606</v>
      </c>
      <c r="K6" s="17" t="s">
        <v>2513</v>
      </c>
      <c r="L6" s="17" t="s">
        <v>72</v>
      </c>
      <c r="N6" s="16" t="s">
        <v>143</v>
      </c>
      <c r="O6" s="7">
        <f t="shared" si="1"/>
        <v>10</v>
      </c>
      <c r="P6" s="215" t="str">
        <f t="array" ref="P6">XLOOKUP(N6,Countries!A$2:A$98,Countries!B$2:B$98,"tbd",0)</f>
        <v>Europe</v>
      </c>
    </row>
    <row r="7">
      <c r="A7" s="17">
        <v>34.0</v>
      </c>
      <c r="B7" s="17" t="s">
        <v>7</v>
      </c>
      <c r="C7" s="17" t="s">
        <v>2607</v>
      </c>
      <c r="D7" s="17" t="s">
        <v>213</v>
      </c>
      <c r="E7" s="17" t="s">
        <v>135</v>
      </c>
      <c r="F7" s="17" t="s">
        <v>136</v>
      </c>
      <c r="G7" s="17" t="s">
        <v>180</v>
      </c>
      <c r="I7" s="17" t="s">
        <v>136</v>
      </c>
      <c r="J7" s="17" t="s">
        <v>2608</v>
      </c>
      <c r="K7" s="17" t="s">
        <v>2513</v>
      </c>
      <c r="L7" s="17" t="s">
        <v>72</v>
      </c>
      <c r="N7" s="83" t="s">
        <v>213</v>
      </c>
      <c r="O7" s="54">
        <f t="shared" si="1"/>
        <v>3</v>
      </c>
      <c r="P7" s="142" t="str">
        <f t="array" ref="P7">XLOOKUP(N7,Countries!A$2:A$98,Countries!B$2:B$98,"tbd",0)</f>
        <v>widening countries</v>
      </c>
    </row>
    <row r="8">
      <c r="A8" s="17">
        <v>67.0</v>
      </c>
      <c r="B8" s="17" t="s">
        <v>6</v>
      </c>
      <c r="C8" s="17" t="s">
        <v>235</v>
      </c>
      <c r="D8" s="17" t="s">
        <v>164</v>
      </c>
      <c r="E8" s="17" t="s">
        <v>136</v>
      </c>
      <c r="F8" s="17" t="s">
        <v>136</v>
      </c>
      <c r="G8" s="17" t="s">
        <v>349</v>
      </c>
      <c r="I8" s="17" t="s">
        <v>135</v>
      </c>
      <c r="J8" s="17" t="s">
        <v>2609</v>
      </c>
      <c r="K8" s="17" t="s">
        <v>2509</v>
      </c>
      <c r="L8" s="17" t="s">
        <v>72</v>
      </c>
      <c r="N8" s="16" t="s">
        <v>164</v>
      </c>
      <c r="O8" s="7">
        <f t="shared" si="1"/>
        <v>9</v>
      </c>
      <c r="P8" s="215" t="str">
        <f t="array" ref="P8">XLOOKUP(N8,Countries!A$2:A$98,Countries!B$2:B$98,"tbd",0)</f>
        <v>Europe</v>
      </c>
    </row>
    <row r="9">
      <c r="A9" s="17">
        <v>55.0</v>
      </c>
      <c r="B9" s="17" t="s">
        <v>7</v>
      </c>
      <c r="C9" s="17" t="s">
        <v>2610</v>
      </c>
      <c r="D9" s="17" t="s">
        <v>223</v>
      </c>
      <c r="E9" s="17" t="s">
        <v>135</v>
      </c>
      <c r="F9" s="17" t="s">
        <v>136</v>
      </c>
      <c r="G9" s="17" t="s">
        <v>144</v>
      </c>
      <c r="I9" s="17" t="s">
        <v>136</v>
      </c>
      <c r="J9" s="17" t="s">
        <v>2611</v>
      </c>
      <c r="K9" s="17" t="s">
        <v>2513</v>
      </c>
      <c r="L9" s="17" t="s">
        <v>72</v>
      </c>
      <c r="N9" s="83" t="s">
        <v>223</v>
      </c>
      <c r="O9" s="54">
        <f t="shared" si="1"/>
        <v>2</v>
      </c>
      <c r="P9" s="142" t="str">
        <f t="array" ref="P9">XLOOKUP(N9,Countries!A$2:A$98,Countries!B$2:B$98,"tbd",0)</f>
        <v>widening countries</v>
      </c>
    </row>
    <row r="10">
      <c r="A10" s="17">
        <v>61.0</v>
      </c>
      <c r="B10" s="17" t="s">
        <v>7</v>
      </c>
      <c r="C10" s="17" t="s">
        <v>315</v>
      </c>
      <c r="D10" s="17" t="s">
        <v>164</v>
      </c>
      <c r="E10" s="17" t="s">
        <v>135</v>
      </c>
      <c r="F10" s="17" t="s">
        <v>135</v>
      </c>
      <c r="G10" s="17" t="s">
        <v>3904</v>
      </c>
      <c r="I10" s="17" t="s">
        <v>135</v>
      </c>
      <c r="J10" s="17" t="s">
        <v>2613</v>
      </c>
      <c r="K10" s="17" t="s">
        <v>2509</v>
      </c>
      <c r="L10" s="17" t="s">
        <v>72</v>
      </c>
      <c r="N10" s="216" t="s">
        <v>347</v>
      </c>
      <c r="O10" s="217">
        <f t="shared" si="1"/>
        <v>2</v>
      </c>
      <c r="P10" s="218" t="str">
        <f t="array" ref="P10">XLOOKUP(N10,Countries!A$2:A$98,Countries!B$2:B$98,"tbd",0)</f>
        <v>Middle/South America</v>
      </c>
    </row>
    <row r="11">
      <c r="A11" s="17">
        <v>38.0</v>
      </c>
      <c r="B11" s="17" t="s">
        <v>6</v>
      </c>
      <c r="C11" s="17" t="s">
        <v>2614</v>
      </c>
      <c r="D11" s="17" t="s">
        <v>347</v>
      </c>
      <c r="E11" s="17" t="s">
        <v>136</v>
      </c>
      <c r="F11" s="17" t="s">
        <v>135</v>
      </c>
      <c r="G11" s="17" t="s">
        <v>144</v>
      </c>
      <c r="I11" s="17" t="s">
        <v>136</v>
      </c>
      <c r="J11" s="17" t="s">
        <v>2615</v>
      </c>
      <c r="K11" s="17" t="s">
        <v>2509</v>
      </c>
      <c r="L11" s="17" t="s">
        <v>72</v>
      </c>
      <c r="N11" s="16" t="s">
        <v>202</v>
      </c>
      <c r="O11" s="7">
        <f t="shared" si="1"/>
        <v>6</v>
      </c>
      <c r="P11" s="215" t="str">
        <f t="array" ref="P11">XLOOKUP(N11,Countries!A$2:A$98,Countries!B$2:B$98,"tbd",0)</f>
        <v>Europe</v>
      </c>
    </row>
    <row r="12">
      <c r="A12" s="17">
        <v>37.0</v>
      </c>
      <c r="B12" s="17" t="s">
        <v>6</v>
      </c>
      <c r="C12" s="17" t="s">
        <v>2616</v>
      </c>
      <c r="D12" s="17" t="s">
        <v>347</v>
      </c>
      <c r="E12" s="17" t="s">
        <v>136</v>
      </c>
      <c r="F12" s="17" t="s">
        <v>135</v>
      </c>
      <c r="G12" s="17" t="s">
        <v>144</v>
      </c>
      <c r="I12" s="17" t="s">
        <v>136</v>
      </c>
      <c r="J12" s="17" t="s">
        <v>2617</v>
      </c>
      <c r="K12" s="17" t="s">
        <v>185</v>
      </c>
      <c r="L12" s="17" t="s">
        <v>72</v>
      </c>
      <c r="N12" s="216" t="s">
        <v>210</v>
      </c>
      <c r="O12" s="217">
        <f t="shared" si="1"/>
        <v>2</v>
      </c>
      <c r="P12" s="218" t="str">
        <f t="array" ref="P12">XLOOKUP(N12,Countries!A$2:A$98,Countries!B$2:B$98,"tbd",0)</f>
        <v>Asia</v>
      </c>
    </row>
    <row r="13">
      <c r="A13" s="17">
        <v>25.0</v>
      </c>
      <c r="B13" s="17" t="s">
        <v>7</v>
      </c>
      <c r="C13" s="17" t="s">
        <v>562</v>
      </c>
      <c r="D13" s="17" t="s">
        <v>153</v>
      </c>
      <c r="E13" s="17" t="s">
        <v>136</v>
      </c>
      <c r="F13" s="17" t="s">
        <v>136</v>
      </c>
      <c r="G13" s="17" t="s">
        <v>137</v>
      </c>
      <c r="I13" s="17" t="s">
        <v>135</v>
      </c>
      <c r="J13" s="17" t="s">
        <v>2618</v>
      </c>
      <c r="K13" s="17" t="s">
        <v>2509</v>
      </c>
      <c r="L13" s="17" t="s">
        <v>72</v>
      </c>
      <c r="N13" s="16" t="s">
        <v>134</v>
      </c>
      <c r="O13" s="7">
        <f t="shared" si="1"/>
        <v>10</v>
      </c>
      <c r="P13" s="215" t="str">
        <f t="array" ref="P13">XLOOKUP(N13,Countries!A$2:A$98,Countries!B$2:B$98,"tbd",0)</f>
        <v>Europe</v>
      </c>
    </row>
    <row r="14">
      <c r="A14" s="17">
        <v>73.0</v>
      </c>
      <c r="B14" s="17" t="s">
        <v>7</v>
      </c>
      <c r="C14" s="17" t="s">
        <v>1087</v>
      </c>
      <c r="D14" s="17" t="s">
        <v>202</v>
      </c>
      <c r="E14" s="17" t="s">
        <v>136</v>
      </c>
      <c r="F14" s="17" t="s">
        <v>136</v>
      </c>
      <c r="G14" s="167" t="s">
        <v>157</v>
      </c>
      <c r="I14" s="17" t="s">
        <v>136</v>
      </c>
      <c r="J14" s="17" t="s">
        <v>2619</v>
      </c>
      <c r="K14" s="17" t="s">
        <v>2513</v>
      </c>
      <c r="L14" s="17" t="s">
        <v>72</v>
      </c>
      <c r="N14" s="216" t="s">
        <v>296</v>
      </c>
      <c r="O14" s="217">
        <f t="shared" si="1"/>
        <v>1</v>
      </c>
      <c r="P14" s="218" t="str">
        <f t="array" ref="P14">XLOOKUP(N14,Countries!A$2:A$98,Countries!B$2:B$98,"tbd",0)</f>
        <v>Middle East</v>
      </c>
    </row>
    <row r="15">
      <c r="A15" s="17">
        <v>19.0</v>
      </c>
      <c r="B15" s="17" t="s">
        <v>6</v>
      </c>
      <c r="C15" s="17" t="s">
        <v>200</v>
      </c>
      <c r="D15" s="17" t="s">
        <v>143</v>
      </c>
      <c r="E15" s="17" t="s">
        <v>136</v>
      </c>
      <c r="F15" s="17" t="s">
        <v>136</v>
      </c>
      <c r="G15" s="17" t="s">
        <v>3905</v>
      </c>
      <c r="I15" s="17" t="s">
        <v>136</v>
      </c>
      <c r="J15" s="17" t="s">
        <v>2621</v>
      </c>
      <c r="K15" s="17" t="s">
        <v>2513</v>
      </c>
      <c r="L15" s="17" t="s">
        <v>72</v>
      </c>
      <c r="N15" s="83" t="s">
        <v>218</v>
      </c>
      <c r="O15" s="54">
        <f t="shared" si="1"/>
        <v>3</v>
      </c>
      <c r="P15" s="142" t="str">
        <f t="array" ref="P15">XLOOKUP(N15,Countries!A$2:A$98,Countries!B$2:B$98,"tbd",0)</f>
        <v>associated countries</v>
      </c>
    </row>
    <row r="16">
      <c r="A16" s="17">
        <v>14.0</v>
      </c>
      <c r="B16" s="17" t="s">
        <v>6</v>
      </c>
      <c r="C16" s="17" t="s">
        <v>2622</v>
      </c>
      <c r="D16" s="17" t="s">
        <v>202</v>
      </c>
      <c r="E16" s="17" t="s">
        <v>136</v>
      </c>
      <c r="F16" s="17" t="s">
        <v>136</v>
      </c>
      <c r="G16" s="17" t="s">
        <v>180</v>
      </c>
      <c r="I16" s="17" t="s">
        <v>135</v>
      </c>
      <c r="J16" s="17" t="s">
        <v>2623</v>
      </c>
      <c r="K16" s="17" t="s">
        <v>2603</v>
      </c>
      <c r="L16" s="17" t="s">
        <v>72</v>
      </c>
      <c r="N16" s="83" t="s">
        <v>193</v>
      </c>
      <c r="O16" s="54">
        <f t="shared" si="1"/>
        <v>7</v>
      </c>
      <c r="P16" s="142" t="str">
        <f t="array" ref="P16">XLOOKUP(N16,Countries!A$2:A$98,Countries!B$2:B$98,"tbd",0)</f>
        <v>associated countries</v>
      </c>
    </row>
    <row r="17">
      <c r="A17" s="17">
        <v>65.0</v>
      </c>
      <c r="B17" s="17" t="s">
        <v>6</v>
      </c>
      <c r="C17" s="17" t="s">
        <v>998</v>
      </c>
      <c r="D17" s="17" t="s">
        <v>202</v>
      </c>
      <c r="E17" s="17" t="s">
        <v>136</v>
      </c>
      <c r="F17" s="17" t="s">
        <v>135</v>
      </c>
      <c r="G17" s="17" t="s">
        <v>157</v>
      </c>
      <c r="I17" s="17" t="s">
        <v>136</v>
      </c>
      <c r="J17" s="17" t="s">
        <v>2624</v>
      </c>
      <c r="K17" s="17" t="s">
        <v>185</v>
      </c>
      <c r="L17" s="17" t="s">
        <v>72</v>
      </c>
      <c r="N17" s="216" t="s">
        <v>258</v>
      </c>
      <c r="O17" s="217">
        <f t="shared" si="1"/>
        <v>1</v>
      </c>
      <c r="P17" s="218" t="str">
        <f t="array" ref="P17">XLOOKUP(N17,Countries!A$2:A$98,Countries!B$2:B$98,"tbd",0)</f>
        <v>U.S. + Canada</v>
      </c>
    </row>
    <row r="18">
      <c r="A18" s="17">
        <v>3.0</v>
      </c>
      <c r="B18" s="17" t="s">
        <v>7</v>
      </c>
      <c r="C18" s="17" t="s">
        <v>2625</v>
      </c>
      <c r="D18" s="17" t="s">
        <v>143</v>
      </c>
      <c r="E18" s="17" t="s">
        <v>135</v>
      </c>
      <c r="F18" s="17" t="s">
        <v>136</v>
      </c>
      <c r="G18" s="17" t="s">
        <v>606</v>
      </c>
      <c r="I18" s="17" t="s">
        <v>135</v>
      </c>
      <c r="J18" s="166">
        <v>45684.646527777775</v>
      </c>
      <c r="K18" s="17" t="s">
        <v>2502</v>
      </c>
      <c r="L18" s="17" t="s">
        <v>72</v>
      </c>
      <c r="N18" s="83" t="s">
        <v>176</v>
      </c>
      <c r="O18" s="54">
        <f t="shared" si="1"/>
        <v>3</v>
      </c>
      <c r="P18" s="142" t="str">
        <f t="array" ref="P18">XLOOKUP(N18,Countries!A$2:A$98,Countries!B$2:B$98,"tbd",0)</f>
        <v>widening countries</v>
      </c>
    </row>
    <row r="19">
      <c r="A19" s="17">
        <v>91.0</v>
      </c>
      <c r="B19" s="17" t="s">
        <v>6</v>
      </c>
      <c r="C19" s="17" t="s">
        <v>1055</v>
      </c>
      <c r="D19" s="17" t="s">
        <v>369</v>
      </c>
      <c r="E19" s="17" t="s">
        <v>136</v>
      </c>
      <c r="F19" s="17" t="s">
        <v>136</v>
      </c>
      <c r="G19" s="17" t="s">
        <v>349</v>
      </c>
      <c r="H19" s="167" t="s">
        <v>2626</v>
      </c>
      <c r="I19" s="17" t="s">
        <v>136</v>
      </c>
      <c r="J19" s="17" t="s">
        <v>2627</v>
      </c>
      <c r="K19" s="17" t="s">
        <v>2513</v>
      </c>
      <c r="L19" s="17" t="s">
        <v>72</v>
      </c>
      <c r="N19" s="216" t="s">
        <v>290</v>
      </c>
      <c r="O19" s="217">
        <f t="shared" si="1"/>
        <v>3</v>
      </c>
      <c r="P19" s="218" t="str">
        <f t="array" ref="P19">XLOOKUP(N19,Countries!A$2:A$98,Countries!B$2:B$98,"tbd",0)</f>
        <v>Middle East</v>
      </c>
    </row>
    <row r="20">
      <c r="A20" s="17">
        <v>52.0</v>
      </c>
      <c r="B20" s="17" t="s">
        <v>6</v>
      </c>
      <c r="C20" s="17" t="s">
        <v>2628</v>
      </c>
      <c r="D20" s="17" t="s">
        <v>210</v>
      </c>
      <c r="E20" s="17" t="s">
        <v>136</v>
      </c>
      <c r="F20" s="17" t="s">
        <v>136</v>
      </c>
      <c r="G20" s="17" t="s">
        <v>2629</v>
      </c>
      <c r="I20" s="17" t="s">
        <v>136</v>
      </c>
      <c r="J20" s="17" t="s">
        <v>2630</v>
      </c>
      <c r="K20" s="17" t="s">
        <v>185</v>
      </c>
      <c r="L20" s="17" t="s">
        <v>72</v>
      </c>
      <c r="N20" s="83" t="s">
        <v>352</v>
      </c>
      <c r="O20" s="54">
        <f t="shared" si="1"/>
        <v>1</v>
      </c>
      <c r="P20" s="142" t="str">
        <f t="array" ref="P20">XLOOKUP(N20,Countries!A$2:A$98,Countries!B$2:B$98,"tbd",0)</f>
        <v>widening countries</v>
      </c>
    </row>
    <row r="21">
      <c r="A21" s="17">
        <v>2.0</v>
      </c>
      <c r="B21" s="17" t="s">
        <v>7</v>
      </c>
      <c r="C21" s="17" t="s">
        <v>195</v>
      </c>
      <c r="D21" s="17" t="s">
        <v>164</v>
      </c>
      <c r="E21" s="17" t="s">
        <v>135</v>
      </c>
      <c r="F21" s="17" t="s">
        <v>136</v>
      </c>
      <c r="G21" s="167" t="s">
        <v>174</v>
      </c>
      <c r="I21" s="17" t="s">
        <v>136</v>
      </c>
      <c r="J21" s="166">
        <v>45680.47152777778</v>
      </c>
      <c r="K21" s="17" t="s">
        <v>2502</v>
      </c>
      <c r="L21" s="17" t="s">
        <v>72</v>
      </c>
      <c r="N21" s="216" t="s">
        <v>203</v>
      </c>
      <c r="O21" s="217">
        <f t="shared" si="1"/>
        <v>1</v>
      </c>
      <c r="P21" s="218" t="str">
        <f t="array" ref="P21">XLOOKUP(N21,Countries!A$2:A$98,Countries!B$2:B$98,"tbd",0)</f>
        <v>Asia</v>
      </c>
    </row>
    <row r="22">
      <c r="A22" s="17">
        <v>9.0</v>
      </c>
      <c r="B22" s="17" t="s">
        <v>6</v>
      </c>
      <c r="C22" s="17" t="s">
        <v>167</v>
      </c>
      <c r="D22" s="17" t="s">
        <v>143</v>
      </c>
      <c r="E22" s="17" t="s">
        <v>135</v>
      </c>
      <c r="F22" s="17" t="s">
        <v>136</v>
      </c>
      <c r="G22" s="17" t="s">
        <v>1295</v>
      </c>
      <c r="I22" s="17" t="s">
        <v>135</v>
      </c>
      <c r="J22" s="166">
        <v>45716.649305555555</v>
      </c>
      <c r="K22" s="17" t="s">
        <v>2513</v>
      </c>
      <c r="L22" s="17" t="s">
        <v>72</v>
      </c>
      <c r="N22" s="83" t="s">
        <v>238</v>
      </c>
      <c r="O22" s="54">
        <f t="shared" si="1"/>
        <v>2</v>
      </c>
      <c r="P22" s="142" t="str">
        <f t="array" ref="P22">XLOOKUP(N22,Countries!A$2:A$98,Countries!B$2:B$98,"tbd",0)</f>
        <v>widening countries</v>
      </c>
    </row>
    <row r="23">
      <c r="A23" s="17">
        <v>28.0</v>
      </c>
      <c r="B23" s="17" t="s">
        <v>7</v>
      </c>
      <c r="C23" s="17" t="s">
        <v>1398</v>
      </c>
      <c r="D23" s="17" t="s">
        <v>213</v>
      </c>
      <c r="E23" s="17" t="s">
        <v>136</v>
      </c>
      <c r="F23" s="17" t="s">
        <v>136</v>
      </c>
      <c r="G23" s="17" t="s">
        <v>1175</v>
      </c>
      <c r="I23" s="17" t="s">
        <v>135</v>
      </c>
      <c r="J23" s="17" t="s">
        <v>2631</v>
      </c>
      <c r="K23" s="17" t="s">
        <v>2513</v>
      </c>
      <c r="L23" s="17" t="s">
        <v>72</v>
      </c>
      <c r="N23" s="216" t="s">
        <v>234</v>
      </c>
      <c r="O23" s="217">
        <f t="shared" si="1"/>
        <v>1</v>
      </c>
      <c r="P23" s="218" t="str">
        <f t="array" ref="P23">XLOOKUP(N23,Countries!A$2:A$98,Countries!B$2:B$98,"tbd",0)</f>
        <v>Asia</v>
      </c>
    </row>
    <row r="24">
      <c r="A24" s="17">
        <v>40.0</v>
      </c>
      <c r="B24" s="17" t="s">
        <v>7</v>
      </c>
      <c r="C24" s="17" t="s">
        <v>2632</v>
      </c>
      <c r="D24" s="17" t="s">
        <v>134</v>
      </c>
      <c r="E24" s="17" t="s">
        <v>136</v>
      </c>
      <c r="F24" s="17" t="s">
        <v>136</v>
      </c>
      <c r="G24" s="17" t="s">
        <v>144</v>
      </c>
      <c r="I24" s="17" t="s">
        <v>136</v>
      </c>
      <c r="J24" s="17" t="s">
        <v>2633</v>
      </c>
      <c r="K24" s="17" t="s">
        <v>185</v>
      </c>
      <c r="L24" s="17" t="s">
        <v>72</v>
      </c>
      <c r="N24" s="216" t="s">
        <v>263</v>
      </c>
      <c r="O24" s="217">
        <f t="shared" si="1"/>
        <v>4</v>
      </c>
      <c r="P24" s="218" t="str">
        <f t="array" ref="P24">XLOOKUP(N24,Countries!A$2:A$98,Countries!B$2:B$98,"tbd",0)</f>
        <v>U.S. + Canada</v>
      </c>
    </row>
    <row r="25">
      <c r="A25" s="17">
        <v>30.0</v>
      </c>
      <c r="B25" s="17" t="s">
        <v>6</v>
      </c>
      <c r="C25" s="17" t="s">
        <v>2634</v>
      </c>
      <c r="D25" s="17" t="s">
        <v>134</v>
      </c>
      <c r="E25" s="17" t="s">
        <v>136</v>
      </c>
      <c r="F25" s="17" t="s">
        <v>136</v>
      </c>
      <c r="G25" s="17" t="s">
        <v>180</v>
      </c>
      <c r="I25" s="17" t="s">
        <v>136</v>
      </c>
      <c r="J25" s="17" t="s">
        <v>2635</v>
      </c>
      <c r="K25" s="17" t="s">
        <v>2603</v>
      </c>
      <c r="L25" s="17" t="s">
        <v>72</v>
      </c>
      <c r="N25" s="83" t="s">
        <v>233</v>
      </c>
      <c r="O25" s="54">
        <f t="shared" si="1"/>
        <v>2</v>
      </c>
      <c r="P25" s="142" t="str">
        <f t="array" ref="P25">XLOOKUP(N25,Countries!A$2:A$98,Countries!B$2:B$98,"tbd",0)</f>
        <v>widening countries</v>
      </c>
    </row>
    <row r="26">
      <c r="A26" s="17">
        <v>26.0</v>
      </c>
      <c r="B26" s="17" t="s">
        <v>6</v>
      </c>
      <c r="C26" s="17" t="s">
        <v>1565</v>
      </c>
      <c r="D26" s="17" t="s">
        <v>296</v>
      </c>
      <c r="E26" s="17" t="s">
        <v>136</v>
      </c>
      <c r="F26" s="17" t="s">
        <v>136</v>
      </c>
      <c r="G26" s="17" t="s">
        <v>180</v>
      </c>
      <c r="H26" s="17" t="s">
        <v>2636</v>
      </c>
      <c r="I26" s="17" t="s">
        <v>135</v>
      </c>
      <c r="J26" s="17" t="s">
        <v>2637</v>
      </c>
      <c r="K26" s="17" t="s">
        <v>2509</v>
      </c>
      <c r="L26" s="17" t="s">
        <v>72</v>
      </c>
      <c r="N26" s="216" t="s">
        <v>140</v>
      </c>
      <c r="O26" s="217">
        <f t="shared" si="1"/>
        <v>1</v>
      </c>
      <c r="P26" s="218" t="str">
        <f t="array" ref="P26">XLOOKUP(N26,Countries!A$2:A$98,Countries!B$2:B$98,"tbd",0)</f>
        <v>Africa</v>
      </c>
    </row>
    <row r="27">
      <c r="A27" s="17">
        <v>83.0</v>
      </c>
      <c r="B27" s="17" t="s">
        <v>7</v>
      </c>
      <c r="C27" s="17" t="s">
        <v>2638</v>
      </c>
      <c r="D27" s="17" t="s">
        <v>153</v>
      </c>
      <c r="E27" s="17" t="s">
        <v>135</v>
      </c>
      <c r="F27" s="17" t="s">
        <v>136</v>
      </c>
      <c r="G27" s="17" t="s">
        <v>2639</v>
      </c>
      <c r="I27" s="17" t="s">
        <v>135</v>
      </c>
      <c r="J27" s="17" t="s">
        <v>2640</v>
      </c>
      <c r="K27" s="17" t="s">
        <v>2509</v>
      </c>
      <c r="L27" s="17" t="s">
        <v>72</v>
      </c>
      <c r="N27" s="83" t="s">
        <v>434</v>
      </c>
      <c r="O27" s="54">
        <f t="shared" si="1"/>
        <v>1</v>
      </c>
      <c r="P27" s="142" t="str">
        <f t="array" ref="P27">XLOOKUP(N27,Countries!A$2:A$98,Countries!B$2:B$98,"tbd",0)</f>
        <v>outermost region</v>
      </c>
    </row>
    <row r="28">
      <c r="A28" s="17">
        <v>80.0</v>
      </c>
      <c r="B28" s="17" t="s">
        <v>6</v>
      </c>
      <c r="C28" s="17" t="s">
        <v>1055</v>
      </c>
      <c r="D28" s="17" t="s">
        <v>369</v>
      </c>
      <c r="E28" s="17" t="s">
        <v>135</v>
      </c>
      <c r="F28" s="17" t="s">
        <v>136</v>
      </c>
      <c r="G28" s="17" t="s">
        <v>2641</v>
      </c>
      <c r="I28" s="17" t="s">
        <v>136</v>
      </c>
      <c r="J28" s="17" t="s">
        <v>2642</v>
      </c>
      <c r="K28" s="17" t="s">
        <v>2513</v>
      </c>
      <c r="L28" s="17" t="s">
        <v>72</v>
      </c>
      <c r="N28" s="16" t="s">
        <v>331</v>
      </c>
      <c r="O28" s="7">
        <f t="shared" si="1"/>
        <v>2</v>
      </c>
      <c r="P28" s="215" t="str">
        <f t="array" ref="P28">XLOOKUP(N28,Countries!A$2:A$98,Countries!B$2:B$98,"tbd",0)</f>
        <v>Europe</v>
      </c>
    </row>
    <row r="29">
      <c r="A29" s="17">
        <v>85.0</v>
      </c>
      <c r="B29" s="17" t="s">
        <v>7</v>
      </c>
      <c r="C29" s="17" t="s">
        <v>2643</v>
      </c>
      <c r="D29" s="17" t="s">
        <v>164</v>
      </c>
      <c r="E29" s="17" t="s">
        <v>136</v>
      </c>
      <c r="F29" s="17" t="s">
        <v>136</v>
      </c>
      <c r="G29" s="17" t="s">
        <v>1888</v>
      </c>
      <c r="I29" s="17" t="s">
        <v>135</v>
      </c>
      <c r="J29" s="17" t="s">
        <v>2644</v>
      </c>
      <c r="K29" s="17" t="s">
        <v>2509</v>
      </c>
      <c r="L29" s="17" t="s">
        <v>72</v>
      </c>
      <c r="N29" s="216" t="s">
        <v>420</v>
      </c>
      <c r="O29" s="217">
        <f t="shared" si="1"/>
        <v>2</v>
      </c>
      <c r="P29" s="218" t="str">
        <f t="array" ref="P29">XLOOKUP(N29,Countries!A$2:A$98,Countries!B$2:B$98,"tbd",0)</f>
        <v>Middle/South America</v>
      </c>
    </row>
    <row r="30">
      <c r="A30" s="17">
        <v>59.0</v>
      </c>
      <c r="B30" s="17" t="s">
        <v>6</v>
      </c>
      <c r="C30" s="17" t="s">
        <v>2645</v>
      </c>
      <c r="D30" s="17" t="s">
        <v>219</v>
      </c>
      <c r="E30" s="17" t="s">
        <v>135</v>
      </c>
      <c r="F30" s="17" t="s">
        <v>136</v>
      </c>
      <c r="G30" s="17" t="s">
        <v>2083</v>
      </c>
      <c r="I30" s="17" t="s">
        <v>135</v>
      </c>
      <c r="J30" s="17" t="s">
        <v>2646</v>
      </c>
      <c r="K30" s="17" t="s">
        <v>2509</v>
      </c>
      <c r="L30" s="17" t="s">
        <v>72</v>
      </c>
      <c r="N30" s="16" t="s">
        <v>197</v>
      </c>
      <c r="O30" s="7">
        <f t="shared" si="1"/>
        <v>1</v>
      </c>
      <c r="P30" s="215" t="str">
        <f t="array" ref="P30">XLOOKUP(N30,Countries!A$2:A$98,Countries!B$2:B$98,"tbd",0)</f>
        <v>Europe</v>
      </c>
    </row>
    <row r="31">
      <c r="A31" s="17">
        <v>20.0</v>
      </c>
      <c r="B31" s="17" t="s">
        <v>7</v>
      </c>
      <c r="C31" s="17" t="s">
        <v>1398</v>
      </c>
      <c r="D31" s="17" t="s">
        <v>213</v>
      </c>
      <c r="E31" s="17" t="s">
        <v>135</v>
      </c>
      <c r="F31" s="17" t="s">
        <v>136</v>
      </c>
      <c r="G31" s="17" t="s">
        <v>221</v>
      </c>
      <c r="H31" s="17" t="s">
        <v>2647</v>
      </c>
      <c r="I31" s="17" t="s">
        <v>135</v>
      </c>
      <c r="J31" s="17" t="s">
        <v>2648</v>
      </c>
      <c r="K31" s="17" t="s">
        <v>2509</v>
      </c>
      <c r="L31" s="17" t="s">
        <v>72</v>
      </c>
      <c r="N31" s="16"/>
      <c r="O31" s="16">
        <f>SUM(O2:O30)</f>
        <v>95</v>
      </c>
    </row>
    <row r="32">
      <c r="A32" s="17">
        <v>62.0</v>
      </c>
      <c r="B32" s="17" t="s">
        <v>7</v>
      </c>
      <c r="C32" s="17" t="s">
        <v>1087</v>
      </c>
      <c r="D32" s="17" t="s">
        <v>202</v>
      </c>
      <c r="E32" s="17" t="s">
        <v>136</v>
      </c>
      <c r="F32" s="17" t="s">
        <v>136</v>
      </c>
      <c r="G32" s="17" t="s">
        <v>180</v>
      </c>
      <c r="I32" s="17" t="s">
        <v>135</v>
      </c>
      <c r="J32" s="17" t="s">
        <v>2649</v>
      </c>
      <c r="K32" s="17" t="s">
        <v>2509</v>
      </c>
      <c r="L32" s="17" t="s">
        <v>72</v>
      </c>
    </row>
    <row r="33">
      <c r="A33" s="17">
        <v>60.0</v>
      </c>
      <c r="B33" s="17" t="s">
        <v>6</v>
      </c>
      <c r="C33" s="17" t="s">
        <v>342</v>
      </c>
      <c r="D33" s="17" t="s">
        <v>218</v>
      </c>
      <c r="E33" s="17" t="s">
        <v>136</v>
      </c>
      <c r="F33" s="17" t="s">
        <v>136</v>
      </c>
      <c r="G33" s="17" t="s">
        <v>650</v>
      </c>
      <c r="I33" s="17" t="s">
        <v>135</v>
      </c>
      <c r="J33" s="17" t="s">
        <v>2650</v>
      </c>
      <c r="K33" s="17" t="s">
        <v>2509</v>
      </c>
      <c r="L33" s="17" t="s">
        <v>72</v>
      </c>
      <c r="O33" s="17">
        <v>29.0</v>
      </c>
      <c r="P33" s="17" t="s">
        <v>3818</v>
      </c>
    </row>
    <row r="34">
      <c r="A34" s="17">
        <v>75.0</v>
      </c>
      <c r="B34" s="17" t="s">
        <v>7</v>
      </c>
      <c r="C34" s="17" t="s">
        <v>1055</v>
      </c>
      <c r="D34" s="17" t="s">
        <v>369</v>
      </c>
      <c r="E34" s="17" t="s">
        <v>135</v>
      </c>
      <c r="F34" s="17" t="s">
        <v>136</v>
      </c>
      <c r="G34" s="17" t="s">
        <v>2641</v>
      </c>
      <c r="I34" s="17" t="s">
        <v>136</v>
      </c>
      <c r="J34" s="17" t="s">
        <v>2651</v>
      </c>
      <c r="K34" s="17" t="s">
        <v>2513</v>
      </c>
      <c r="L34" s="17" t="s">
        <v>72</v>
      </c>
      <c r="O34" s="17">
        <v>28.0</v>
      </c>
      <c r="P34" s="17" t="s">
        <v>22</v>
      </c>
    </row>
    <row r="35">
      <c r="A35" s="17">
        <v>16.0</v>
      </c>
      <c r="B35" s="17" t="s">
        <v>6</v>
      </c>
      <c r="C35" s="17" t="s">
        <v>2622</v>
      </c>
      <c r="D35" s="17" t="s">
        <v>202</v>
      </c>
      <c r="E35" s="17" t="s">
        <v>136</v>
      </c>
      <c r="F35" s="17" t="s">
        <v>136</v>
      </c>
      <c r="G35" s="17" t="s">
        <v>180</v>
      </c>
      <c r="I35" s="17" t="s">
        <v>136</v>
      </c>
      <c r="J35" s="17" t="s">
        <v>2652</v>
      </c>
      <c r="K35" s="17" t="s">
        <v>2513</v>
      </c>
      <c r="L35" s="17" t="s">
        <v>72</v>
      </c>
      <c r="O35" s="17">
        <v>29.0</v>
      </c>
      <c r="P35" s="17" t="s">
        <v>3821</v>
      </c>
    </row>
    <row r="36">
      <c r="A36" s="17">
        <v>86.0</v>
      </c>
      <c r="B36" s="17" t="s">
        <v>7</v>
      </c>
      <c r="C36" s="17" t="s">
        <v>2653</v>
      </c>
      <c r="D36" s="17" t="s">
        <v>193</v>
      </c>
      <c r="E36" s="17" t="s">
        <v>136</v>
      </c>
      <c r="F36" s="17" t="s">
        <v>136</v>
      </c>
      <c r="G36" s="17" t="s">
        <v>144</v>
      </c>
      <c r="I36" s="17" t="s">
        <v>136</v>
      </c>
      <c r="J36" s="17" t="s">
        <v>2654</v>
      </c>
      <c r="K36" s="17" t="s">
        <v>2513</v>
      </c>
      <c r="L36" s="17" t="s">
        <v>72</v>
      </c>
      <c r="O36" s="17">
        <v>15.0</v>
      </c>
      <c r="P36" s="17" t="s">
        <v>3822</v>
      </c>
    </row>
    <row r="37">
      <c r="A37" s="17">
        <v>87.0</v>
      </c>
      <c r="B37" s="17" t="s">
        <v>7</v>
      </c>
      <c r="C37" s="17" t="s">
        <v>2653</v>
      </c>
      <c r="D37" s="17" t="s">
        <v>193</v>
      </c>
      <c r="E37" s="17" t="s">
        <v>136</v>
      </c>
      <c r="F37" s="17" t="s">
        <v>136</v>
      </c>
      <c r="G37" s="17" t="s">
        <v>144</v>
      </c>
      <c r="I37" s="17" t="s">
        <v>136</v>
      </c>
      <c r="J37" s="17" t="s">
        <v>2655</v>
      </c>
      <c r="K37" s="17" t="s">
        <v>2513</v>
      </c>
      <c r="L37" s="17" t="s">
        <v>72</v>
      </c>
    </row>
    <row r="38">
      <c r="A38" s="17">
        <v>89.0</v>
      </c>
      <c r="B38" s="17" t="s">
        <v>7</v>
      </c>
      <c r="C38" s="17" t="s">
        <v>2097</v>
      </c>
      <c r="D38" s="17" t="s">
        <v>143</v>
      </c>
      <c r="E38" s="17" t="s">
        <v>135</v>
      </c>
      <c r="F38" s="17" t="s">
        <v>136</v>
      </c>
      <c r="G38" s="17" t="s">
        <v>363</v>
      </c>
      <c r="H38" s="167" t="s">
        <v>2656</v>
      </c>
      <c r="I38" s="17" t="s">
        <v>136</v>
      </c>
      <c r="J38" s="17" t="s">
        <v>2657</v>
      </c>
      <c r="K38" s="17" t="s">
        <v>185</v>
      </c>
      <c r="L38" s="17" t="s">
        <v>72</v>
      </c>
    </row>
    <row r="39">
      <c r="A39" s="17">
        <v>74.0</v>
      </c>
      <c r="B39" s="17" t="s">
        <v>6</v>
      </c>
      <c r="C39" s="17" t="s">
        <v>2658</v>
      </c>
      <c r="D39" s="17" t="s">
        <v>164</v>
      </c>
      <c r="E39" s="17" t="s">
        <v>135</v>
      </c>
      <c r="F39" s="17" t="s">
        <v>136</v>
      </c>
      <c r="G39" s="17" t="s">
        <v>150</v>
      </c>
      <c r="H39" s="17" t="s">
        <v>2659</v>
      </c>
      <c r="I39" s="17" t="s">
        <v>136</v>
      </c>
      <c r="J39" s="17" t="s">
        <v>2660</v>
      </c>
      <c r="K39" s="17" t="s">
        <v>185</v>
      </c>
      <c r="L39" s="17" t="s">
        <v>72</v>
      </c>
    </row>
    <row r="40">
      <c r="A40" s="17">
        <v>27.0</v>
      </c>
      <c r="B40" s="17" t="s">
        <v>7</v>
      </c>
      <c r="C40" s="17" t="s">
        <v>2634</v>
      </c>
      <c r="D40" s="17" t="s">
        <v>134</v>
      </c>
      <c r="E40" s="17" t="s">
        <v>136</v>
      </c>
      <c r="F40" s="17" t="s">
        <v>136</v>
      </c>
      <c r="G40" s="17" t="s">
        <v>349</v>
      </c>
      <c r="I40" s="17" t="s">
        <v>135</v>
      </c>
      <c r="J40" s="17" t="s">
        <v>2637</v>
      </c>
      <c r="K40" s="17" t="s">
        <v>2509</v>
      </c>
      <c r="L40" s="17" t="s">
        <v>72</v>
      </c>
    </row>
    <row r="41">
      <c r="A41" s="17">
        <v>32.0</v>
      </c>
      <c r="B41" s="17" t="s">
        <v>7</v>
      </c>
      <c r="C41" s="17" t="s">
        <v>2653</v>
      </c>
      <c r="D41" s="17" t="s">
        <v>193</v>
      </c>
      <c r="E41" s="17" t="s">
        <v>136</v>
      </c>
      <c r="F41" s="17" t="s">
        <v>136</v>
      </c>
      <c r="G41" s="17" t="s">
        <v>144</v>
      </c>
      <c r="I41" s="17" t="s">
        <v>136</v>
      </c>
      <c r="J41" s="17" t="s">
        <v>2661</v>
      </c>
      <c r="K41" s="17" t="s">
        <v>2513</v>
      </c>
      <c r="L41" s="17" t="s">
        <v>72</v>
      </c>
    </row>
    <row r="42">
      <c r="A42" s="17">
        <v>88.0</v>
      </c>
      <c r="B42" s="17" t="s">
        <v>6</v>
      </c>
      <c r="C42" s="17" t="s">
        <v>2653</v>
      </c>
      <c r="D42" s="17" t="s">
        <v>193</v>
      </c>
      <c r="E42" s="17" t="s">
        <v>136</v>
      </c>
      <c r="F42" s="17" t="s">
        <v>136</v>
      </c>
      <c r="G42" s="17" t="s">
        <v>174</v>
      </c>
      <c r="I42" s="17" t="s">
        <v>136</v>
      </c>
      <c r="J42" s="17" t="s">
        <v>2662</v>
      </c>
      <c r="K42" s="17" t="s">
        <v>2513</v>
      </c>
      <c r="L42" s="17" t="s">
        <v>72</v>
      </c>
    </row>
    <row r="43">
      <c r="A43" s="17">
        <v>21.0</v>
      </c>
      <c r="B43" s="17" t="s">
        <v>6</v>
      </c>
      <c r="C43" s="17" t="s">
        <v>2663</v>
      </c>
      <c r="D43" s="17" t="s">
        <v>258</v>
      </c>
      <c r="E43" s="17" t="s">
        <v>136</v>
      </c>
      <c r="F43" s="17" t="s">
        <v>135</v>
      </c>
      <c r="G43" s="17" t="s">
        <v>292</v>
      </c>
      <c r="I43" s="17" t="s">
        <v>136</v>
      </c>
      <c r="J43" s="17" t="s">
        <v>2664</v>
      </c>
      <c r="K43" s="17" t="s">
        <v>185</v>
      </c>
      <c r="L43" s="17" t="s">
        <v>72</v>
      </c>
    </row>
    <row r="44">
      <c r="A44" s="17">
        <v>47.0</v>
      </c>
      <c r="B44" s="17" t="s">
        <v>6</v>
      </c>
      <c r="C44" s="17" t="s">
        <v>211</v>
      </c>
      <c r="D44" s="17" t="s">
        <v>176</v>
      </c>
      <c r="E44" s="17" t="s">
        <v>136</v>
      </c>
      <c r="F44" s="17" t="s">
        <v>136</v>
      </c>
      <c r="G44" s="17" t="s">
        <v>606</v>
      </c>
      <c r="I44" s="17" t="s">
        <v>135</v>
      </c>
      <c r="J44" s="17" t="s">
        <v>2665</v>
      </c>
      <c r="K44" s="17" t="s">
        <v>2502</v>
      </c>
      <c r="L44" s="17" t="s">
        <v>72</v>
      </c>
    </row>
    <row r="45">
      <c r="A45" s="17">
        <v>63.0</v>
      </c>
      <c r="B45" s="17" t="s">
        <v>6</v>
      </c>
      <c r="C45" s="17" t="s">
        <v>1282</v>
      </c>
      <c r="D45" s="17" t="s">
        <v>134</v>
      </c>
      <c r="E45" s="17" t="s">
        <v>135</v>
      </c>
      <c r="F45" s="17" t="s">
        <v>136</v>
      </c>
      <c r="G45" s="17" t="s">
        <v>137</v>
      </c>
      <c r="I45" s="17" t="s">
        <v>135</v>
      </c>
      <c r="J45" s="17" t="s">
        <v>2666</v>
      </c>
      <c r="K45" s="17" t="s">
        <v>2513</v>
      </c>
      <c r="L45" s="17" t="s">
        <v>72</v>
      </c>
    </row>
    <row r="46">
      <c r="A46" s="17">
        <v>90.0</v>
      </c>
      <c r="B46" s="17" t="s">
        <v>6</v>
      </c>
      <c r="C46" s="17" t="s">
        <v>1282</v>
      </c>
      <c r="D46" s="17" t="s">
        <v>134</v>
      </c>
      <c r="E46" s="17" t="s">
        <v>135</v>
      </c>
      <c r="F46" s="17" t="s">
        <v>136</v>
      </c>
      <c r="G46" s="17" t="s">
        <v>137</v>
      </c>
      <c r="I46" s="17" t="s">
        <v>135</v>
      </c>
      <c r="J46" s="17" t="s">
        <v>2667</v>
      </c>
      <c r="K46" s="17" t="s">
        <v>2513</v>
      </c>
      <c r="L46" s="17" t="s">
        <v>72</v>
      </c>
    </row>
    <row r="47">
      <c r="A47" s="17">
        <v>54.0</v>
      </c>
      <c r="B47" s="17" t="s">
        <v>6</v>
      </c>
      <c r="C47" s="17" t="s">
        <v>2668</v>
      </c>
      <c r="D47" s="17" t="s">
        <v>290</v>
      </c>
      <c r="E47" s="17" t="s">
        <v>136</v>
      </c>
      <c r="F47" s="17" t="s">
        <v>136</v>
      </c>
      <c r="G47" s="17" t="s">
        <v>1042</v>
      </c>
      <c r="I47" s="17" t="s">
        <v>136</v>
      </c>
      <c r="J47" s="17" t="s">
        <v>2669</v>
      </c>
      <c r="K47" s="17" t="s">
        <v>185</v>
      </c>
      <c r="L47" s="17" t="s">
        <v>72</v>
      </c>
    </row>
    <row r="48">
      <c r="A48" s="17">
        <v>81.0</v>
      </c>
      <c r="B48" s="17" t="s">
        <v>6</v>
      </c>
      <c r="C48" s="17" t="s">
        <v>1055</v>
      </c>
      <c r="D48" s="17" t="s">
        <v>369</v>
      </c>
      <c r="E48" s="17" t="s">
        <v>135</v>
      </c>
      <c r="F48" s="17" t="s">
        <v>136</v>
      </c>
      <c r="G48" s="17" t="s">
        <v>2670</v>
      </c>
      <c r="I48" s="17" t="s">
        <v>136</v>
      </c>
      <c r="J48" s="17" t="s">
        <v>2671</v>
      </c>
      <c r="K48" s="17" t="s">
        <v>2502</v>
      </c>
      <c r="L48" s="17" t="s">
        <v>72</v>
      </c>
    </row>
    <row r="49">
      <c r="A49" s="17">
        <v>94.0</v>
      </c>
      <c r="B49" s="17" t="s">
        <v>7</v>
      </c>
      <c r="C49" s="17" t="s">
        <v>2653</v>
      </c>
      <c r="D49" s="17" t="s">
        <v>193</v>
      </c>
      <c r="E49" s="17" t="s">
        <v>135</v>
      </c>
      <c r="F49" s="17" t="s">
        <v>136</v>
      </c>
      <c r="G49" s="17" t="s">
        <v>144</v>
      </c>
      <c r="I49" s="17" t="s">
        <v>135</v>
      </c>
      <c r="J49" s="17" t="s">
        <v>2602</v>
      </c>
      <c r="K49" s="17" t="s">
        <v>2513</v>
      </c>
      <c r="L49" s="17" t="s">
        <v>72</v>
      </c>
    </row>
    <row r="50">
      <c r="A50" s="17">
        <v>4.0</v>
      </c>
      <c r="B50" s="17" t="s">
        <v>6</v>
      </c>
      <c r="C50" s="17" t="s">
        <v>1931</v>
      </c>
      <c r="D50" s="17" t="s">
        <v>352</v>
      </c>
      <c r="E50" s="17" t="s">
        <v>135</v>
      </c>
      <c r="F50" s="17" t="s">
        <v>136</v>
      </c>
      <c r="G50" s="17" t="s">
        <v>2672</v>
      </c>
      <c r="H50" s="17" t="s">
        <v>2673</v>
      </c>
      <c r="I50" s="17" t="s">
        <v>135</v>
      </c>
      <c r="J50" s="166">
        <v>45687.52916666667</v>
      </c>
      <c r="K50" s="17" t="s">
        <v>2502</v>
      </c>
      <c r="L50" s="17" t="s">
        <v>72</v>
      </c>
    </row>
    <row r="51">
      <c r="A51" s="17">
        <v>43.0</v>
      </c>
      <c r="B51" s="17" t="s">
        <v>6</v>
      </c>
      <c r="C51" s="17" t="s">
        <v>2674</v>
      </c>
      <c r="D51" s="17" t="s">
        <v>203</v>
      </c>
      <c r="E51" s="17" t="s">
        <v>135</v>
      </c>
      <c r="F51" s="17" t="s">
        <v>136</v>
      </c>
      <c r="G51" s="17" t="s">
        <v>1001</v>
      </c>
      <c r="I51" s="17" t="s">
        <v>136</v>
      </c>
      <c r="J51" s="17" t="s">
        <v>2675</v>
      </c>
      <c r="K51" s="17" t="s">
        <v>2509</v>
      </c>
      <c r="L51" s="17" t="s">
        <v>72</v>
      </c>
    </row>
    <row r="52">
      <c r="A52" s="17">
        <v>42.0</v>
      </c>
      <c r="B52" s="17" t="s">
        <v>7</v>
      </c>
      <c r="C52" s="17" t="s">
        <v>2676</v>
      </c>
      <c r="D52" s="17" t="s">
        <v>238</v>
      </c>
      <c r="E52" s="17" t="s">
        <v>136</v>
      </c>
      <c r="F52" s="17" t="s">
        <v>136</v>
      </c>
      <c r="G52" s="17" t="s">
        <v>1345</v>
      </c>
      <c r="I52" s="17" t="s">
        <v>136</v>
      </c>
      <c r="J52" s="17" t="s">
        <v>2677</v>
      </c>
      <c r="K52" s="17" t="s">
        <v>2509</v>
      </c>
      <c r="L52" s="17" t="s">
        <v>72</v>
      </c>
    </row>
    <row r="53">
      <c r="A53" s="17">
        <v>68.0</v>
      </c>
      <c r="B53" s="17" t="s">
        <v>6</v>
      </c>
      <c r="C53" s="17" t="s">
        <v>1698</v>
      </c>
      <c r="D53" s="17" t="s">
        <v>202</v>
      </c>
      <c r="E53" s="17" t="s">
        <v>136</v>
      </c>
      <c r="F53" s="17" t="s">
        <v>136</v>
      </c>
      <c r="G53" s="17" t="s">
        <v>157</v>
      </c>
      <c r="H53" s="17" t="s">
        <v>3906</v>
      </c>
      <c r="I53" s="17" t="s">
        <v>136</v>
      </c>
      <c r="J53" s="17" t="s">
        <v>2679</v>
      </c>
      <c r="K53" s="17" t="s">
        <v>2513</v>
      </c>
      <c r="L53" s="17" t="s">
        <v>72</v>
      </c>
    </row>
    <row r="54">
      <c r="A54" s="17">
        <v>7.0</v>
      </c>
      <c r="B54" s="17" t="s">
        <v>6</v>
      </c>
      <c r="C54" s="17" t="s">
        <v>142</v>
      </c>
      <c r="D54" s="17" t="s">
        <v>143</v>
      </c>
      <c r="E54" s="17" t="s">
        <v>136</v>
      </c>
      <c r="F54" s="17" t="s">
        <v>136</v>
      </c>
      <c r="G54" s="17" t="s">
        <v>144</v>
      </c>
      <c r="I54" s="17" t="s">
        <v>135</v>
      </c>
      <c r="J54" s="166">
        <v>45692.51180555556</v>
      </c>
      <c r="K54" s="17" t="s">
        <v>2603</v>
      </c>
      <c r="L54" s="17" t="s">
        <v>72</v>
      </c>
    </row>
    <row r="55">
      <c r="A55" s="17">
        <v>51.0</v>
      </c>
      <c r="B55" s="17" t="s">
        <v>6</v>
      </c>
      <c r="C55" s="17" t="s">
        <v>2680</v>
      </c>
      <c r="D55" s="17" t="s">
        <v>234</v>
      </c>
      <c r="E55" s="17" t="s">
        <v>135</v>
      </c>
      <c r="F55" s="17" t="s">
        <v>135</v>
      </c>
      <c r="G55" s="17" t="s">
        <v>363</v>
      </c>
      <c r="H55" s="17" t="s">
        <v>2681</v>
      </c>
      <c r="I55" s="17" t="s">
        <v>136</v>
      </c>
      <c r="J55" s="17" t="s">
        <v>2682</v>
      </c>
      <c r="K55" s="17" t="s">
        <v>2603</v>
      </c>
      <c r="L55" s="17" t="s">
        <v>72</v>
      </c>
    </row>
    <row r="56">
      <c r="A56" s="17">
        <v>39.0</v>
      </c>
      <c r="B56" s="17" t="s">
        <v>6</v>
      </c>
      <c r="C56" s="17" t="s">
        <v>2653</v>
      </c>
      <c r="D56" s="17" t="s">
        <v>193</v>
      </c>
      <c r="E56" s="17" t="s">
        <v>136</v>
      </c>
      <c r="F56" s="17" t="s">
        <v>136</v>
      </c>
      <c r="G56" s="17" t="s">
        <v>144</v>
      </c>
      <c r="I56" s="17" t="s">
        <v>136</v>
      </c>
      <c r="J56" s="17" t="s">
        <v>2633</v>
      </c>
      <c r="K56" s="17" t="s">
        <v>2513</v>
      </c>
      <c r="L56" s="17" t="s">
        <v>72</v>
      </c>
    </row>
    <row r="57">
      <c r="A57" s="17">
        <v>95.0</v>
      </c>
      <c r="B57" s="17" t="s">
        <v>6</v>
      </c>
      <c r="C57" s="17" t="s">
        <v>366</v>
      </c>
      <c r="D57" s="17" t="s">
        <v>218</v>
      </c>
      <c r="E57" s="17" t="s">
        <v>136</v>
      </c>
      <c r="F57" s="17" t="s">
        <v>136</v>
      </c>
      <c r="G57" s="17" t="s">
        <v>320</v>
      </c>
      <c r="I57" s="17" t="s">
        <v>135</v>
      </c>
      <c r="J57" s="17" t="s">
        <v>2683</v>
      </c>
      <c r="K57" s="17" t="s">
        <v>2509</v>
      </c>
      <c r="L57" s="17" t="s">
        <v>72</v>
      </c>
    </row>
    <row r="58">
      <c r="A58" s="17">
        <v>23.0</v>
      </c>
      <c r="B58" s="17" t="s">
        <v>7</v>
      </c>
      <c r="C58" s="17" t="s">
        <v>2684</v>
      </c>
      <c r="D58" s="17" t="s">
        <v>143</v>
      </c>
      <c r="E58" s="17" t="s">
        <v>136</v>
      </c>
      <c r="F58" s="17" t="s">
        <v>136</v>
      </c>
      <c r="G58" s="17" t="s">
        <v>2685</v>
      </c>
      <c r="I58" s="17" t="s">
        <v>136</v>
      </c>
      <c r="J58" s="17" t="s">
        <v>2686</v>
      </c>
      <c r="K58" s="17" t="s">
        <v>2513</v>
      </c>
      <c r="L58" s="17" t="s">
        <v>72</v>
      </c>
    </row>
    <row r="59">
      <c r="A59" s="17">
        <v>11.0</v>
      </c>
      <c r="B59" s="17" t="s">
        <v>6</v>
      </c>
      <c r="C59" s="17" t="s">
        <v>2687</v>
      </c>
      <c r="D59" s="17" t="s">
        <v>263</v>
      </c>
      <c r="E59" s="17" t="s">
        <v>136</v>
      </c>
      <c r="F59" s="17" t="s">
        <v>136</v>
      </c>
      <c r="G59" s="17" t="s">
        <v>2688</v>
      </c>
      <c r="I59" s="17" t="s">
        <v>136</v>
      </c>
      <c r="J59" s="17" t="s">
        <v>2689</v>
      </c>
      <c r="K59" s="17" t="s">
        <v>185</v>
      </c>
      <c r="L59" s="17" t="s">
        <v>72</v>
      </c>
    </row>
    <row r="60">
      <c r="A60" s="17">
        <v>13.0</v>
      </c>
      <c r="B60" s="17" t="s">
        <v>6</v>
      </c>
      <c r="C60" s="17" t="s">
        <v>2690</v>
      </c>
      <c r="D60" s="17" t="s">
        <v>290</v>
      </c>
      <c r="E60" s="17" t="s">
        <v>136</v>
      </c>
      <c r="F60" s="17" t="s">
        <v>136</v>
      </c>
      <c r="G60" s="17" t="s">
        <v>2691</v>
      </c>
      <c r="I60" s="17" t="s">
        <v>136</v>
      </c>
      <c r="J60" s="17" t="s">
        <v>2692</v>
      </c>
      <c r="K60" s="17" t="s">
        <v>2509</v>
      </c>
      <c r="L60" s="17" t="s">
        <v>72</v>
      </c>
    </row>
    <row r="61">
      <c r="A61" s="17">
        <v>46.0</v>
      </c>
      <c r="B61" s="17" t="s">
        <v>6</v>
      </c>
      <c r="C61" s="17" t="s">
        <v>2693</v>
      </c>
      <c r="D61" s="17" t="s">
        <v>263</v>
      </c>
      <c r="E61" s="17" t="s">
        <v>136</v>
      </c>
      <c r="F61" s="17" t="s">
        <v>136</v>
      </c>
      <c r="G61" s="17" t="s">
        <v>2694</v>
      </c>
      <c r="H61" s="17" t="s">
        <v>2695</v>
      </c>
      <c r="I61" s="17" t="s">
        <v>136</v>
      </c>
      <c r="J61" s="17" t="s">
        <v>2696</v>
      </c>
      <c r="K61" s="17" t="s">
        <v>2513</v>
      </c>
      <c r="L61" s="17" t="s">
        <v>72</v>
      </c>
    </row>
    <row r="62">
      <c r="A62" s="17">
        <v>33.0</v>
      </c>
      <c r="B62" s="17" t="s">
        <v>6</v>
      </c>
      <c r="C62" s="17" t="s">
        <v>2697</v>
      </c>
      <c r="D62" s="17" t="s">
        <v>134</v>
      </c>
      <c r="E62" s="17" t="s">
        <v>136</v>
      </c>
      <c r="F62" s="17" t="s">
        <v>136</v>
      </c>
      <c r="G62" s="17" t="s">
        <v>606</v>
      </c>
      <c r="I62" s="17" t="s">
        <v>136</v>
      </c>
      <c r="J62" s="17" t="s">
        <v>2698</v>
      </c>
      <c r="K62" s="17" t="s">
        <v>2513</v>
      </c>
      <c r="L62" s="17" t="s">
        <v>72</v>
      </c>
    </row>
    <row r="63">
      <c r="A63" s="17">
        <v>6.0</v>
      </c>
      <c r="B63" s="17" t="s">
        <v>6</v>
      </c>
      <c r="C63" s="17" t="s">
        <v>1949</v>
      </c>
      <c r="D63" s="17" t="s">
        <v>218</v>
      </c>
      <c r="E63" s="17" t="s">
        <v>136</v>
      </c>
      <c r="F63" s="17" t="s">
        <v>136</v>
      </c>
      <c r="G63" s="17" t="s">
        <v>185</v>
      </c>
      <c r="H63" s="167" t="s">
        <v>1161</v>
      </c>
      <c r="I63" s="17" t="s">
        <v>135</v>
      </c>
      <c r="J63" s="166">
        <v>45691.39513888889</v>
      </c>
      <c r="K63" s="17" t="s">
        <v>2509</v>
      </c>
      <c r="L63" s="17" t="s">
        <v>72</v>
      </c>
    </row>
    <row r="64">
      <c r="A64" s="17">
        <v>36.0</v>
      </c>
      <c r="B64" s="17" t="s">
        <v>6</v>
      </c>
      <c r="C64" s="17" t="s">
        <v>2699</v>
      </c>
      <c r="D64" s="17" t="s">
        <v>233</v>
      </c>
      <c r="E64" s="17" t="s">
        <v>136</v>
      </c>
      <c r="F64" s="17" t="s">
        <v>136</v>
      </c>
      <c r="G64" s="17" t="s">
        <v>460</v>
      </c>
      <c r="I64" s="17" t="s">
        <v>136</v>
      </c>
      <c r="J64" s="17" t="s">
        <v>2700</v>
      </c>
      <c r="K64" s="17" t="s">
        <v>2513</v>
      </c>
      <c r="L64" s="17" t="s">
        <v>72</v>
      </c>
    </row>
    <row r="65">
      <c r="A65" s="17">
        <v>82.0</v>
      </c>
      <c r="B65" s="17" t="s">
        <v>7</v>
      </c>
      <c r="C65" s="17" t="s">
        <v>810</v>
      </c>
      <c r="D65" s="17" t="s">
        <v>153</v>
      </c>
      <c r="E65" s="17" t="s">
        <v>135</v>
      </c>
      <c r="F65" s="17" t="s">
        <v>136</v>
      </c>
      <c r="G65" s="17" t="s">
        <v>349</v>
      </c>
      <c r="I65" s="17" t="s">
        <v>136</v>
      </c>
      <c r="J65" s="17" t="s">
        <v>2701</v>
      </c>
      <c r="K65" s="17" t="s">
        <v>2513</v>
      </c>
      <c r="L65" s="17" t="s">
        <v>72</v>
      </c>
    </row>
    <row r="66">
      <c r="A66" s="17">
        <v>48.0</v>
      </c>
      <c r="B66" s="17" t="s">
        <v>7</v>
      </c>
      <c r="C66" s="17" t="s">
        <v>211</v>
      </c>
      <c r="D66" s="17" t="s">
        <v>140</v>
      </c>
      <c r="E66" s="17" t="s">
        <v>136</v>
      </c>
      <c r="F66" s="17" t="s">
        <v>136</v>
      </c>
      <c r="G66" s="17" t="s">
        <v>606</v>
      </c>
      <c r="H66" s="17" t="s">
        <v>1062</v>
      </c>
      <c r="I66" s="17" t="s">
        <v>135</v>
      </c>
      <c r="J66" s="17" t="s">
        <v>2702</v>
      </c>
      <c r="K66" s="17" t="s">
        <v>185</v>
      </c>
      <c r="L66" s="17" t="s">
        <v>72</v>
      </c>
    </row>
    <row r="67">
      <c r="A67" s="17">
        <v>49.0</v>
      </c>
      <c r="B67" s="17" t="s">
        <v>7</v>
      </c>
      <c r="C67" s="17" t="s">
        <v>211</v>
      </c>
      <c r="D67" s="17" t="s">
        <v>176</v>
      </c>
      <c r="E67" s="17" t="s">
        <v>136</v>
      </c>
      <c r="F67" s="17" t="s">
        <v>136</v>
      </c>
      <c r="G67" s="17" t="s">
        <v>606</v>
      </c>
      <c r="H67" s="17" t="s">
        <v>1062</v>
      </c>
      <c r="I67" s="17" t="s">
        <v>135</v>
      </c>
      <c r="J67" s="17" t="s">
        <v>2703</v>
      </c>
      <c r="K67" s="17" t="s">
        <v>185</v>
      </c>
      <c r="L67" s="17" t="s">
        <v>72</v>
      </c>
    </row>
    <row r="68">
      <c r="A68" s="17">
        <v>15.0</v>
      </c>
      <c r="B68" s="17" t="s">
        <v>7</v>
      </c>
      <c r="C68" s="17" t="s">
        <v>2704</v>
      </c>
      <c r="D68" s="17" t="s">
        <v>238</v>
      </c>
      <c r="E68" s="17" t="s">
        <v>136</v>
      </c>
      <c r="F68" s="17" t="s">
        <v>136</v>
      </c>
      <c r="G68" s="17" t="s">
        <v>185</v>
      </c>
      <c r="H68" s="17" t="s">
        <v>411</v>
      </c>
      <c r="I68" s="17" t="s">
        <v>135</v>
      </c>
      <c r="J68" s="17" t="s">
        <v>2705</v>
      </c>
      <c r="K68" s="17" t="s">
        <v>2509</v>
      </c>
      <c r="L68" s="17" t="s">
        <v>72</v>
      </c>
    </row>
    <row r="69">
      <c r="A69" s="17">
        <v>50.0</v>
      </c>
      <c r="B69" s="17" t="s">
        <v>6</v>
      </c>
      <c r="C69" s="17" t="s">
        <v>2706</v>
      </c>
      <c r="D69" s="17" t="s">
        <v>263</v>
      </c>
      <c r="E69" s="17" t="s">
        <v>136</v>
      </c>
      <c r="F69" s="17" t="s">
        <v>136</v>
      </c>
      <c r="G69" s="17" t="s">
        <v>174</v>
      </c>
      <c r="I69" s="17" t="s">
        <v>135</v>
      </c>
      <c r="J69" s="17" t="s">
        <v>2707</v>
      </c>
      <c r="K69" s="17" t="s">
        <v>185</v>
      </c>
      <c r="L69" s="17" t="s">
        <v>72</v>
      </c>
    </row>
    <row r="70">
      <c r="A70" s="17">
        <v>31.0</v>
      </c>
      <c r="B70" s="17" t="s">
        <v>6</v>
      </c>
      <c r="C70" s="17" t="s">
        <v>167</v>
      </c>
      <c r="D70" s="17" t="s">
        <v>143</v>
      </c>
      <c r="E70" s="17" t="s">
        <v>136</v>
      </c>
      <c r="F70" s="17" t="s">
        <v>136</v>
      </c>
      <c r="G70" s="17" t="s">
        <v>1789</v>
      </c>
      <c r="I70" s="17" t="s">
        <v>136</v>
      </c>
      <c r="J70" s="17" t="s">
        <v>2708</v>
      </c>
      <c r="K70" s="17" t="s">
        <v>2513</v>
      </c>
      <c r="L70" s="17" t="s">
        <v>72</v>
      </c>
    </row>
    <row r="71">
      <c r="A71" s="17">
        <v>45.0</v>
      </c>
      <c r="B71" s="17" t="s">
        <v>7</v>
      </c>
      <c r="C71" s="17" t="s">
        <v>2668</v>
      </c>
      <c r="D71" s="17" t="s">
        <v>290</v>
      </c>
      <c r="E71" s="17" t="s">
        <v>135</v>
      </c>
      <c r="F71" s="17" t="s">
        <v>135</v>
      </c>
      <c r="G71" s="17" t="s">
        <v>2604</v>
      </c>
      <c r="H71" s="17" t="s">
        <v>2709</v>
      </c>
      <c r="I71" s="17" t="s">
        <v>135</v>
      </c>
      <c r="J71" s="17" t="s">
        <v>2710</v>
      </c>
      <c r="K71" s="17" t="s">
        <v>2513</v>
      </c>
      <c r="L71" s="17" t="s">
        <v>72</v>
      </c>
    </row>
    <row r="72">
      <c r="A72" s="17">
        <v>12.0</v>
      </c>
      <c r="B72" s="17" t="s">
        <v>6</v>
      </c>
      <c r="C72" s="17" t="s">
        <v>2711</v>
      </c>
      <c r="D72" s="17" t="s">
        <v>434</v>
      </c>
      <c r="E72" s="17" t="s">
        <v>136</v>
      </c>
      <c r="F72" s="17" t="s">
        <v>135</v>
      </c>
      <c r="G72" s="17" t="s">
        <v>2712</v>
      </c>
      <c r="H72" s="17" t="s">
        <v>2713</v>
      </c>
      <c r="I72" s="17" t="s">
        <v>136</v>
      </c>
      <c r="J72" s="17" t="s">
        <v>2714</v>
      </c>
      <c r="K72" s="17" t="s">
        <v>2509</v>
      </c>
      <c r="L72" s="17" t="s">
        <v>72</v>
      </c>
    </row>
    <row r="73">
      <c r="A73" s="17">
        <v>77.0</v>
      </c>
      <c r="B73" s="17" t="s">
        <v>7</v>
      </c>
      <c r="C73" s="17" t="s">
        <v>1055</v>
      </c>
      <c r="D73" s="17" t="s">
        <v>369</v>
      </c>
      <c r="E73" s="17" t="s">
        <v>136</v>
      </c>
      <c r="F73" s="17" t="s">
        <v>136</v>
      </c>
      <c r="G73" s="17" t="s">
        <v>157</v>
      </c>
      <c r="I73" s="17" t="s">
        <v>136</v>
      </c>
      <c r="J73" s="17" t="s">
        <v>2715</v>
      </c>
      <c r="K73" s="17" t="s">
        <v>185</v>
      </c>
      <c r="L73" s="17" t="s">
        <v>72</v>
      </c>
    </row>
    <row r="74">
      <c r="A74" s="17">
        <v>22.0</v>
      </c>
      <c r="B74" s="17" t="s">
        <v>6</v>
      </c>
      <c r="C74" s="17" t="s">
        <v>2716</v>
      </c>
      <c r="D74" s="17" t="s">
        <v>331</v>
      </c>
      <c r="E74" s="17" t="s">
        <v>136</v>
      </c>
      <c r="F74" s="17" t="s">
        <v>135</v>
      </c>
      <c r="G74" s="17" t="s">
        <v>144</v>
      </c>
      <c r="I74" s="17" t="s">
        <v>136</v>
      </c>
      <c r="J74" s="17" t="s">
        <v>2717</v>
      </c>
      <c r="K74" s="17" t="s">
        <v>2513</v>
      </c>
      <c r="L74" s="17" t="s">
        <v>72</v>
      </c>
    </row>
    <row r="75">
      <c r="A75" s="17">
        <v>64.0</v>
      </c>
      <c r="B75" s="17" t="s">
        <v>6</v>
      </c>
      <c r="C75" s="17" t="s">
        <v>1282</v>
      </c>
      <c r="D75" s="17" t="s">
        <v>134</v>
      </c>
      <c r="E75" s="17" t="s">
        <v>136</v>
      </c>
      <c r="F75" s="17" t="s">
        <v>135</v>
      </c>
      <c r="G75" s="17" t="s">
        <v>2718</v>
      </c>
      <c r="I75" s="17" t="s">
        <v>135</v>
      </c>
      <c r="J75" s="17" t="s">
        <v>2719</v>
      </c>
      <c r="K75" s="17" t="s">
        <v>2513</v>
      </c>
      <c r="L75" s="17" t="s">
        <v>72</v>
      </c>
    </row>
    <row r="76">
      <c r="A76" s="17">
        <v>29.0</v>
      </c>
      <c r="B76" s="17" t="s">
        <v>6</v>
      </c>
      <c r="C76" s="17" t="s">
        <v>2634</v>
      </c>
      <c r="D76" s="17" t="s">
        <v>134</v>
      </c>
      <c r="E76" s="17" t="s">
        <v>136</v>
      </c>
      <c r="F76" s="17" t="s">
        <v>136</v>
      </c>
      <c r="G76" s="17" t="s">
        <v>1789</v>
      </c>
      <c r="I76" s="17" t="s">
        <v>136</v>
      </c>
      <c r="J76" s="17" t="s">
        <v>2720</v>
      </c>
      <c r="K76" s="17" t="s">
        <v>2513</v>
      </c>
      <c r="L76" s="17" t="s">
        <v>72</v>
      </c>
    </row>
    <row r="77">
      <c r="A77" s="17">
        <v>78.0</v>
      </c>
      <c r="B77" s="17" t="s">
        <v>6</v>
      </c>
      <c r="C77" s="17" t="s">
        <v>2721</v>
      </c>
      <c r="D77" s="17" t="s">
        <v>369</v>
      </c>
      <c r="E77" s="17" t="s">
        <v>135</v>
      </c>
      <c r="F77" s="17" t="s">
        <v>135</v>
      </c>
      <c r="G77" s="17" t="s">
        <v>2722</v>
      </c>
      <c r="H77" s="17" t="s">
        <v>2723</v>
      </c>
      <c r="I77" s="17" t="s">
        <v>136</v>
      </c>
      <c r="J77" s="17" t="s">
        <v>2724</v>
      </c>
      <c r="K77" s="17" t="s">
        <v>2513</v>
      </c>
      <c r="L77" s="17" t="s">
        <v>72</v>
      </c>
    </row>
    <row r="78">
      <c r="A78" s="17">
        <v>57.0</v>
      </c>
      <c r="B78" s="17" t="s">
        <v>6</v>
      </c>
      <c r="C78" s="17" t="s">
        <v>2725</v>
      </c>
      <c r="D78" s="17" t="s">
        <v>420</v>
      </c>
      <c r="E78" s="17" t="s">
        <v>136</v>
      </c>
      <c r="F78" s="17" t="s">
        <v>136</v>
      </c>
      <c r="G78" s="17" t="s">
        <v>2726</v>
      </c>
      <c r="I78" s="17" t="s">
        <v>136</v>
      </c>
      <c r="J78" s="17" t="s">
        <v>2727</v>
      </c>
      <c r="K78" s="17" t="s">
        <v>185</v>
      </c>
      <c r="L78" s="17" t="s">
        <v>72</v>
      </c>
    </row>
    <row r="79">
      <c r="A79" s="17">
        <v>44.0</v>
      </c>
      <c r="B79" s="17" t="s">
        <v>6</v>
      </c>
      <c r="C79" s="17" t="s">
        <v>315</v>
      </c>
      <c r="D79" s="17" t="s">
        <v>164</v>
      </c>
      <c r="E79" s="17" t="s">
        <v>136</v>
      </c>
      <c r="F79" s="17" t="s">
        <v>136</v>
      </c>
      <c r="G79" s="17" t="s">
        <v>1277</v>
      </c>
      <c r="I79" s="17" t="s">
        <v>135</v>
      </c>
      <c r="J79" s="17" t="s">
        <v>2728</v>
      </c>
      <c r="K79" s="17" t="s">
        <v>2509</v>
      </c>
      <c r="L79" s="17" t="s">
        <v>72</v>
      </c>
    </row>
    <row r="80">
      <c r="A80" s="17">
        <v>92.0</v>
      </c>
      <c r="B80" s="17" t="s">
        <v>6</v>
      </c>
      <c r="C80" s="17" t="s">
        <v>2729</v>
      </c>
      <c r="D80" s="17" t="s">
        <v>420</v>
      </c>
      <c r="E80" s="17" t="s">
        <v>135</v>
      </c>
      <c r="F80" s="17" t="s">
        <v>136</v>
      </c>
      <c r="G80" s="17" t="s">
        <v>2730</v>
      </c>
      <c r="H80" s="17" t="s">
        <v>2731</v>
      </c>
      <c r="I80" s="17" t="s">
        <v>136</v>
      </c>
      <c r="J80" s="17" t="s">
        <v>2627</v>
      </c>
      <c r="K80" s="17" t="s">
        <v>2513</v>
      </c>
      <c r="L80" s="17" t="s">
        <v>72</v>
      </c>
    </row>
    <row r="81">
      <c r="A81" s="17">
        <v>41.0</v>
      </c>
      <c r="B81" s="17" t="s">
        <v>6</v>
      </c>
      <c r="C81" s="17" t="s">
        <v>2732</v>
      </c>
      <c r="D81" s="17" t="s">
        <v>134</v>
      </c>
      <c r="E81" s="17" t="s">
        <v>136</v>
      </c>
      <c r="F81" s="17" t="s">
        <v>136</v>
      </c>
      <c r="G81" s="17" t="s">
        <v>144</v>
      </c>
      <c r="H81" s="17" t="s">
        <v>2733</v>
      </c>
      <c r="I81" s="17" t="s">
        <v>136</v>
      </c>
      <c r="J81" s="17" t="s">
        <v>2734</v>
      </c>
      <c r="K81" s="17" t="s">
        <v>2513</v>
      </c>
      <c r="L81" s="17" t="s">
        <v>72</v>
      </c>
    </row>
    <row r="82">
      <c r="A82" s="17">
        <v>17.0</v>
      </c>
      <c r="B82" s="17" t="s">
        <v>6</v>
      </c>
      <c r="C82" s="17" t="s">
        <v>211</v>
      </c>
      <c r="D82" s="17" t="s">
        <v>176</v>
      </c>
      <c r="E82" s="17" t="s">
        <v>136</v>
      </c>
      <c r="F82" s="17" t="s">
        <v>136</v>
      </c>
      <c r="G82" s="17" t="s">
        <v>2735</v>
      </c>
      <c r="I82" s="17" t="s">
        <v>136</v>
      </c>
      <c r="J82" s="17" t="s">
        <v>2736</v>
      </c>
      <c r="K82" s="17" t="s">
        <v>2502</v>
      </c>
      <c r="L82" s="17" t="s">
        <v>72</v>
      </c>
    </row>
    <row r="83">
      <c r="A83" s="17">
        <v>53.0</v>
      </c>
      <c r="B83" s="17" t="s">
        <v>6</v>
      </c>
      <c r="C83" s="17" t="s">
        <v>2628</v>
      </c>
      <c r="D83" s="17" t="s">
        <v>210</v>
      </c>
      <c r="E83" s="17" t="s">
        <v>136</v>
      </c>
      <c r="F83" s="17" t="s">
        <v>136</v>
      </c>
      <c r="G83" s="17" t="s">
        <v>180</v>
      </c>
      <c r="I83" s="17" t="s">
        <v>136</v>
      </c>
      <c r="J83" s="17" t="s">
        <v>2737</v>
      </c>
      <c r="K83" s="17" t="s">
        <v>2513</v>
      </c>
      <c r="L83" s="17" t="s">
        <v>72</v>
      </c>
    </row>
    <row r="84">
      <c r="A84" s="17">
        <v>79.0</v>
      </c>
      <c r="B84" s="17" t="s">
        <v>6</v>
      </c>
      <c r="C84" s="17" t="s">
        <v>225</v>
      </c>
      <c r="D84" s="17" t="s">
        <v>143</v>
      </c>
      <c r="E84" s="17" t="s">
        <v>136</v>
      </c>
      <c r="F84" s="17" t="s">
        <v>136</v>
      </c>
      <c r="G84" s="17" t="s">
        <v>174</v>
      </c>
      <c r="I84" s="17" t="s">
        <v>135</v>
      </c>
      <c r="J84" s="17" t="s">
        <v>2738</v>
      </c>
      <c r="K84" s="17" t="s">
        <v>2509</v>
      </c>
      <c r="L84" s="17" t="s">
        <v>72</v>
      </c>
    </row>
    <row r="85">
      <c r="A85" s="17">
        <v>70.0</v>
      </c>
      <c r="B85" s="17" t="s">
        <v>6</v>
      </c>
      <c r="C85" s="17" t="s">
        <v>1096</v>
      </c>
      <c r="D85" s="17" t="s">
        <v>153</v>
      </c>
      <c r="E85" s="17" t="s">
        <v>135</v>
      </c>
      <c r="F85" s="17" t="s">
        <v>136</v>
      </c>
      <c r="G85" s="17" t="s">
        <v>137</v>
      </c>
      <c r="I85" s="17" t="s">
        <v>135</v>
      </c>
      <c r="J85" s="17" t="s">
        <v>2739</v>
      </c>
      <c r="K85" s="17" t="s">
        <v>185</v>
      </c>
      <c r="L85" s="17" t="s">
        <v>72</v>
      </c>
    </row>
    <row r="86">
      <c r="A86" s="17">
        <v>69.0</v>
      </c>
      <c r="B86" s="17" t="s">
        <v>7</v>
      </c>
      <c r="C86" s="17" t="s">
        <v>2740</v>
      </c>
      <c r="D86" s="17" t="s">
        <v>331</v>
      </c>
      <c r="E86" s="17" t="s">
        <v>136</v>
      </c>
      <c r="F86" s="17" t="s">
        <v>136</v>
      </c>
      <c r="G86" s="17" t="s">
        <v>534</v>
      </c>
      <c r="I86" s="17" t="s">
        <v>136</v>
      </c>
      <c r="J86" s="17" t="s">
        <v>2741</v>
      </c>
      <c r="K86" s="17" t="s">
        <v>2502</v>
      </c>
      <c r="L86" s="17" t="s">
        <v>72</v>
      </c>
    </row>
    <row r="87">
      <c r="A87" s="17">
        <v>24.0</v>
      </c>
      <c r="B87" s="17" t="s">
        <v>7</v>
      </c>
      <c r="C87" s="17" t="s">
        <v>941</v>
      </c>
      <c r="D87" s="17" t="s">
        <v>233</v>
      </c>
      <c r="E87" s="17" t="s">
        <v>136</v>
      </c>
      <c r="F87" s="17" t="s">
        <v>136</v>
      </c>
      <c r="G87" s="17" t="s">
        <v>180</v>
      </c>
      <c r="I87" s="17" t="s">
        <v>136</v>
      </c>
      <c r="J87" s="17" t="s">
        <v>2742</v>
      </c>
      <c r="K87" s="17" t="s">
        <v>2502</v>
      </c>
      <c r="L87" s="17" t="s">
        <v>72</v>
      </c>
    </row>
    <row r="88">
      <c r="A88" s="17">
        <v>35.0</v>
      </c>
      <c r="B88" s="17" t="s">
        <v>6</v>
      </c>
      <c r="C88" s="17" t="s">
        <v>459</v>
      </c>
      <c r="D88" s="17" t="s">
        <v>197</v>
      </c>
      <c r="E88" s="17" t="s">
        <v>136</v>
      </c>
      <c r="F88" s="17" t="s">
        <v>135</v>
      </c>
      <c r="G88" s="17" t="s">
        <v>144</v>
      </c>
      <c r="I88" s="17" t="s">
        <v>135</v>
      </c>
      <c r="J88" s="17" t="s">
        <v>2743</v>
      </c>
      <c r="K88" s="17" t="s">
        <v>2502</v>
      </c>
      <c r="L88" s="17" t="s">
        <v>72</v>
      </c>
    </row>
    <row r="89">
      <c r="A89" s="17">
        <v>71.0</v>
      </c>
      <c r="B89" s="17" t="s">
        <v>7</v>
      </c>
      <c r="C89" s="17" t="s">
        <v>2744</v>
      </c>
      <c r="D89" s="17" t="s">
        <v>164</v>
      </c>
      <c r="E89" s="17" t="s">
        <v>135</v>
      </c>
      <c r="F89" s="17" t="s">
        <v>135</v>
      </c>
      <c r="G89" s="17" t="s">
        <v>2745</v>
      </c>
      <c r="H89" s="17" t="s">
        <v>1307</v>
      </c>
      <c r="I89" s="17" t="s">
        <v>136</v>
      </c>
      <c r="J89" s="17" t="s">
        <v>2746</v>
      </c>
      <c r="K89" s="17" t="s">
        <v>2513</v>
      </c>
      <c r="L89" s="17" t="s">
        <v>72</v>
      </c>
    </row>
    <row r="90">
      <c r="A90" s="17">
        <v>18.0</v>
      </c>
      <c r="B90" s="17" t="s">
        <v>7</v>
      </c>
      <c r="C90" s="17" t="s">
        <v>2747</v>
      </c>
      <c r="D90" s="17" t="s">
        <v>193</v>
      </c>
      <c r="E90" s="17" t="s">
        <v>135</v>
      </c>
      <c r="F90" s="17" t="s">
        <v>135</v>
      </c>
      <c r="G90" s="17" t="s">
        <v>144</v>
      </c>
      <c r="I90" s="17" t="s">
        <v>136</v>
      </c>
      <c r="J90" s="17" t="s">
        <v>2748</v>
      </c>
      <c r="K90" s="17" t="s">
        <v>2509</v>
      </c>
      <c r="L90" s="17" t="s">
        <v>72</v>
      </c>
    </row>
    <row r="91">
      <c r="A91" s="17">
        <v>1.0</v>
      </c>
      <c r="B91" s="17" t="s">
        <v>7</v>
      </c>
      <c r="C91" s="17" t="s">
        <v>315</v>
      </c>
      <c r="D91" s="17" t="s">
        <v>164</v>
      </c>
      <c r="E91" s="17" t="s">
        <v>136</v>
      </c>
      <c r="F91" s="17" t="s">
        <v>136</v>
      </c>
      <c r="G91" s="17" t="s">
        <v>185</v>
      </c>
      <c r="H91" s="167" t="s">
        <v>2749</v>
      </c>
      <c r="I91" s="17" t="s">
        <v>135</v>
      </c>
      <c r="J91" s="166">
        <v>45673.58819444444</v>
      </c>
      <c r="K91" s="17" t="s">
        <v>2603</v>
      </c>
      <c r="L91" s="17" t="s">
        <v>72</v>
      </c>
    </row>
    <row r="92">
      <c r="A92" s="17">
        <v>10.0</v>
      </c>
      <c r="B92" s="17" t="s">
        <v>6</v>
      </c>
      <c r="C92" s="17" t="s">
        <v>2750</v>
      </c>
      <c r="D92" s="17" t="s">
        <v>263</v>
      </c>
      <c r="E92" s="17" t="s">
        <v>136</v>
      </c>
      <c r="F92" s="17" t="s">
        <v>136</v>
      </c>
      <c r="G92" s="17" t="s">
        <v>650</v>
      </c>
      <c r="I92" s="17" t="s">
        <v>135</v>
      </c>
      <c r="J92" s="17" t="s">
        <v>2751</v>
      </c>
      <c r="K92" s="17" t="s">
        <v>2509</v>
      </c>
      <c r="L92" s="17" t="s">
        <v>72</v>
      </c>
    </row>
    <row r="93">
      <c r="A93" s="17">
        <v>56.0</v>
      </c>
      <c r="B93" s="17" t="s">
        <v>6</v>
      </c>
      <c r="C93" s="17" t="s">
        <v>2752</v>
      </c>
      <c r="D93" s="17" t="s">
        <v>134</v>
      </c>
      <c r="E93" s="17" t="s">
        <v>136</v>
      </c>
      <c r="F93" s="17" t="s">
        <v>136</v>
      </c>
      <c r="G93" s="17" t="s">
        <v>401</v>
      </c>
      <c r="H93" s="17" t="s">
        <v>411</v>
      </c>
      <c r="I93" s="17" t="s">
        <v>136</v>
      </c>
      <c r="J93" s="17" t="s">
        <v>2753</v>
      </c>
      <c r="K93" s="17" t="s">
        <v>2509</v>
      </c>
      <c r="L93" s="17" t="s">
        <v>72</v>
      </c>
    </row>
    <row r="94">
      <c r="A94" s="17">
        <v>8.0</v>
      </c>
      <c r="B94" s="17" t="s">
        <v>7</v>
      </c>
      <c r="C94" s="17" t="s">
        <v>2139</v>
      </c>
      <c r="D94" s="17" t="s">
        <v>143</v>
      </c>
      <c r="E94" s="17" t="s">
        <v>135</v>
      </c>
      <c r="F94" s="17" t="s">
        <v>136</v>
      </c>
      <c r="G94" s="17" t="s">
        <v>594</v>
      </c>
      <c r="I94" s="17" t="s">
        <v>135</v>
      </c>
      <c r="J94" s="166">
        <v>45707.688888888886</v>
      </c>
      <c r="K94" s="17" t="s">
        <v>2509</v>
      </c>
      <c r="L94" s="17" t="s">
        <v>72</v>
      </c>
    </row>
    <row r="95">
      <c r="A95" s="17">
        <v>66.0</v>
      </c>
      <c r="B95" s="17" t="s">
        <v>6</v>
      </c>
      <c r="C95" s="17" t="s">
        <v>315</v>
      </c>
      <c r="D95" s="17" t="s">
        <v>164</v>
      </c>
      <c r="E95" s="17" t="s">
        <v>135</v>
      </c>
      <c r="F95" s="17" t="s">
        <v>136</v>
      </c>
      <c r="G95" s="17" t="s">
        <v>292</v>
      </c>
      <c r="I95" s="17" t="s">
        <v>136</v>
      </c>
      <c r="J95" s="17" t="s">
        <v>2754</v>
      </c>
      <c r="K95" s="17" t="s">
        <v>2509</v>
      </c>
      <c r="L95" s="17" t="s">
        <v>72</v>
      </c>
    </row>
    <row r="96">
      <c r="A96" s="17">
        <v>84.0</v>
      </c>
      <c r="B96" s="17" t="s">
        <v>7</v>
      </c>
      <c r="C96" s="17" t="s">
        <v>2755</v>
      </c>
      <c r="D96" s="17" t="s">
        <v>223</v>
      </c>
      <c r="E96" s="17" t="s">
        <v>135</v>
      </c>
      <c r="F96" s="17" t="s">
        <v>136</v>
      </c>
      <c r="G96" s="17" t="s">
        <v>2756</v>
      </c>
      <c r="I96" s="17" t="s">
        <v>135</v>
      </c>
      <c r="J96" s="17" t="s">
        <v>2757</v>
      </c>
      <c r="K96" s="17" t="s">
        <v>2509</v>
      </c>
      <c r="L96" s="17" t="s">
        <v>72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27.0"/>
  </cols>
  <sheetData>
    <row r="1">
      <c r="A1" s="165" t="s">
        <v>116</v>
      </c>
      <c r="B1" s="165" t="s">
        <v>117</v>
      </c>
      <c r="C1" s="165" t="s">
        <v>118</v>
      </c>
      <c r="D1" s="165" t="s">
        <v>119</v>
      </c>
      <c r="E1" s="165" t="s">
        <v>120</v>
      </c>
      <c r="F1" s="165" t="s">
        <v>121</v>
      </c>
      <c r="G1" s="165" t="s">
        <v>122</v>
      </c>
      <c r="H1" s="165" t="s">
        <v>123</v>
      </c>
      <c r="I1" s="165" t="s">
        <v>3769</v>
      </c>
      <c r="J1" s="165" t="s">
        <v>125</v>
      </c>
      <c r="K1" s="165" t="s">
        <v>3770</v>
      </c>
      <c r="L1" s="17" t="s">
        <v>3771</v>
      </c>
      <c r="N1" s="123" t="s">
        <v>129</v>
      </c>
      <c r="O1" s="123" t="s">
        <v>130</v>
      </c>
      <c r="P1" s="123" t="s">
        <v>131</v>
      </c>
    </row>
    <row r="2">
      <c r="A2" s="153">
        <v>17.0</v>
      </c>
      <c r="B2" s="154" t="s">
        <v>6</v>
      </c>
      <c r="C2" s="154" t="s">
        <v>167</v>
      </c>
      <c r="D2" s="154" t="s">
        <v>143</v>
      </c>
      <c r="E2" s="154" t="s">
        <v>136</v>
      </c>
      <c r="F2" s="154" t="s">
        <v>136</v>
      </c>
      <c r="G2" s="154" t="s">
        <v>401</v>
      </c>
      <c r="H2" s="154" t="s">
        <v>2883</v>
      </c>
      <c r="I2" s="154" t="s">
        <v>135</v>
      </c>
      <c r="J2" s="154" t="s">
        <v>2884</v>
      </c>
      <c r="K2" s="154" t="s">
        <v>185</v>
      </c>
      <c r="L2" s="17" t="s">
        <v>65</v>
      </c>
      <c r="N2" s="7" t="str">
        <f t="array" ref="N2:N12">UNIQUE(D2:D120)</f>
        <v>Italy</v>
      </c>
      <c r="O2" s="7">
        <f t="shared" ref="O2:O11" si="1">COUNTIF(D$2:D$120,N2)</f>
        <v>7</v>
      </c>
      <c r="P2" s="215" t="str">
        <f t="array" ref="P2">XLOOKUP(N2,Countries!A$2:A$98,Countries!B$2:B$98,"tbd",0)</f>
        <v>Europe</v>
      </c>
    </row>
    <row r="3">
      <c r="A3" s="153">
        <v>18.0</v>
      </c>
      <c r="B3" s="154" t="s">
        <v>6</v>
      </c>
      <c r="C3" s="154" t="s">
        <v>1116</v>
      </c>
      <c r="D3" s="154" t="s">
        <v>214</v>
      </c>
      <c r="E3" s="154" t="s">
        <v>135</v>
      </c>
      <c r="F3" s="154" t="s">
        <v>136</v>
      </c>
      <c r="G3" s="165" t="s">
        <v>241</v>
      </c>
      <c r="H3" s="154" t="s">
        <v>411</v>
      </c>
      <c r="I3" s="154" t="s">
        <v>136</v>
      </c>
      <c r="J3" s="157">
        <v>45748.67916666667</v>
      </c>
      <c r="K3" s="154" t="s">
        <v>2513</v>
      </c>
      <c r="L3" s="17" t="s">
        <v>65</v>
      </c>
      <c r="N3" s="216" t="s">
        <v>214</v>
      </c>
      <c r="O3" s="217">
        <f t="shared" si="1"/>
        <v>1</v>
      </c>
      <c r="P3" s="218" t="str">
        <f t="array" ref="P3">XLOOKUP(N3,Countries!A$2:A$98,Countries!B$2:B$98,"tbd",0)</f>
        <v>Asia</v>
      </c>
    </row>
    <row r="4">
      <c r="A4" s="153">
        <v>22.0</v>
      </c>
      <c r="B4" s="154" t="s">
        <v>7</v>
      </c>
      <c r="C4" s="154" t="s">
        <v>2566</v>
      </c>
      <c r="D4" s="154" t="s">
        <v>134</v>
      </c>
      <c r="E4" s="154" t="s">
        <v>135</v>
      </c>
      <c r="F4" s="154" t="s">
        <v>136</v>
      </c>
      <c r="G4" s="165" t="s">
        <v>150</v>
      </c>
      <c r="H4" s="155"/>
      <c r="I4" s="154" t="s">
        <v>135</v>
      </c>
      <c r="J4" s="157">
        <v>45750.44236111111</v>
      </c>
      <c r="K4" s="154" t="s">
        <v>2509</v>
      </c>
      <c r="L4" s="17" t="s">
        <v>65</v>
      </c>
      <c r="N4" s="16" t="s">
        <v>134</v>
      </c>
      <c r="O4" s="7">
        <f t="shared" si="1"/>
        <v>5</v>
      </c>
      <c r="P4" s="215" t="str">
        <f t="array" ref="P4">XLOOKUP(N4,Countries!A$2:A$98,Countries!B$2:B$98,"tbd",0)</f>
        <v>Europe</v>
      </c>
    </row>
    <row r="5">
      <c r="A5" s="153">
        <v>32.0</v>
      </c>
      <c r="B5" s="154" t="s">
        <v>7</v>
      </c>
      <c r="C5" s="154" t="s">
        <v>184</v>
      </c>
      <c r="D5" s="154" t="s">
        <v>143</v>
      </c>
      <c r="E5" s="154" t="s">
        <v>136</v>
      </c>
      <c r="F5" s="154" t="s">
        <v>135</v>
      </c>
      <c r="G5" s="154" t="s">
        <v>174</v>
      </c>
      <c r="H5" s="155"/>
      <c r="I5" s="154" t="s">
        <v>135</v>
      </c>
      <c r="J5" s="157">
        <v>45755.39444444444</v>
      </c>
      <c r="K5" s="154" t="s">
        <v>2509</v>
      </c>
      <c r="L5" s="17" t="s">
        <v>65</v>
      </c>
      <c r="N5" s="83" t="s">
        <v>233</v>
      </c>
      <c r="O5" s="54">
        <f t="shared" si="1"/>
        <v>4</v>
      </c>
      <c r="P5" s="142" t="str">
        <f t="array" ref="P5">XLOOKUP(N5,Countries!A$2:A$98,Countries!B$2:B$98,"tbd",0)</f>
        <v>widening countries</v>
      </c>
    </row>
    <row r="6">
      <c r="A6" s="153">
        <v>11.0</v>
      </c>
      <c r="B6" s="154" t="s">
        <v>6</v>
      </c>
      <c r="C6" s="154" t="s">
        <v>2885</v>
      </c>
      <c r="D6" s="154" t="s">
        <v>233</v>
      </c>
      <c r="E6" s="154" t="s">
        <v>136</v>
      </c>
      <c r="F6" s="154" t="s">
        <v>136</v>
      </c>
      <c r="G6" s="154" t="s">
        <v>241</v>
      </c>
      <c r="H6" s="155"/>
      <c r="I6" s="154" t="s">
        <v>135</v>
      </c>
      <c r="J6" s="154" t="s">
        <v>2886</v>
      </c>
      <c r="K6" s="154" t="s">
        <v>2502</v>
      </c>
      <c r="L6" s="17" t="s">
        <v>65</v>
      </c>
      <c r="N6" s="16" t="s">
        <v>164</v>
      </c>
      <c r="O6" s="7">
        <f t="shared" si="1"/>
        <v>5</v>
      </c>
      <c r="P6" s="215" t="str">
        <f t="array" ref="P6">XLOOKUP(N6,Countries!A$2:A$98,Countries!B$2:B$98,"tbd",0)</f>
        <v>Europe</v>
      </c>
    </row>
    <row r="7">
      <c r="A7" s="153">
        <v>27.0</v>
      </c>
      <c r="B7" s="154" t="s">
        <v>7</v>
      </c>
      <c r="C7" s="154" t="s">
        <v>195</v>
      </c>
      <c r="D7" s="154" t="s">
        <v>164</v>
      </c>
      <c r="E7" s="154" t="s">
        <v>136</v>
      </c>
      <c r="F7" s="154" t="s">
        <v>136</v>
      </c>
      <c r="G7" s="154" t="s">
        <v>174</v>
      </c>
      <c r="H7" s="154" t="s">
        <v>2787</v>
      </c>
      <c r="I7" s="154" t="s">
        <v>135</v>
      </c>
      <c r="J7" s="157">
        <v>45754.47986111111</v>
      </c>
      <c r="K7" s="154" t="s">
        <v>2502</v>
      </c>
      <c r="L7" s="17" t="s">
        <v>65</v>
      </c>
      <c r="N7" s="216" t="s">
        <v>166</v>
      </c>
      <c r="O7" s="217">
        <f t="shared" si="1"/>
        <v>1</v>
      </c>
      <c r="P7" s="218" t="str">
        <f t="array" ref="P7">XLOOKUP(N7,Countries!A$2:A$98,Countries!B$2:B$98,"tbd",0)</f>
        <v>Oceania</v>
      </c>
    </row>
    <row r="8">
      <c r="A8" s="153">
        <v>25.0</v>
      </c>
      <c r="B8" s="154" t="s">
        <v>7</v>
      </c>
      <c r="C8" s="154" t="s">
        <v>2887</v>
      </c>
      <c r="D8" s="154" t="s">
        <v>166</v>
      </c>
      <c r="E8" s="154" t="s">
        <v>136</v>
      </c>
      <c r="F8" s="154" t="s">
        <v>136</v>
      </c>
      <c r="G8" s="154" t="s">
        <v>185</v>
      </c>
      <c r="H8" s="155"/>
      <c r="I8" s="154" t="s">
        <v>135</v>
      </c>
      <c r="J8" s="157">
        <v>45751.01875</v>
      </c>
      <c r="K8" s="154" t="s">
        <v>2509</v>
      </c>
      <c r="L8" s="17" t="s">
        <v>65</v>
      </c>
      <c r="N8" s="16" t="s">
        <v>202</v>
      </c>
      <c r="O8" s="7">
        <f t="shared" si="1"/>
        <v>2</v>
      </c>
      <c r="P8" s="215" t="str">
        <f t="array" ref="P8">XLOOKUP(N8,Countries!A$2:A$98,Countries!B$2:B$98,"tbd",0)</f>
        <v>Europe</v>
      </c>
    </row>
    <row r="9">
      <c r="A9" s="153">
        <v>6.0</v>
      </c>
      <c r="B9" s="154" t="s">
        <v>6</v>
      </c>
      <c r="C9" s="154" t="s">
        <v>362</v>
      </c>
      <c r="D9" s="154" t="s">
        <v>202</v>
      </c>
      <c r="E9" s="154" t="s">
        <v>136</v>
      </c>
      <c r="F9" s="154" t="s">
        <v>135</v>
      </c>
      <c r="G9" s="165" t="s">
        <v>144</v>
      </c>
      <c r="H9" s="155"/>
      <c r="I9" s="154" t="s">
        <v>135</v>
      </c>
      <c r="J9" s="154" t="s">
        <v>2888</v>
      </c>
      <c r="K9" s="154" t="s">
        <v>2509</v>
      </c>
      <c r="L9" s="17" t="s">
        <v>65</v>
      </c>
      <c r="N9" s="16" t="s">
        <v>197</v>
      </c>
      <c r="O9" s="7">
        <f t="shared" si="1"/>
        <v>4</v>
      </c>
      <c r="P9" s="215" t="str">
        <f t="array" ref="P9">XLOOKUP(N9,Countries!A$2:A$98,Countries!B$2:B$98,"tbd",0)</f>
        <v>Europe</v>
      </c>
    </row>
    <row r="10">
      <c r="A10" s="153">
        <v>29.0</v>
      </c>
      <c r="B10" s="154" t="s">
        <v>6</v>
      </c>
      <c r="C10" s="154" t="s">
        <v>2889</v>
      </c>
      <c r="D10" s="154" t="s">
        <v>164</v>
      </c>
      <c r="E10" s="154" t="s">
        <v>135</v>
      </c>
      <c r="F10" s="154" t="s">
        <v>136</v>
      </c>
      <c r="G10" s="154" t="s">
        <v>174</v>
      </c>
      <c r="H10" s="155"/>
      <c r="I10" s="154" t="s">
        <v>136</v>
      </c>
      <c r="J10" s="157">
        <v>45754.614583333336</v>
      </c>
      <c r="K10" s="154" t="s">
        <v>2502</v>
      </c>
      <c r="L10" s="17" t="s">
        <v>65</v>
      </c>
      <c r="N10" s="83" t="s">
        <v>209</v>
      </c>
      <c r="O10" s="54">
        <f t="shared" si="1"/>
        <v>2</v>
      </c>
      <c r="P10" s="142" t="str">
        <f t="array" ref="P10">XLOOKUP(N10,Countries!A$2:A$98,Countries!B$2:B$98,"tbd",0)</f>
        <v>associated countries</v>
      </c>
    </row>
    <row r="11">
      <c r="A11" s="153">
        <v>14.0</v>
      </c>
      <c r="B11" s="154" t="s">
        <v>7</v>
      </c>
      <c r="C11" s="154" t="s">
        <v>315</v>
      </c>
      <c r="D11" s="154" t="s">
        <v>164</v>
      </c>
      <c r="E11" s="154" t="s">
        <v>135</v>
      </c>
      <c r="F11" s="154" t="s">
        <v>136</v>
      </c>
      <c r="G11" s="154" t="s">
        <v>185</v>
      </c>
      <c r="H11" s="165" t="s">
        <v>2890</v>
      </c>
      <c r="I11" s="154" t="s">
        <v>135</v>
      </c>
      <c r="J11" s="154" t="s">
        <v>2891</v>
      </c>
      <c r="K11" s="154" t="s">
        <v>2513</v>
      </c>
      <c r="L11" s="17" t="s">
        <v>65</v>
      </c>
      <c r="N11" s="83" t="s">
        <v>228</v>
      </c>
      <c r="O11" s="54">
        <f t="shared" si="1"/>
        <v>2</v>
      </c>
      <c r="P11" s="142" t="str">
        <f t="array" ref="P11">XLOOKUP(N11,Countries!A$2:A$98,Countries!B$2:B$98,"tbd",0)</f>
        <v>widening countries</v>
      </c>
    </row>
    <row r="12">
      <c r="A12" s="153">
        <v>33.0</v>
      </c>
      <c r="B12" s="154" t="s">
        <v>6</v>
      </c>
      <c r="C12" s="154" t="s">
        <v>240</v>
      </c>
      <c r="D12" s="154" t="s">
        <v>197</v>
      </c>
      <c r="E12" s="154" t="s">
        <v>136</v>
      </c>
      <c r="F12" s="154" t="s">
        <v>136</v>
      </c>
      <c r="G12" s="154" t="s">
        <v>241</v>
      </c>
      <c r="H12" s="155"/>
      <c r="I12" s="154" t="s">
        <v>135</v>
      </c>
      <c r="J12" s="157">
        <v>45755.416666666664</v>
      </c>
      <c r="K12" s="154" t="s">
        <v>2502</v>
      </c>
      <c r="L12" s="17" t="s">
        <v>65</v>
      </c>
      <c r="N12" s="16"/>
      <c r="O12" s="16">
        <f>SUM(O2:O11)</f>
        <v>33</v>
      </c>
    </row>
    <row r="13">
      <c r="A13" s="153">
        <v>19.0</v>
      </c>
      <c r="B13" s="154" t="s">
        <v>7</v>
      </c>
      <c r="C13" s="154" t="s">
        <v>2892</v>
      </c>
      <c r="D13" s="154" t="s">
        <v>143</v>
      </c>
      <c r="E13" s="154" t="s">
        <v>136</v>
      </c>
      <c r="F13" s="154" t="s">
        <v>136</v>
      </c>
      <c r="G13" s="154" t="s">
        <v>185</v>
      </c>
      <c r="H13" s="155"/>
      <c r="I13" s="154" t="s">
        <v>135</v>
      </c>
      <c r="J13" s="157">
        <v>45750.415972222225</v>
      </c>
      <c r="K13" s="154" t="s">
        <v>2509</v>
      </c>
      <c r="L13" s="17" t="s">
        <v>65</v>
      </c>
    </row>
    <row r="14">
      <c r="A14" s="153">
        <v>23.0</v>
      </c>
      <c r="B14" s="154" t="s">
        <v>7</v>
      </c>
      <c r="C14" s="154" t="s">
        <v>1367</v>
      </c>
      <c r="D14" s="154" t="s">
        <v>209</v>
      </c>
      <c r="E14" s="154" t="s">
        <v>136</v>
      </c>
      <c r="F14" s="154" t="s">
        <v>136</v>
      </c>
      <c r="G14" s="154" t="s">
        <v>798</v>
      </c>
      <c r="H14" s="155"/>
      <c r="I14" s="154" t="s">
        <v>135</v>
      </c>
      <c r="J14" s="157">
        <v>45750.51111111111</v>
      </c>
      <c r="K14" s="154" t="s">
        <v>2509</v>
      </c>
      <c r="L14" s="17" t="s">
        <v>65</v>
      </c>
    </row>
    <row r="15">
      <c r="A15" s="153">
        <v>20.0</v>
      </c>
      <c r="B15" s="154" t="s">
        <v>7</v>
      </c>
      <c r="C15" s="154" t="s">
        <v>315</v>
      </c>
      <c r="D15" s="154" t="s">
        <v>164</v>
      </c>
      <c r="E15" s="154" t="s">
        <v>135</v>
      </c>
      <c r="F15" s="154" t="s">
        <v>136</v>
      </c>
      <c r="G15" s="154" t="s">
        <v>3907</v>
      </c>
      <c r="H15" s="155"/>
      <c r="I15" s="154" t="s">
        <v>136</v>
      </c>
      <c r="J15" s="157">
        <v>45750.42638888889</v>
      </c>
      <c r="K15" s="154" t="s">
        <v>2509</v>
      </c>
      <c r="L15" s="17" t="s">
        <v>65</v>
      </c>
      <c r="O15" s="17">
        <v>8.0</v>
      </c>
      <c r="P15" s="17" t="s">
        <v>3818</v>
      </c>
    </row>
    <row r="16">
      <c r="A16" s="153">
        <v>21.0</v>
      </c>
      <c r="B16" s="154" t="s">
        <v>6</v>
      </c>
      <c r="C16" s="154" t="s">
        <v>315</v>
      </c>
      <c r="D16" s="154" t="s">
        <v>164</v>
      </c>
      <c r="E16" s="154" t="s">
        <v>135</v>
      </c>
      <c r="F16" s="154" t="s">
        <v>136</v>
      </c>
      <c r="G16" s="154" t="s">
        <v>395</v>
      </c>
      <c r="H16" s="155"/>
      <c r="I16" s="154" t="s">
        <v>135</v>
      </c>
      <c r="J16" s="157">
        <v>45750.43263888889</v>
      </c>
      <c r="K16" s="154" t="s">
        <v>2509</v>
      </c>
      <c r="L16" s="17" t="s">
        <v>65</v>
      </c>
      <c r="O16" s="17">
        <v>2.0</v>
      </c>
      <c r="P16" s="17" t="s">
        <v>22</v>
      </c>
    </row>
    <row r="17">
      <c r="A17" s="153">
        <v>10.0</v>
      </c>
      <c r="B17" s="154" t="s">
        <v>6</v>
      </c>
      <c r="C17" s="154" t="s">
        <v>149</v>
      </c>
      <c r="D17" s="154" t="s">
        <v>134</v>
      </c>
      <c r="E17" s="154" t="s">
        <v>136</v>
      </c>
      <c r="F17" s="154" t="s">
        <v>136</v>
      </c>
      <c r="G17" s="165" t="s">
        <v>137</v>
      </c>
      <c r="H17" s="155"/>
      <c r="I17" s="154" t="s">
        <v>135</v>
      </c>
      <c r="J17" s="154" t="s">
        <v>2894</v>
      </c>
      <c r="K17" s="154" t="s">
        <v>2509</v>
      </c>
      <c r="L17" s="17" t="s">
        <v>65</v>
      </c>
      <c r="O17" s="17">
        <v>10.0</v>
      </c>
      <c r="P17" s="17" t="s">
        <v>3821</v>
      </c>
    </row>
    <row r="18">
      <c r="A18" s="153">
        <v>4.0</v>
      </c>
      <c r="B18" s="154" t="s">
        <v>7</v>
      </c>
      <c r="C18" s="154" t="s">
        <v>250</v>
      </c>
      <c r="D18" s="154" t="s">
        <v>209</v>
      </c>
      <c r="E18" s="154" t="s">
        <v>135</v>
      </c>
      <c r="F18" s="154" t="s">
        <v>136</v>
      </c>
      <c r="G18" s="154" t="s">
        <v>3908</v>
      </c>
      <c r="H18" s="155"/>
      <c r="I18" s="154" t="s">
        <v>135</v>
      </c>
      <c r="J18" s="154" t="s">
        <v>2896</v>
      </c>
      <c r="K18" s="154" t="s">
        <v>2509</v>
      </c>
      <c r="L18" s="17" t="s">
        <v>65</v>
      </c>
      <c r="O18" s="17">
        <v>10.0</v>
      </c>
      <c r="P18" s="17" t="s">
        <v>3822</v>
      </c>
    </row>
    <row r="19">
      <c r="A19" s="153">
        <v>3.0</v>
      </c>
      <c r="B19" s="154" t="s">
        <v>7</v>
      </c>
      <c r="C19" s="154" t="s">
        <v>2576</v>
      </c>
      <c r="D19" s="154" t="s">
        <v>228</v>
      </c>
      <c r="E19" s="154" t="s">
        <v>136</v>
      </c>
      <c r="F19" s="154" t="s">
        <v>136</v>
      </c>
      <c r="G19" s="154" t="s">
        <v>174</v>
      </c>
      <c r="H19" s="155"/>
      <c r="I19" s="154" t="s">
        <v>135</v>
      </c>
      <c r="J19" s="154" t="s">
        <v>2897</v>
      </c>
      <c r="K19" s="154" t="s">
        <v>2509</v>
      </c>
      <c r="L19" s="17" t="s">
        <v>65</v>
      </c>
    </row>
    <row r="20">
      <c r="A20" s="153">
        <v>31.0</v>
      </c>
      <c r="B20" s="154" t="s">
        <v>7</v>
      </c>
      <c r="C20" s="154" t="s">
        <v>184</v>
      </c>
      <c r="D20" s="154" t="s">
        <v>143</v>
      </c>
      <c r="E20" s="154" t="s">
        <v>136</v>
      </c>
      <c r="F20" s="154" t="s">
        <v>136</v>
      </c>
      <c r="G20" s="154" t="s">
        <v>157</v>
      </c>
      <c r="H20" s="155"/>
      <c r="I20" s="154" t="s">
        <v>135</v>
      </c>
      <c r="J20" s="157">
        <v>45755.38402777778</v>
      </c>
      <c r="K20" s="154" t="s">
        <v>2502</v>
      </c>
      <c r="L20" s="17" t="s">
        <v>65</v>
      </c>
    </row>
    <row r="21">
      <c r="A21" s="153">
        <v>9.0</v>
      </c>
      <c r="B21" s="154" t="s">
        <v>7</v>
      </c>
      <c r="C21" s="154" t="s">
        <v>1116</v>
      </c>
      <c r="D21" s="154" t="s">
        <v>197</v>
      </c>
      <c r="E21" s="154" t="s">
        <v>136</v>
      </c>
      <c r="F21" s="154" t="s">
        <v>136</v>
      </c>
      <c r="G21" s="154" t="s">
        <v>401</v>
      </c>
      <c r="H21" s="154" t="s">
        <v>1180</v>
      </c>
      <c r="I21" s="154" t="s">
        <v>135</v>
      </c>
      <c r="J21" s="154" t="s">
        <v>2898</v>
      </c>
      <c r="K21" s="154" t="s">
        <v>2513</v>
      </c>
      <c r="L21" s="17" t="s">
        <v>65</v>
      </c>
    </row>
    <row r="22">
      <c r="A22" s="153">
        <v>30.0</v>
      </c>
      <c r="B22" s="154" t="s">
        <v>6</v>
      </c>
      <c r="C22" s="154" t="s">
        <v>2899</v>
      </c>
      <c r="D22" s="154" t="s">
        <v>233</v>
      </c>
      <c r="E22" s="154" t="s">
        <v>136</v>
      </c>
      <c r="F22" s="154" t="s">
        <v>136</v>
      </c>
      <c r="G22" s="154" t="s">
        <v>185</v>
      </c>
      <c r="H22" s="155"/>
      <c r="I22" s="154" t="s">
        <v>136</v>
      </c>
      <c r="J22" s="157">
        <v>45754.65138888889</v>
      </c>
      <c r="K22" s="154" t="s">
        <v>2513</v>
      </c>
      <c r="L22" s="17" t="s">
        <v>65</v>
      </c>
    </row>
    <row r="23">
      <c r="A23" s="153">
        <v>12.0</v>
      </c>
      <c r="B23" s="154" t="s">
        <v>6</v>
      </c>
      <c r="C23" s="154" t="s">
        <v>142</v>
      </c>
      <c r="D23" s="154" t="s">
        <v>143</v>
      </c>
      <c r="E23" s="154" t="s">
        <v>136</v>
      </c>
      <c r="F23" s="154" t="s">
        <v>136</v>
      </c>
      <c r="G23" s="154" t="s">
        <v>345</v>
      </c>
      <c r="H23" s="155"/>
      <c r="I23" s="154" t="s">
        <v>135</v>
      </c>
      <c r="J23" s="154" t="s">
        <v>2900</v>
      </c>
      <c r="K23" s="154" t="s">
        <v>2509</v>
      </c>
      <c r="L23" s="17" t="s">
        <v>65</v>
      </c>
    </row>
    <row r="24">
      <c r="A24" s="153">
        <v>16.0</v>
      </c>
      <c r="B24" s="154" t="s">
        <v>7</v>
      </c>
      <c r="C24" s="154" t="s">
        <v>1116</v>
      </c>
      <c r="D24" s="154" t="s">
        <v>197</v>
      </c>
      <c r="E24" s="154" t="s">
        <v>136</v>
      </c>
      <c r="F24" s="154" t="s">
        <v>136</v>
      </c>
      <c r="G24" s="154" t="s">
        <v>185</v>
      </c>
      <c r="H24" s="155"/>
      <c r="I24" s="154" t="s">
        <v>135</v>
      </c>
      <c r="J24" s="154" t="s">
        <v>2901</v>
      </c>
      <c r="K24" s="154" t="s">
        <v>185</v>
      </c>
      <c r="L24" s="17" t="s">
        <v>65</v>
      </c>
    </row>
    <row r="25">
      <c r="A25" s="153">
        <v>2.0</v>
      </c>
      <c r="B25" s="154" t="s">
        <v>7</v>
      </c>
      <c r="C25" s="154" t="s">
        <v>167</v>
      </c>
      <c r="D25" s="154" t="s">
        <v>143</v>
      </c>
      <c r="E25" s="154" t="s">
        <v>136</v>
      </c>
      <c r="F25" s="154" t="s">
        <v>136</v>
      </c>
      <c r="G25" s="154" t="s">
        <v>385</v>
      </c>
      <c r="H25" s="155"/>
      <c r="I25" s="154" t="s">
        <v>135</v>
      </c>
      <c r="J25" s="154" t="s">
        <v>2902</v>
      </c>
      <c r="K25" s="154" t="s">
        <v>2509</v>
      </c>
      <c r="L25" s="17" t="s">
        <v>65</v>
      </c>
    </row>
    <row r="26">
      <c r="A26" s="153">
        <v>1.0</v>
      </c>
      <c r="B26" s="154" t="s">
        <v>7</v>
      </c>
      <c r="C26" s="154" t="s">
        <v>2903</v>
      </c>
      <c r="D26" s="154" t="s">
        <v>228</v>
      </c>
      <c r="E26" s="154" t="s">
        <v>136</v>
      </c>
      <c r="F26" s="154" t="s">
        <v>136</v>
      </c>
      <c r="G26" s="154" t="s">
        <v>185</v>
      </c>
      <c r="H26" s="154" t="s">
        <v>2731</v>
      </c>
      <c r="I26" s="154" t="s">
        <v>135</v>
      </c>
      <c r="J26" s="154" t="s">
        <v>2904</v>
      </c>
      <c r="K26" s="154" t="s">
        <v>2502</v>
      </c>
      <c r="L26" s="17" t="s">
        <v>65</v>
      </c>
    </row>
    <row r="27">
      <c r="A27" s="153">
        <v>26.0</v>
      </c>
      <c r="B27" s="154" t="s">
        <v>6</v>
      </c>
      <c r="C27" s="154" t="s">
        <v>338</v>
      </c>
      <c r="D27" s="154" t="s">
        <v>143</v>
      </c>
      <c r="E27" s="154" t="s">
        <v>136</v>
      </c>
      <c r="F27" s="154" t="s">
        <v>136</v>
      </c>
      <c r="G27" s="154" t="s">
        <v>174</v>
      </c>
      <c r="H27" s="155"/>
      <c r="I27" s="154" t="s">
        <v>136</v>
      </c>
      <c r="J27" s="157">
        <v>45754.38125</v>
      </c>
      <c r="K27" s="154" t="s">
        <v>2513</v>
      </c>
      <c r="L27" s="17" t="s">
        <v>65</v>
      </c>
    </row>
    <row r="28">
      <c r="A28" s="153">
        <v>5.0</v>
      </c>
      <c r="B28" s="154" t="s">
        <v>6</v>
      </c>
      <c r="C28" s="154" t="s">
        <v>1116</v>
      </c>
      <c r="D28" s="154" t="s">
        <v>197</v>
      </c>
      <c r="E28" s="154" t="s">
        <v>136</v>
      </c>
      <c r="F28" s="154" t="s">
        <v>136</v>
      </c>
      <c r="G28" s="154" t="s">
        <v>3909</v>
      </c>
      <c r="H28" s="154" t="s">
        <v>2906</v>
      </c>
      <c r="I28" s="154" t="s">
        <v>136</v>
      </c>
      <c r="J28" s="154" t="s">
        <v>2907</v>
      </c>
      <c r="K28" s="154" t="s">
        <v>2509</v>
      </c>
      <c r="L28" s="17" t="s">
        <v>65</v>
      </c>
    </row>
    <row r="29">
      <c r="A29" s="153">
        <v>8.0</v>
      </c>
      <c r="B29" s="154" t="s">
        <v>7</v>
      </c>
      <c r="C29" s="154" t="s">
        <v>1238</v>
      </c>
      <c r="D29" s="154" t="s">
        <v>233</v>
      </c>
      <c r="E29" s="154" t="s">
        <v>136</v>
      </c>
      <c r="F29" s="154" t="s">
        <v>136</v>
      </c>
      <c r="G29" s="154" t="s">
        <v>185</v>
      </c>
      <c r="H29" s="155"/>
      <c r="I29" s="154" t="s">
        <v>135</v>
      </c>
      <c r="J29" s="154" t="s">
        <v>2908</v>
      </c>
      <c r="K29" s="154" t="s">
        <v>2509</v>
      </c>
      <c r="L29" s="17" t="s">
        <v>65</v>
      </c>
    </row>
    <row r="30">
      <c r="A30" s="153">
        <v>24.0</v>
      </c>
      <c r="B30" s="154" t="s">
        <v>7</v>
      </c>
      <c r="C30" s="154" t="s">
        <v>2829</v>
      </c>
      <c r="D30" s="154" t="s">
        <v>202</v>
      </c>
      <c r="E30" s="154" t="s">
        <v>135</v>
      </c>
      <c r="F30" s="154" t="s">
        <v>136</v>
      </c>
      <c r="G30" s="154" t="s">
        <v>3910</v>
      </c>
      <c r="H30" s="155"/>
      <c r="I30" s="154" t="s">
        <v>136</v>
      </c>
      <c r="J30" s="157">
        <v>45750.6875</v>
      </c>
      <c r="K30" s="154" t="s">
        <v>2513</v>
      </c>
      <c r="L30" s="17" t="s">
        <v>65</v>
      </c>
    </row>
    <row r="31">
      <c r="A31" s="153">
        <v>28.0</v>
      </c>
      <c r="B31" s="154" t="s">
        <v>6</v>
      </c>
      <c r="C31" s="154" t="s">
        <v>2899</v>
      </c>
      <c r="D31" s="154" t="s">
        <v>233</v>
      </c>
      <c r="E31" s="154" t="s">
        <v>135</v>
      </c>
      <c r="F31" s="154" t="s">
        <v>136</v>
      </c>
      <c r="G31" s="154" t="s">
        <v>1219</v>
      </c>
      <c r="H31" s="154" t="s">
        <v>1180</v>
      </c>
      <c r="I31" s="154" t="s">
        <v>135</v>
      </c>
      <c r="J31" s="157">
        <v>45754.54375</v>
      </c>
      <c r="K31" s="154" t="s">
        <v>2502</v>
      </c>
      <c r="L31" s="17" t="s">
        <v>65</v>
      </c>
    </row>
    <row r="32">
      <c r="A32" s="153">
        <v>15.0</v>
      </c>
      <c r="B32" s="154" t="s">
        <v>6</v>
      </c>
      <c r="C32" s="154" t="s">
        <v>1282</v>
      </c>
      <c r="D32" s="154" t="s">
        <v>134</v>
      </c>
      <c r="E32" s="154" t="s">
        <v>136</v>
      </c>
      <c r="F32" s="154" t="s">
        <v>136</v>
      </c>
      <c r="G32" s="154" t="s">
        <v>1412</v>
      </c>
      <c r="H32" s="154" t="s">
        <v>404</v>
      </c>
      <c r="I32" s="154" t="s">
        <v>135</v>
      </c>
      <c r="J32" s="154" t="s">
        <v>2910</v>
      </c>
      <c r="K32" s="154" t="s">
        <v>2509</v>
      </c>
      <c r="L32" s="17" t="s">
        <v>65</v>
      </c>
    </row>
    <row r="33">
      <c r="A33" s="153">
        <v>7.0</v>
      </c>
      <c r="B33" s="154" t="s">
        <v>6</v>
      </c>
      <c r="C33" s="154" t="s">
        <v>1282</v>
      </c>
      <c r="D33" s="154" t="s">
        <v>134</v>
      </c>
      <c r="E33" s="154" t="s">
        <v>136</v>
      </c>
      <c r="F33" s="154" t="s">
        <v>135</v>
      </c>
      <c r="G33" s="154" t="s">
        <v>1421</v>
      </c>
      <c r="H33" s="155"/>
      <c r="I33" s="154" t="s">
        <v>135</v>
      </c>
      <c r="J33" s="154" t="s">
        <v>2911</v>
      </c>
      <c r="K33" s="154" t="s">
        <v>2509</v>
      </c>
      <c r="L33" s="17" t="s">
        <v>65</v>
      </c>
    </row>
    <row r="34">
      <c r="A34" s="153">
        <v>13.0</v>
      </c>
      <c r="B34" s="154" t="s">
        <v>6</v>
      </c>
      <c r="C34" s="154" t="s">
        <v>2912</v>
      </c>
      <c r="D34" s="154" t="s">
        <v>134</v>
      </c>
      <c r="E34" s="154" t="s">
        <v>136</v>
      </c>
      <c r="F34" s="154" t="s">
        <v>136</v>
      </c>
      <c r="G34" s="154" t="s">
        <v>401</v>
      </c>
      <c r="H34" s="154" t="s">
        <v>2913</v>
      </c>
      <c r="I34" s="154" t="s">
        <v>135</v>
      </c>
      <c r="J34" s="154" t="s">
        <v>2914</v>
      </c>
      <c r="K34" s="154" t="s">
        <v>2509</v>
      </c>
      <c r="L34" s="17" t="s">
        <v>65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38.29"/>
  </cols>
  <sheetData>
    <row r="1">
      <c r="A1" s="165" t="s">
        <v>116</v>
      </c>
      <c r="B1" s="165" t="s">
        <v>117</v>
      </c>
      <c r="C1" s="165" t="s">
        <v>118</v>
      </c>
      <c r="D1" s="165" t="s">
        <v>119</v>
      </c>
      <c r="E1" s="165" t="s">
        <v>120</v>
      </c>
      <c r="F1" s="165" t="s">
        <v>121</v>
      </c>
      <c r="G1" s="165" t="s">
        <v>122</v>
      </c>
      <c r="H1" s="165" t="s">
        <v>123</v>
      </c>
      <c r="I1" s="165" t="s">
        <v>3769</v>
      </c>
      <c r="J1" s="165" t="s">
        <v>125</v>
      </c>
      <c r="K1" s="165" t="s">
        <v>3770</v>
      </c>
      <c r="L1" s="165" t="s">
        <v>3771</v>
      </c>
      <c r="M1" s="165"/>
      <c r="N1" s="123" t="s">
        <v>129</v>
      </c>
      <c r="O1" s="123" t="s">
        <v>130</v>
      </c>
      <c r="P1" s="123" t="s">
        <v>131</v>
      </c>
    </row>
    <row r="2">
      <c r="A2" s="153">
        <v>17.0</v>
      </c>
      <c r="B2" s="154" t="s">
        <v>7</v>
      </c>
      <c r="C2" s="154" t="s">
        <v>2563</v>
      </c>
      <c r="D2" s="154" t="s">
        <v>228</v>
      </c>
      <c r="E2" s="154" t="s">
        <v>135</v>
      </c>
      <c r="F2" s="154" t="s">
        <v>136</v>
      </c>
      <c r="G2" s="154" t="s">
        <v>185</v>
      </c>
      <c r="H2" s="165" t="s">
        <v>2564</v>
      </c>
      <c r="I2" s="154" t="s">
        <v>136</v>
      </c>
      <c r="J2" s="157">
        <v>45687.739583333336</v>
      </c>
      <c r="K2" s="154" t="s">
        <v>2502</v>
      </c>
      <c r="L2" s="156" t="s">
        <v>64</v>
      </c>
      <c r="M2" s="156"/>
      <c r="N2" s="54" t="str">
        <f t="array" ref="N2:N17">UNIQUE(D2:D120)</f>
        <v>Poland</v>
      </c>
      <c r="O2" s="54">
        <f t="shared" ref="O2:O16" si="1">COUNTIF(D$2:D$120,N2)</f>
        <v>5</v>
      </c>
      <c r="P2" s="142" t="str">
        <f t="array" ref="P2">XLOOKUP(N2,Countries!A$2:A$98,Countries!B$2:B$98,"tbd",0)</f>
        <v>widening countries</v>
      </c>
    </row>
    <row r="3">
      <c r="A3" s="153">
        <v>6.0</v>
      </c>
      <c r="B3" s="154" t="s">
        <v>7</v>
      </c>
      <c r="C3" s="154" t="s">
        <v>1995</v>
      </c>
      <c r="D3" s="154" t="s">
        <v>164</v>
      </c>
      <c r="E3" s="154" t="s">
        <v>135</v>
      </c>
      <c r="F3" s="154" t="s">
        <v>136</v>
      </c>
      <c r="G3" s="165" t="s">
        <v>157</v>
      </c>
      <c r="H3" s="155"/>
      <c r="I3" s="154" t="s">
        <v>135</v>
      </c>
      <c r="J3" s="154" t="s">
        <v>2565</v>
      </c>
      <c r="K3" s="154" t="s">
        <v>185</v>
      </c>
      <c r="L3" s="156" t="s">
        <v>64</v>
      </c>
      <c r="M3" s="156"/>
      <c r="N3" s="16" t="s">
        <v>164</v>
      </c>
      <c r="O3" s="7">
        <f t="shared" si="1"/>
        <v>7</v>
      </c>
      <c r="P3" s="215" t="str">
        <f t="array" ref="P3">XLOOKUP(N3,Countries!A$2:A$98,Countries!B$2:B$98,"tbd",0)</f>
        <v>Europe</v>
      </c>
    </row>
    <row r="4">
      <c r="A4" s="153">
        <v>2.0</v>
      </c>
      <c r="B4" s="154" t="s">
        <v>7</v>
      </c>
      <c r="C4" s="154" t="s">
        <v>235</v>
      </c>
      <c r="D4" s="154" t="s">
        <v>164</v>
      </c>
      <c r="E4" s="154" t="s">
        <v>136</v>
      </c>
      <c r="F4" s="154" t="s">
        <v>136</v>
      </c>
      <c r="G4" s="154" t="s">
        <v>401</v>
      </c>
      <c r="H4" s="155"/>
      <c r="I4" s="154" t="s">
        <v>135</v>
      </c>
      <c r="J4" s="157">
        <v>45622.467361111114</v>
      </c>
      <c r="K4" s="154" t="s">
        <v>2502</v>
      </c>
      <c r="L4" s="156" t="s">
        <v>64</v>
      </c>
      <c r="M4" s="156"/>
      <c r="N4" s="16" t="s">
        <v>197</v>
      </c>
      <c r="O4" s="7">
        <f t="shared" si="1"/>
        <v>5</v>
      </c>
      <c r="P4" s="215" t="str">
        <f t="array" ref="P4">XLOOKUP(N4,Countries!A$2:A$98,Countries!B$2:B$98,"tbd",0)</f>
        <v>Europe</v>
      </c>
    </row>
    <row r="5">
      <c r="A5" s="153">
        <v>10.0</v>
      </c>
      <c r="B5" s="154" t="s">
        <v>6</v>
      </c>
      <c r="C5" s="154" t="s">
        <v>1116</v>
      </c>
      <c r="D5" s="154" t="s">
        <v>197</v>
      </c>
      <c r="E5" s="154" t="s">
        <v>135</v>
      </c>
      <c r="F5" s="154" t="s">
        <v>136</v>
      </c>
      <c r="G5" s="165" t="s">
        <v>241</v>
      </c>
      <c r="H5" s="155"/>
      <c r="I5" s="154" t="s">
        <v>136</v>
      </c>
      <c r="J5" s="157">
        <v>45674.90902777778</v>
      </c>
      <c r="K5" s="154" t="s">
        <v>2502</v>
      </c>
      <c r="L5" s="156" t="s">
        <v>64</v>
      </c>
      <c r="M5" s="156"/>
      <c r="N5" s="16" t="s">
        <v>134</v>
      </c>
      <c r="O5" s="7">
        <f t="shared" si="1"/>
        <v>3</v>
      </c>
      <c r="P5" s="215" t="str">
        <f t="array" ref="P5">XLOOKUP(N5,Countries!A$2:A$98,Countries!B$2:B$98,"tbd",0)</f>
        <v>Europe</v>
      </c>
    </row>
    <row r="6">
      <c r="A6" s="153">
        <v>29.0</v>
      </c>
      <c r="B6" s="154" t="s">
        <v>7</v>
      </c>
      <c r="C6" s="154" t="s">
        <v>2566</v>
      </c>
      <c r="D6" s="154" t="s">
        <v>134</v>
      </c>
      <c r="E6" s="154" t="s">
        <v>135</v>
      </c>
      <c r="F6" s="154" t="s">
        <v>136</v>
      </c>
      <c r="G6" s="165" t="s">
        <v>150</v>
      </c>
      <c r="H6" s="155"/>
      <c r="I6" s="154" t="s">
        <v>135</v>
      </c>
      <c r="J6" s="157">
        <v>45691.57916666667</v>
      </c>
      <c r="K6" s="154" t="s">
        <v>2509</v>
      </c>
      <c r="L6" s="156" t="s">
        <v>64</v>
      </c>
      <c r="M6" s="156"/>
      <c r="N6" s="83" t="s">
        <v>233</v>
      </c>
      <c r="O6" s="54">
        <f t="shared" si="1"/>
        <v>6</v>
      </c>
      <c r="P6" s="142" t="str">
        <f t="array" ref="P6">XLOOKUP(N6,Countries!A$2:A$98,Countries!B$2:B$98,"tbd",0)</f>
        <v>widening countries</v>
      </c>
    </row>
    <row r="7">
      <c r="A7" s="153">
        <v>42.0</v>
      </c>
      <c r="B7" s="154" t="s">
        <v>7</v>
      </c>
      <c r="C7" s="154" t="s">
        <v>2567</v>
      </c>
      <c r="D7" s="154" t="s">
        <v>233</v>
      </c>
      <c r="E7" s="154" t="s">
        <v>136</v>
      </c>
      <c r="F7" s="154" t="s">
        <v>136</v>
      </c>
      <c r="G7" s="154" t="s">
        <v>185</v>
      </c>
      <c r="H7" s="165" t="s">
        <v>1209</v>
      </c>
      <c r="I7" s="154" t="s">
        <v>135</v>
      </c>
      <c r="J7" s="157">
        <v>45702.525</v>
      </c>
      <c r="K7" s="154" t="s">
        <v>2513</v>
      </c>
      <c r="L7" s="156" t="s">
        <v>64</v>
      </c>
      <c r="M7" s="156"/>
      <c r="N7" s="83" t="s">
        <v>213</v>
      </c>
      <c r="O7" s="54">
        <f t="shared" si="1"/>
        <v>3</v>
      </c>
      <c r="P7" s="142" t="str">
        <f t="array" ref="P7">XLOOKUP(N7,Countries!A$2:A$98,Countries!B$2:B$98,"tbd",0)</f>
        <v>widening countries</v>
      </c>
    </row>
    <row r="8">
      <c r="A8" s="153">
        <v>53.0</v>
      </c>
      <c r="B8" s="154" t="s">
        <v>6</v>
      </c>
      <c r="C8" s="154" t="s">
        <v>1134</v>
      </c>
      <c r="D8" s="154" t="s">
        <v>233</v>
      </c>
      <c r="E8" s="154" t="s">
        <v>136</v>
      </c>
      <c r="F8" s="154" t="s">
        <v>136</v>
      </c>
      <c r="G8" s="154" t="s">
        <v>174</v>
      </c>
      <c r="H8" s="155"/>
      <c r="I8" s="154" t="s">
        <v>135</v>
      </c>
      <c r="J8" s="157">
        <v>45713.415972222225</v>
      </c>
      <c r="K8" s="154" t="s">
        <v>2502</v>
      </c>
      <c r="L8" s="156" t="s">
        <v>64</v>
      </c>
      <c r="M8" s="156"/>
      <c r="N8" s="83" t="s">
        <v>302</v>
      </c>
      <c r="O8" s="54">
        <f t="shared" si="1"/>
        <v>4</v>
      </c>
      <c r="P8" s="142" t="str">
        <f t="array" ref="P8">XLOOKUP(N8,Countries!A$2:A$98,Countries!B$2:B$98,"tbd",0)</f>
        <v>associated countries</v>
      </c>
    </row>
    <row r="9">
      <c r="A9" s="153">
        <v>39.0</v>
      </c>
      <c r="B9" s="154" t="s">
        <v>6</v>
      </c>
      <c r="C9" s="154" t="s">
        <v>560</v>
      </c>
      <c r="D9" s="154" t="s">
        <v>213</v>
      </c>
      <c r="E9" s="154" t="s">
        <v>135</v>
      </c>
      <c r="F9" s="154" t="s">
        <v>136</v>
      </c>
      <c r="G9" s="154" t="s">
        <v>3911</v>
      </c>
      <c r="H9" s="155"/>
      <c r="I9" s="154" t="s">
        <v>135</v>
      </c>
      <c r="J9" s="157">
        <v>45695.4625</v>
      </c>
      <c r="K9" s="154" t="s">
        <v>2509</v>
      </c>
      <c r="L9" s="156" t="s">
        <v>64</v>
      </c>
      <c r="M9" s="156"/>
      <c r="N9" s="16" t="s">
        <v>202</v>
      </c>
      <c r="O9" s="7">
        <f t="shared" si="1"/>
        <v>4</v>
      </c>
      <c r="P9" s="215" t="str">
        <f t="array" ref="P9">XLOOKUP(N9,Countries!A$2:A$98,Countries!B$2:B$98,"tbd",0)</f>
        <v>Europe</v>
      </c>
    </row>
    <row r="10">
      <c r="A10" s="153">
        <v>4.0</v>
      </c>
      <c r="B10" s="154" t="s">
        <v>7</v>
      </c>
      <c r="C10" s="154" t="s">
        <v>195</v>
      </c>
      <c r="D10" s="154" t="s">
        <v>164</v>
      </c>
      <c r="E10" s="154" t="s">
        <v>136</v>
      </c>
      <c r="F10" s="154" t="s">
        <v>136</v>
      </c>
      <c r="G10" s="154" t="s">
        <v>174</v>
      </c>
      <c r="H10" s="155"/>
      <c r="I10" s="154" t="s">
        <v>135</v>
      </c>
      <c r="J10" s="157">
        <v>45624.51944444444</v>
      </c>
      <c r="K10" s="154" t="s">
        <v>2513</v>
      </c>
      <c r="L10" s="156" t="s">
        <v>64</v>
      </c>
      <c r="M10" s="156"/>
      <c r="N10" s="83" t="s">
        <v>209</v>
      </c>
      <c r="O10" s="54">
        <f t="shared" si="1"/>
        <v>2</v>
      </c>
      <c r="P10" s="142" t="str">
        <f t="array" ref="P10">XLOOKUP(N10,Countries!A$2:A$98,Countries!B$2:B$98,"tbd",0)</f>
        <v>associated countries</v>
      </c>
    </row>
    <row r="11">
      <c r="A11" s="153">
        <v>35.0</v>
      </c>
      <c r="B11" s="154" t="s">
        <v>6</v>
      </c>
      <c r="C11" s="154" t="s">
        <v>2569</v>
      </c>
      <c r="D11" s="154" t="s">
        <v>302</v>
      </c>
      <c r="E11" s="154" t="s">
        <v>136</v>
      </c>
      <c r="F11" s="154" t="s">
        <v>136</v>
      </c>
      <c r="G11" s="154" t="s">
        <v>157</v>
      </c>
      <c r="H11" s="155"/>
      <c r="I11" s="154" t="s">
        <v>135</v>
      </c>
      <c r="J11" s="157">
        <v>45693.36875</v>
      </c>
      <c r="K11" s="154" t="s">
        <v>2513</v>
      </c>
      <c r="L11" s="156" t="s">
        <v>64</v>
      </c>
      <c r="M11" s="156"/>
      <c r="N11" s="83" t="s">
        <v>352</v>
      </c>
      <c r="O11" s="54">
        <f t="shared" si="1"/>
        <v>1</v>
      </c>
      <c r="P11" s="142" t="str">
        <f t="array" ref="P11">XLOOKUP(N11,Countries!A$2:A$98,Countries!B$2:B$98,"tbd",0)</f>
        <v>widening countries</v>
      </c>
    </row>
    <row r="12">
      <c r="A12" s="153">
        <v>49.0</v>
      </c>
      <c r="B12" s="154" t="s">
        <v>7</v>
      </c>
      <c r="C12" s="154" t="s">
        <v>2570</v>
      </c>
      <c r="D12" s="154" t="s">
        <v>164</v>
      </c>
      <c r="E12" s="154" t="s">
        <v>136</v>
      </c>
      <c r="F12" s="154" t="s">
        <v>136</v>
      </c>
      <c r="G12" s="165" t="s">
        <v>144</v>
      </c>
      <c r="H12" s="155"/>
      <c r="I12" s="154" t="s">
        <v>135</v>
      </c>
      <c r="J12" s="157">
        <v>45712.73333333333</v>
      </c>
      <c r="K12" s="154" t="s">
        <v>2509</v>
      </c>
      <c r="L12" s="156" t="s">
        <v>64</v>
      </c>
      <c r="M12" s="156"/>
      <c r="N12" s="16" t="s">
        <v>143</v>
      </c>
      <c r="O12" s="7">
        <f t="shared" si="1"/>
        <v>8</v>
      </c>
      <c r="P12" s="215" t="str">
        <f t="array" ref="P12">XLOOKUP(N12,Countries!A$2:A$98,Countries!B$2:B$98,"tbd",0)</f>
        <v>Europe</v>
      </c>
    </row>
    <row r="13">
      <c r="A13" s="153">
        <v>50.0</v>
      </c>
      <c r="B13" s="154" t="s">
        <v>6</v>
      </c>
      <c r="C13" s="154" t="s">
        <v>240</v>
      </c>
      <c r="D13" s="154" t="s">
        <v>197</v>
      </c>
      <c r="E13" s="154" t="s">
        <v>136</v>
      </c>
      <c r="F13" s="154" t="s">
        <v>136</v>
      </c>
      <c r="G13" s="154" t="s">
        <v>241</v>
      </c>
      <c r="H13" s="155"/>
      <c r="I13" s="154" t="s">
        <v>135</v>
      </c>
      <c r="J13" s="157">
        <v>45713.37847222222</v>
      </c>
      <c r="K13" s="154" t="s">
        <v>2509</v>
      </c>
      <c r="L13" s="156" t="s">
        <v>64</v>
      </c>
      <c r="M13" s="156"/>
      <c r="N13" s="83" t="s">
        <v>218</v>
      </c>
      <c r="O13" s="54">
        <f t="shared" si="1"/>
        <v>3</v>
      </c>
      <c r="P13" s="142" t="str">
        <f t="array" ref="P13">XLOOKUP(N13,Countries!A$2:A$98,Countries!B$2:B$98,"tbd",0)</f>
        <v>associated countries</v>
      </c>
    </row>
    <row r="14">
      <c r="A14" s="153">
        <v>27.0</v>
      </c>
      <c r="B14" s="154" t="s">
        <v>6</v>
      </c>
      <c r="C14" s="154" t="s">
        <v>245</v>
      </c>
      <c r="D14" s="154" t="s">
        <v>202</v>
      </c>
      <c r="E14" s="154" t="s">
        <v>136</v>
      </c>
      <c r="F14" s="154" t="s">
        <v>136</v>
      </c>
      <c r="G14" s="154" t="s">
        <v>3912</v>
      </c>
      <c r="H14" s="155"/>
      <c r="I14" s="154" t="s">
        <v>135</v>
      </c>
      <c r="J14" s="157">
        <v>45689.436111111114</v>
      </c>
      <c r="K14" s="154" t="s">
        <v>2509</v>
      </c>
      <c r="L14" s="156" t="s">
        <v>64</v>
      </c>
      <c r="M14" s="156"/>
      <c r="N14" s="216" t="s">
        <v>290</v>
      </c>
      <c r="O14" s="217">
        <f t="shared" si="1"/>
        <v>1</v>
      </c>
      <c r="P14" s="218" t="str">
        <f t="array" ref="P14">XLOOKUP(N14,Countries!A$2:A$98,Countries!B$2:B$98,"tbd",0)</f>
        <v>Middle East</v>
      </c>
    </row>
    <row r="15">
      <c r="A15" s="153">
        <v>30.0</v>
      </c>
      <c r="B15" s="154" t="s">
        <v>7</v>
      </c>
      <c r="C15" s="154" t="s">
        <v>250</v>
      </c>
      <c r="D15" s="154" t="s">
        <v>209</v>
      </c>
      <c r="E15" s="154" t="s">
        <v>135</v>
      </c>
      <c r="F15" s="154" t="s">
        <v>136</v>
      </c>
      <c r="G15" s="154" t="s">
        <v>1872</v>
      </c>
      <c r="H15" s="154" t="s">
        <v>2572</v>
      </c>
      <c r="I15" s="154" t="s">
        <v>135</v>
      </c>
      <c r="J15" s="157">
        <v>45691.660416666666</v>
      </c>
      <c r="K15" s="154" t="s">
        <v>2509</v>
      </c>
      <c r="L15" s="156" t="s">
        <v>64</v>
      </c>
      <c r="M15" s="156"/>
      <c r="N15" s="83" t="s">
        <v>268</v>
      </c>
      <c r="O15" s="54">
        <f t="shared" si="1"/>
        <v>1</v>
      </c>
      <c r="P15" s="142" t="str">
        <f t="array" ref="P15">XLOOKUP(N15,Countries!A$2:A$98,Countries!B$2:B$98,"tbd",0)</f>
        <v>associated countries</v>
      </c>
    </row>
    <row r="16">
      <c r="A16" s="153">
        <v>48.0</v>
      </c>
      <c r="B16" s="154" t="s">
        <v>6</v>
      </c>
      <c r="C16" s="154" t="s">
        <v>1134</v>
      </c>
      <c r="D16" s="154" t="s">
        <v>233</v>
      </c>
      <c r="E16" s="154" t="s">
        <v>135</v>
      </c>
      <c r="F16" s="154" t="s">
        <v>136</v>
      </c>
      <c r="G16" s="154" t="s">
        <v>1353</v>
      </c>
      <c r="H16" s="155"/>
      <c r="I16" s="154" t="s">
        <v>135</v>
      </c>
      <c r="J16" s="157">
        <v>45712.55347222222</v>
      </c>
      <c r="K16" s="154" t="s">
        <v>2513</v>
      </c>
      <c r="L16" s="156" t="s">
        <v>64</v>
      </c>
      <c r="M16" s="156"/>
      <c r="N16" s="16" t="s">
        <v>187</v>
      </c>
      <c r="O16" s="7">
        <f t="shared" si="1"/>
        <v>1</v>
      </c>
      <c r="P16" s="215" t="str">
        <f t="array" ref="P16">XLOOKUP(N16,Countries!A$2:A$98,Countries!B$2:B$98,"tbd",0)</f>
        <v>Europe</v>
      </c>
    </row>
    <row r="17">
      <c r="A17" s="153">
        <v>43.0</v>
      </c>
      <c r="B17" s="154" t="s">
        <v>6</v>
      </c>
      <c r="C17" s="154" t="s">
        <v>2573</v>
      </c>
      <c r="D17" s="154" t="s">
        <v>302</v>
      </c>
      <c r="E17" s="154" t="s">
        <v>136</v>
      </c>
      <c r="F17" s="154" t="s">
        <v>136</v>
      </c>
      <c r="G17" s="154" t="s">
        <v>3913</v>
      </c>
      <c r="H17" s="155"/>
      <c r="I17" s="154" t="s">
        <v>136</v>
      </c>
      <c r="J17" s="157">
        <v>45703.85833333333</v>
      </c>
      <c r="K17" s="154" t="s">
        <v>2513</v>
      </c>
      <c r="L17" s="156" t="s">
        <v>64</v>
      </c>
      <c r="M17" s="156"/>
      <c r="N17" s="16"/>
      <c r="O17" s="16">
        <f>SUM(O2:O16)</f>
        <v>54</v>
      </c>
    </row>
    <row r="18">
      <c r="A18" s="153">
        <v>45.0</v>
      </c>
      <c r="B18" s="154" t="s">
        <v>6</v>
      </c>
      <c r="C18" s="154" t="s">
        <v>2575</v>
      </c>
      <c r="D18" s="154" t="s">
        <v>202</v>
      </c>
      <c r="E18" s="154" t="s">
        <v>135</v>
      </c>
      <c r="F18" s="154" t="s">
        <v>136</v>
      </c>
      <c r="G18" s="154" t="s">
        <v>335</v>
      </c>
      <c r="H18" s="154" t="s">
        <v>1922</v>
      </c>
      <c r="I18" s="154" t="s">
        <v>135</v>
      </c>
      <c r="J18" s="157">
        <v>45706.45416666667</v>
      </c>
      <c r="K18" s="154" t="s">
        <v>2513</v>
      </c>
      <c r="L18" s="156" t="s">
        <v>64</v>
      </c>
      <c r="M18" s="156"/>
    </row>
    <row r="19">
      <c r="A19" s="153">
        <v>32.0</v>
      </c>
      <c r="B19" s="154" t="s">
        <v>6</v>
      </c>
      <c r="C19" s="154" t="s">
        <v>149</v>
      </c>
      <c r="D19" s="154" t="s">
        <v>134</v>
      </c>
      <c r="E19" s="154" t="s">
        <v>136</v>
      </c>
      <c r="F19" s="154" t="s">
        <v>136</v>
      </c>
      <c r="G19" s="154" t="s">
        <v>157</v>
      </c>
      <c r="H19" s="155"/>
      <c r="I19" s="154" t="s">
        <v>135</v>
      </c>
      <c r="J19" s="157">
        <v>45692.6875</v>
      </c>
      <c r="K19" s="154" t="s">
        <v>2509</v>
      </c>
      <c r="L19" s="156" t="s">
        <v>64</v>
      </c>
      <c r="M19" s="156"/>
    </row>
    <row r="20">
      <c r="A20" s="153">
        <v>20.0</v>
      </c>
      <c r="B20" s="154" t="s">
        <v>7</v>
      </c>
      <c r="C20" s="154" t="s">
        <v>250</v>
      </c>
      <c r="D20" s="154" t="s">
        <v>209</v>
      </c>
      <c r="E20" s="154" t="s">
        <v>136</v>
      </c>
      <c r="F20" s="154" t="s">
        <v>136</v>
      </c>
      <c r="G20" s="154" t="s">
        <v>385</v>
      </c>
      <c r="H20" s="155"/>
      <c r="I20" s="154" t="s">
        <v>135</v>
      </c>
      <c r="J20" s="157">
        <v>45688.430555555555</v>
      </c>
      <c r="K20" s="154" t="s">
        <v>2509</v>
      </c>
      <c r="L20" s="156" t="s">
        <v>64</v>
      </c>
      <c r="M20" s="156"/>
      <c r="O20" s="17">
        <v>25.0</v>
      </c>
      <c r="P20" s="17" t="s">
        <v>3818</v>
      </c>
    </row>
    <row r="21">
      <c r="A21" s="153">
        <v>9.0</v>
      </c>
      <c r="B21" s="154" t="s">
        <v>7</v>
      </c>
      <c r="C21" s="154" t="s">
        <v>560</v>
      </c>
      <c r="D21" s="154" t="s">
        <v>213</v>
      </c>
      <c r="E21" s="154" t="s">
        <v>135</v>
      </c>
      <c r="F21" s="154" t="s">
        <v>136</v>
      </c>
      <c r="G21" s="154" t="s">
        <v>231</v>
      </c>
      <c r="H21" s="155"/>
      <c r="I21" s="154" t="s">
        <v>136</v>
      </c>
      <c r="J21" s="157">
        <v>45666.004166666666</v>
      </c>
      <c r="K21" s="154" t="s">
        <v>2502</v>
      </c>
      <c r="L21" s="156" t="s">
        <v>64</v>
      </c>
      <c r="M21" s="156"/>
      <c r="O21" s="17">
        <v>1.0</v>
      </c>
      <c r="P21" s="17" t="s">
        <v>22</v>
      </c>
    </row>
    <row r="22">
      <c r="A22" s="153">
        <v>33.0</v>
      </c>
      <c r="B22" s="154" t="s">
        <v>7</v>
      </c>
      <c r="C22" s="154" t="s">
        <v>2576</v>
      </c>
      <c r="D22" s="154" t="s">
        <v>228</v>
      </c>
      <c r="E22" s="154" t="s">
        <v>136</v>
      </c>
      <c r="F22" s="154" t="s">
        <v>136</v>
      </c>
      <c r="G22" s="154" t="s">
        <v>174</v>
      </c>
      <c r="H22" s="155"/>
      <c r="I22" s="154" t="s">
        <v>135</v>
      </c>
      <c r="J22" s="157">
        <v>45692.802777777775</v>
      </c>
      <c r="K22" s="154" t="s">
        <v>2509</v>
      </c>
      <c r="L22" s="156" t="s">
        <v>64</v>
      </c>
      <c r="M22" s="156"/>
      <c r="O22" s="17">
        <v>15.0</v>
      </c>
      <c r="P22" s="17" t="s">
        <v>3821</v>
      </c>
    </row>
    <row r="23">
      <c r="A23" s="153">
        <v>15.0</v>
      </c>
      <c r="B23" s="154" t="s">
        <v>6</v>
      </c>
      <c r="C23" s="154" t="s">
        <v>1931</v>
      </c>
      <c r="D23" s="154" t="s">
        <v>352</v>
      </c>
      <c r="E23" s="154" t="s">
        <v>135</v>
      </c>
      <c r="F23" s="154" t="s">
        <v>136</v>
      </c>
      <c r="G23" s="154" t="s">
        <v>3914</v>
      </c>
      <c r="H23" s="154" t="s">
        <v>2578</v>
      </c>
      <c r="I23" s="154" t="s">
        <v>136</v>
      </c>
      <c r="J23" s="157">
        <v>45687.52847222222</v>
      </c>
      <c r="K23" s="154" t="s">
        <v>2502</v>
      </c>
      <c r="L23" s="156" t="s">
        <v>64</v>
      </c>
      <c r="M23" s="156"/>
      <c r="O23" s="17">
        <v>16.0</v>
      </c>
      <c r="P23" s="17" t="s">
        <v>3822</v>
      </c>
    </row>
    <row r="24">
      <c r="A24" s="153">
        <v>51.0</v>
      </c>
      <c r="B24" s="154" t="s">
        <v>7</v>
      </c>
      <c r="C24" s="154" t="s">
        <v>184</v>
      </c>
      <c r="D24" s="154" t="s">
        <v>143</v>
      </c>
      <c r="E24" s="154" t="s">
        <v>136</v>
      </c>
      <c r="F24" s="154" t="s">
        <v>136</v>
      </c>
      <c r="G24" s="154" t="s">
        <v>174</v>
      </c>
      <c r="H24" s="155"/>
      <c r="I24" s="154" t="s">
        <v>135</v>
      </c>
      <c r="J24" s="157">
        <v>45713.39722222222</v>
      </c>
      <c r="K24" s="154" t="s">
        <v>2502</v>
      </c>
      <c r="L24" s="156" t="s">
        <v>64</v>
      </c>
      <c r="M24" s="156"/>
    </row>
    <row r="25">
      <c r="A25" s="153">
        <v>12.0</v>
      </c>
      <c r="B25" s="154" t="s">
        <v>7</v>
      </c>
      <c r="C25" s="154" t="s">
        <v>1116</v>
      </c>
      <c r="D25" s="154" t="s">
        <v>197</v>
      </c>
      <c r="E25" s="154" t="s">
        <v>136</v>
      </c>
      <c r="F25" s="154" t="s">
        <v>136</v>
      </c>
      <c r="G25" s="154" t="s">
        <v>401</v>
      </c>
      <c r="H25" s="155"/>
      <c r="I25" s="154" t="s">
        <v>135</v>
      </c>
      <c r="J25" s="157">
        <v>45681.54861111111</v>
      </c>
      <c r="K25" s="154" t="s">
        <v>2502</v>
      </c>
      <c r="L25" s="156" t="s">
        <v>64</v>
      </c>
      <c r="M25" s="156"/>
    </row>
    <row r="26">
      <c r="A26" s="153">
        <v>26.0</v>
      </c>
      <c r="B26" s="154" t="s">
        <v>6</v>
      </c>
      <c r="C26" s="154" t="s">
        <v>142</v>
      </c>
      <c r="D26" s="154" t="s">
        <v>143</v>
      </c>
      <c r="E26" s="154" t="s">
        <v>136</v>
      </c>
      <c r="F26" s="154" t="s">
        <v>136</v>
      </c>
      <c r="G26" s="154" t="s">
        <v>144</v>
      </c>
      <c r="H26" s="155"/>
      <c r="I26" s="154" t="s">
        <v>135</v>
      </c>
      <c r="J26" s="157">
        <v>45688.70208333333</v>
      </c>
      <c r="K26" s="154" t="s">
        <v>2509</v>
      </c>
      <c r="L26" s="156" t="s">
        <v>64</v>
      </c>
      <c r="M26" s="156"/>
    </row>
    <row r="27">
      <c r="A27" s="153">
        <v>18.0</v>
      </c>
      <c r="B27" s="154" t="s">
        <v>6</v>
      </c>
      <c r="C27" s="154" t="s">
        <v>2579</v>
      </c>
      <c r="D27" s="154" t="s">
        <v>164</v>
      </c>
      <c r="E27" s="154" t="s">
        <v>136</v>
      </c>
      <c r="F27" s="154" t="s">
        <v>136</v>
      </c>
      <c r="G27" s="154" t="s">
        <v>185</v>
      </c>
      <c r="H27" s="165" t="s">
        <v>2580</v>
      </c>
      <c r="I27" s="154" t="s">
        <v>135</v>
      </c>
      <c r="J27" s="157">
        <v>45688.424305555556</v>
      </c>
      <c r="K27" s="154" t="s">
        <v>2513</v>
      </c>
      <c r="L27" s="156" t="s">
        <v>64</v>
      </c>
      <c r="M27" s="156"/>
    </row>
    <row r="28">
      <c r="A28" s="153">
        <v>54.0</v>
      </c>
      <c r="B28" s="154" t="s">
        <v>6</v>
      </c>
      <c r="C28" s="154" t="s">
        <v>366</v>
      </c>
      <c r="D28" s="154" t="s">
        <v>218</v>
      </c>
      <c r="E28" s="154" t="s">
        <v>136</v>
      </c>
      <c r="F28" s="154" t="s">
        <v>136</v>
      </c>
      <c r="G28" s="154" t="s">
        <v>320</v>
      </c>
      <c r="H28" s="155"/>
      <c r="I28" s="154" t="s">
        <v>135</v>
      </c>
      <c r="J28" s="157">
        <v>45713.41875</v>
      </c>
      <c r="K28" s="154" t="s">
        <v>2509</v>
      </c>
      <c r="L28" s="156" t="s">
        <v>64</v>
      </c>
      <c r="M28" s="156"/>
    </row>
    <row r="29">
      <c r="A29" s="153">
        <v>3.0</v>
      </c>
      <c r="B29" s="154" t="s">
        <v>7</v>
      </c>
      <c r="C29" s="154" t="s">
        <v>1116</v>
      </c>
      <c r="D29" s="154" t="s">
        <v>197</v>
      </c>
      <c r="E29" s="154" t="s">
        <v>136</v>
      </c>
      <c r="F29" s="154" t="s">
        <v>136</v>
      </c>
      <c r="G29" s="154" t="s">
        <v>599</v>
      </c>
      <c r="H29" s="155"/>
      <c r="I29" s="154" t="s">
        <v>135</v>
      </c>
      <c r="J29" s="157">
        <v>45622.47152777778</v>
      </c>
      <c r="K29" s="154" t="s">
        <v>185</v>
      </c>
      <c r="L29" s="156" t="s">
        <v>64</v>
      </c>
      <c r="M29" s="156"/>
    </row>
    <row r="30">
      <c r="A30" s="153">
        <v>24.0</v>
      </c>
      <c r="B30" s="154" t="s">
        <v>7</v>
      </c>
      <c r="C30" s="154" t="s">
        <v>167</v>
      </c>
      <c r="D30" s="154" t="s">
        <v>143</v>
      </c>
      <c r="E30" s="154" t="s">
        <v>136</v>
      </c>
      <c r="F30" s="154" t="s">
        <v>136</v>
      </c>
      <c r="G30" s="154" t="s">
        <v>1393</v>
      </c>
      <c r="H30" s="155"/>
      <c r="I30" s="154" t="s">
        <v>135</v>
      </c>
      <c r="J30" s="157">
        <v>45688.62222222222</v>
      </c>
      <c r="K30" s="154" t="s">
        <v>2509</v>
      </c>
      <c r="L30" s="156" t="s">
        <v>64</v>
      </c>
      <c r="M30" s="156"/>
    </row>
    <row r="31">
      <c r="A31" s="153">
        <v>25.0</v>
      </c>
      <c r="B31" s="154" t="s">
        <v>7</v>
      </c>
      <c r="C31" s="154" t="s">
        <v>2581</v>
      </c>
      <c r="D31" s="154" t="s">
        <v>143</v>
      </c>
      <c r="E31" s="154" t="s">
        <v>136</v>
      </c>
      <c r="F31" s="154" t="s">
        <v>136</v>
      </c>
      <c r="G31" s="154" t="s">
        <v>2582</v>
      </c>
      <c r="H31" s="165" t="s">
        <v>2583</v>
      </c>
      <c r="I31" s="154" t="s">
        <v>136</v>
      </c>
      <c r="J31" s="157">
        <v>45688.625</v>
      </c>
      <c r="K31" s="154" t="s">
        <v>2502</v>
      </c>
      <c r="L31" s="156" t="s">
        <v>64</v>
      </c>
      <c r="M31" s="156"/>
    </row>
    <row r="32">
      <c r="A32" s="153">
        <v>22.0</v>
      </c>
      <c r="B32" s="154" t="s">
        <v>7</v>
      </c>
      <c r="C32" s="154" t="s">
        <v>2584</v>
      </c>
      <c r="D32" s="154" t="s">
        <v>143</v>
      </c>
      <c r="E32" s="154" t="s">
        <v>136</v>
      </c>
      <c r="F32" s="154" t="s">
        <v>136</v>
      </c>
      <c r="G32" s="154" t="s">
        <v>385</v>
      </c>
      <c r="H32" s="155"/>
      <c r="I32" s="154" t="s">
        <v>136</v>
      </c>
      <c r="J32" s="157">
        <v>45688.475</v>
      </c>
      <c r="K32" s="154" t="s">
        <v>2509</v>
      </c>
      <c r="L32" s="156" t="s">
        <v>64</v>
      </c>
      <c r="M32" s="156"/>
    </row>
    <row r="33">
      <c r="A33" s="153">
        <v>28.0</v>
      </c>
      <c r="B33" s="154" t="s">
        <v>6</v>
      </c>
      <c r="C33" s="154" t="s">
        <v>1949</v>
      </c>
      <c r="D33" s="154" t="s">
        <v>218</v>
      </c>
      <c r="E33" s="154" t="s">
        <v>136</v>
      </c>
      <c r="F33" s="154" t="s">
        <v>136</v>
      </c>
      <c r="G33" s="154" t="s">
        <v>185</v>
      </c>
      <c r="H33" s="165" t="s">
        <v>1161</v>
      </c>
      <c r="I33" s="154" t="s">
        <v>135</v>
      </c>
      <c r="J33" s="157">
        <v>45691.38888888889</v>
      </c>
      <c r="K33" s="154" t="s">
        <v>2509</v>
      </c>
      <c r="L33" s="156" t="s">
        <v>64</v>
      </c>
      <c r="M33" s="156"/>
    </row>
    <row r="34">
      <c r="A34" s="153">
        <v>37.0</v>
      </c>
      <c r="B34" s="154" t="s">
        <v>6</v>
      </c>
      <c r="C34" s="154" t="s">
        <v>2585</v>
      </c>
      <c r="D34" s="154" t="s">
        <v>302</v>
      </c>
      <c r="E34" s="154" t="s">
        <v>135</v>
      </c>
      <c r="F34" s="154" t="s">
        <v>136</v>
      </c>
      <c r="G34" s="154" t="s">
        <v>271</v>
      </c>
      <c r="H34" s="154" t="s">
        <v>2586</v>
      </c>
      <c r="I34" s="154" t="s">
        <v>136</v>
      </c>
      <c r="J34" s="157">
        <v>45693.39166666667</v>
      </c>
      <c r="K34" s="154" t="s">
        <v>2502</v>
      </c>
      <c r="L34" s="156" t="s">
        <v>64</v>
      </c>
      <c r="M34" s="156"/>
    </row>
    <row r="35">
      <c r="A35" s="153">
        <v>41.0</v>
      </c>
      <c r="B35" s="154" t="s">
        <v>7</v>
      </c>
      <c r="C35" s="154" t="s">
        <v>334</v>
      </c>
      <c r="D35" s="154" t="s">
        <v>228</v>
      </c>
      <c r="E35" s="154" t="s">
        <v>136</v>
      </c>
      <c r="F35" s="154" t="s">
        <v>136</v>
      </c>
      <c r="G35" s="165" t="s">
        <v>292</v>
      </c>
      <c r="H35" s="155"/>
      <c r="I35" s="154" t="s">
        <v>135</v>
      </c>
      <c r="J35" s="157">
        <v>45699.45416666667</v>
      </c>
      <c r="K35" s="154" t="s">
        <v>2513</v>
      </c>
      <c r="L35" s="156" t="s">
        <v>64</v>
      </c>
      <c r="M35" s="156"/>
    </row>
    <row r="36">
      <c r="A36" s="153">
        <v>46.0</v>
      </c>
      <c r="B36" s="154" t="s">
        <v>6</v>
      </c>
      <c r="C36" s="154" t="s">
        <v>1279</v>
      </c>
      <c r="D36" s="154" t="s">
        <v>233</v>
      </c>
      <c r="E36" s="154" t="s">
        <v>135</v>
      </c>
      <c r="F36" s="154" t="s">
        <v>136</v>
      </c>
      <c r="G36" s="154" t="s">
        <v>144</v>
      </c>
      <c r="H36" s="155"/>
      <c r="I36" s="154" t="s">
        <v>135</v>
      </c>
      <c r="J36" s="157">
        <v>45706.535416666666</v>
      </c>
      <c r="K36" s="154" t="s">
        <v>185</v>
      </c>
      <c r="L36" s="156" t="s">
        <v>64</v>
      </c>
      <c r="M36" s="156"/>
    </row>
    <row r="37">
      <c r="A37" s="153">
        <v>16.0</v>
      </c>
      <c r="B37" s="154" t="s">
        <v>6</v>
      </c>
      <c r="C37" s="154" t="s">
        <v>1116</v>
      </c>
      <c r="D37" s="154" t="s">
        <v>197</v>
      </c>
      <c r="E37" s="154" t="s">
        <v>136</v>
      </c>
      <c r="F37" s="154" t="s">
        <v>136</v>
      </c>
      <c r="G37" s="154" t="s">
        <v>2587</v>
      </c>
      <c r="H37" s="154" t="s">
        <v>1180</v>
      </c>
      <c r="I37" s="154" t="s">
        <v>135</v>
      </c>
      <c r="J37" s="157">
        <v>45687.59375</v>
      </c>
      <c r="K37" s="154" t="s">
        <v>2513</v>
      </c>
      <c r="L37" s="156" t="s">
        <v>64</v>
      </c>
      <c r="M37" s="156"/>
    </row>
    <row r="38">
      <c r="A38" s="153">
        <v>7.0</v>
      </c>
      <c r="B38" s="154" t="s">
        <v>6</v>
      </c>
      <c r="C38" s="154" t="s">
        <v>539</v>
      </c>
      <c r="D38" s="154" t="s">
        <v>290</v>
      </c>
      <c r="E38" s="154" t="s">
        <v>135</v>
      </c>
      <c r="F38" s="154" t="s">
        <v>135</v>
      </c>
      <c r="G38" s="154" t="s">
        <v>150</v>
      </c>
      <c r="H38" s="154" t="s">
        <v>2588</v>
      </c>
      <c r="I38" s="154" t="s">
        <v>136</v>
      </c>
      <c r="J38" s="154" t="s">
        <v>2589</v>
      </c>
      <c r="K38" s="154" t="s">
        <v>2502</v>
      </c>
      <c r="L38" s="156" t="s">
        <v>64</v>
      </c>
      <c r="M38" s="156"/>
    </row>
    <row r="39">
      <c r="A39" s="153">
        <v>14.0</v>
      </c>
      <c r="B39" s="154" t="s">
        <v>6</v>
      </c>
      <c r="C39" s="154" t="s">
        <v>2590</v>
      </c>
      <c r="D39" s="154" t="s">
        <v>268</v>
      </c>
      <c r="E39" s="154" t="s">
        <v>135</v>
      </c>
      <c r="F39" s="154" t="s">
        <v>136</v>
      </c>
      <c r="G39" s="154" t="s">
        <v>297</v>
      </c>
      <c r="H39" s="155"/>
      <c r="I39" s="154" t="s">
        <v>136</v>
      </c>
      <c r="J39" s="157">
        <v>45685.64722222222</v>
      </c>
      <c r="K39" s="154" t="s">
        <v>2502</v>
      </c>
      <c r="L39" s="156" t="s">
        <v>64</v>
      </c>
      <c r="M39" s="156"/>
    </row>
    <row r="40">
      <c r="A40" s="153">
        <v>11.0</v>
      </c>
      <c r="B40" s="154" t="s">
        <v>6</v>
      </c>
      <c r="C40" s="154" t="s">
        <v>366</v>
      </c>
      <c r="D40" s="154" t="s">
        <v>218</v>
      </c>
      <c r="E40" s="154" t="s">
        <v>136</v>
      </c>
      <c r="F40" s="154" t="s">
        <v>136</v>
      </c>
      <c r="G40" s="154" t="s">
        <v>2591</v>
      </c>
      <c r="H40" s="155"/>
      <c r="I40" s="154" t="s">
        <v>135</v>
      </c>
      <c r="J40" s="157">
        <v>45678.450694444444</v>
      </c>
      <c r="K40" s="154" t="s">
        <v>2502</v>
      </c>
      <c r="L40" s="156" t="s">
        <v>64</v>
      </c>
      <c r="M40" s="156"/>
    </row>
    <row r="41">
      <c r="A41" s="153">
        <v>13.0</v>
      </c>
      <c r="B41" s="154" t="s">
        <v>6</v>
      </c>
      <c r="C41" s="154" t="s">
        <v>338</v>
      </c>
      <c r="D41" s="154" t="s">
        <v>143</v>
      </c>
      <c r="E41" s="154" t="s">
        <v>136</v>
      </c>
      <c r="F41" s="154" t="s">
        <v>136</v>
      </c>
      <c r="G41" s="154" t="s">
        <v>157</v>
      </c>
      <c r="H41" s="155"/>
      <c r="I41" s="154" t="s">
        <v>136</v>
      </c>
      <c r="J41" s="157">
        <v>45681.59583333333</v>
      </c>
      <c r="K41" s="154" t="s">
        <v>2509</v>
      </c>
      <c r="L41" s="156" t="s">
        <v>64</v>
      </c>
      <c r="M41" s="156"/>
    </row>
    <row r="42">
      <c r="A42" s="153">
        <v>31.0</v>
      </c>
      <c r="B42" s="154" t="s">
        <v>7</v>
      </c>
      <c r="C42" s="154" t="s">
        <v>2592</v>
      </c>
      <c r="D42" s="154" t="s">
        <v>202</v>
      </c>
      <c r="E42" s="154" t="s">
        <v>135</v>
      </c>
      <c r="F42" s="154" t="s">
        <v>136</v>
      </c>
      <c r="G42" s="154" t="s">
        <v>271</v>
      </c>
      <c r="H42" s="155"/>
      <c r="I42" s="154" t="s">
        <v>136</v>
      </c>
      <c r="J42" s="157">
        <v>45692.45277777778</v>
      </c>
      <c r="K42" s="154" t="s">
        <v>2513</v>
      </c>
      <c r="L42" s="156" t="s">
        <v>64</v>
      </c>
      <c r="M42" s="156"/>
    </row>
    <row r="43">
      <c r="A43" s="153">
        <v>23.0</v>
      </c>
      <c r="B43" s="154" t="s">
        <v>7</v>
      </c>
      <c r="C43" s="154" t="s">
        <v>853</v>
      </c>
      <c r="D43" s="154" t="s">
        <v>213</v>
      </c>
      <c r="E43" s="154" t="s">
        <v>136</v>
      </c>
      <c r="F43" s="154" t="s">
        <v>136</v>
      </c>
      <c r="G43" s="154" t="s">
        <v>157</v>
      </c>
      <c r="H43" s="155"/>
      <c r="I43" s="154" t="s">
        <v>135</v>
      </c>
      <c r="J43" s="157">
        <v>45688.56180555555</v>
      </c>
      <c r="K43" s="154" t="s">
        <v>2502</v>
      </c>
      <c r="L43" s="156" t="s">
        <v>64</v>
      </c>
      <c r="M43" s="156"/>
    </row>
    <row r="44">
      <c r="A44" s="153">
        <v>1.0</v>
      </c>
      <c r="B44" s="154" t="s">
        <v>7</v>
      </c>
      <c r="C44" s="154" t="s">
        <v>1243</v>
      </c>
      <c r="D44" s="154" t="s">
        <v>187</v>
      </c>
      <c r="E44" s="154" t="s">
        <v>136</v>
      </c>
      <c r="F44" s="154" t="s">
        <v>136</v>
      </c>
      <c r="G44" s="154" t="s">
        <v>231</v>
      </c>
      <c r="H44" s="155"/>
      <c r="I44" s="154" t="s">
        <v>135</v>
      </c>
      <c r="J44" s="157">
        <v>45622.46666666667</v>
      </c>
      <c r="K44" s="154" t="s">
        <v>2502</v>
      </c>
      <c r="L44" s="156" t="s">
        <v>64</v>
      </c>
      <c r="M44" s="156"/>
    </row>
    <row r="45">
      <c r="A45" s="153">
        <v>21.0</v>
      </c>
      <c r="B45" s="154" t="s">
        <v>7</v>
      </c>
      <c r="C45" s="154" t="s">
        <v>1238</v>
      </c>
      <c r="D45" s="154" t="s">
        <v>233</v>
      </c>
      <c r="E45" s="154" t="s">
        <v>136</v>
      </c>
      <c r="F45" s="154" t="s">
        <v>136</v>
      </c>
      <c r="G45" s="154" t="s">
        <v>185</v>
      </c>
      <c r="H45" s="155"/>
      <c r="I45" s="154" t="s">
        <v>135</v>
      </c>
      <c r="J45" s="157">
        <v>45688.44513888889</v>
      </c>
      <c r="K45" s="154" t="s">
        <v>2509</v>
      </c>
      <c r="L45" s="156" t="s">
        <v>64</v>
      </c>
      <c r="M45" s="156"/>
    </row>
    <row r="46">
      <c r="A46" s="153">
        <v>34.0</v>
      </c>
      <c r="B46" s="154" t="s">
        <v>6</v>
      </c>
      <c r="C46" s="154" t="s">
        <v>2576</v>
      </c>
      <c r="D46" s="154" t="s">
        <v>228</v>
      </c>
      <c r="E46" s="154" t="s">
        <v>136</v>
      </c>
      <c r="F46" s="154" t="s">
        <v>136</v>
      </c>
      <c r="G46" s="154" t="s">
        <v>1257</v>
      </c>
      <c r="H46" s="165" t="s">
        <v>2593</v>
      </c>
      <c r="I46" s="154" t="s">
        <v>135</v>
      </c>
      <c r="J46" s="157">
        <v>45692.88125</v>
      </c>
      <c r="K46" s="154" t="s">
        <v>2513</v>
      </c>
      <c r="L46" s="156" t="s">
        <v>64</v>
      </c>
      <c r="M46" s="156"/>
    </row>
    <row r="47">
      <c r="A47" s="153">
        <v>52.0</v>
      </c>
      <c r="B47" s="154" t="s">
        <v>6</v>
      </c>
      <c r="C47" s="154" t="s">
        <v>1094</v>
      </c>
      <c r="D47" s="154" t="s">
        <v>143</v>
      </c>
      <c r="E47" s="154" t="s">
        <v>135</v>
      </c>
      <c r="F47" s="154" t="s">
        <v>136</v>
      </c>
      <c r="G47" s="154" t="s">
        <v>349</v>
      </c>
      <c r="H47" s="154" t="s">
        <v>349</v>
      </c>
      <c r="I47" s="154" t="s">
        <v>135</v>
      </c>
      <c r="J47" s="157">
        <v>45713.413194444445</v>
      </c>
      <c r="K47" s="154" t="s">
        <v>2502</v>
      </c>
      <c r="L47" s="156" t="s">
        <v>64</v>
      </c>
      <c r="M47" s="156"/>
    </row>
    <row r="48">
      <c r="A48" s="153">
        <v>8.0</v>
      </c>
      <c r="B48" s="154" t="s">
        <v>7</v>
      </c>
      <c r="C48" s="154" t="s">
        <v>338</v>
      </c>
      <c r="D48" s="154" t="s">
        <v>143</v>
      </c>
      <c r="E48" s="154" t="s">
        <v>136</v>
      </c>
      <c r="F48" s="154" t="s">
        <v>136</v>
      </c>
      <c r="G48" s="154" t="s">
        <v>174</v>
      </c>
      <c r="H48" s="155"/>
      <c r="I48" s="154" t="s">
        <v>135</v>
      </c>
      <c r="J48" s="154" t="s">
        <v>2594</v>
      </c>
      <c r="K48" s="154" t="s">
        <v>2502</v>
      </c>
      <c r="L48" s="156" t="s">
        <v>64</v>
      </c>
      <c r="M48" s="156"/>
    </row>
    <row r="49">
      <c r="A49" s="153">
        <v>40.0</v>
      </c>
      <c r="B49" s="154" t="s">
        <v>7</v>
      </c>
      <c r="C49" s="154" t="s">
        <v>2558</v>
      </c>
      <c r="D49" s="154" t="s">
        <v>233</v>
      </c>
      <c r="E49" s="154" t="s">
        <v>136</v>
      </c>
      <c r="F49" s="154" t="s">
        <v>136</v>
      </c>
      <c r="G49" s="154" t="s">
        <v>144</v>
      </c>
      <c r="H49" s="154" t="s">
        <v>2595</v>
      </c>
      <c r="I49" s="154" t="s">
        <v>135</v>
      </c>
      <c r="J49" s="157">
        <v>45698.904861111114</v>
      </c>
      <c r="K49" s="154" t="s">
        <v>2513</v>
      </c>
      <c r="L49" s="156" t="s">
        <v>64</v>
      </c>
      <c r="M49" s="156"/>
    </row>
    <row r="50">
      <c r="A50" s="153">
        <v>47.0</v>
      </c>
      <c r="B50" s="154" t="s">
        <v>7</v>
      </c>
      <c r="C50" s="154" t="s">
        <v>2596</v>
      </c>
      <c r="D50" s="154" t="s">
        <v>164</v>
      </c>
      <c r="E50" s="154" t="s">
        <v>135</v>
      </c>
      <c r="F50" s="154" t="s">
        <v>136</v>
      </c>
      <c r="G50" s="154" t="s">
        <v>271</v>
      </c>
      <c r="H50" s="155"/>
      <c r="I50" s="154" t="s">
        <v>135</v>
      </c>
      <c r="J50" s="157">
        <v>45709.00902777778</v>
      </c>
      <c r="K50" s="154" t="s">
        <v>185</v>
      </c>
      <c r="L50" s="156" t="s">
        <v>64</v>
      </c>
      <c r="M50" s="156"/>
    </row>
    <row r="51">
      <c r="A51" s="153">
        <v>19.0</v>
      </c>
      <c r="B51" s="154" t="s">
        <v>6</v>
      </c>
      <c r="C51" s="154" t="s">
        <v>1282</v>
      </c>
      <c r="D51" s="154" t="s">
        <v>134</v>
      </c>
      <c r="E51" s="154" t="s">
        <v>136</v>
      </c>
      <c r="F51" s="154" t="s">
        <v>136</v>
      </c>
      <c r="G51" s="154" t="s">
        <v>1421</v>
      </c>
      <c r="H51" s="155"/>
      <c r="I51" s="154" t="s">
        <v>135</v>
      </c>
      <c r="J51" s="157">
        <v>45688.427777777775</v>
      </c>
      <c r="K51" s="154" t="s">
        <v>2509</v>
      </c>
      <c r="L51" s="156" t="s">
        <v>64</v>
      </c>
      <c r="M51" s="156"/>
    </row>
    <row r="52">
      <c r="A52" s="153">
        <v>36.0</v>
      </c>
      <c r="B52" s="154" t="s">
        <v>7</v>
      </c>
      <c r="C52" s="154" t="s">
        <v>2597</v>
      </c>
      <c r="D52" s="154" t="s">
        <v>302</v>
      </c>
      <c r="E52" s="154" t="s">
        <v>135</v>
      </c>
      <c r="F52" s="154" t="s">
        <v>136</v>
      </c>
      <c r="G52" s="154" t="s">
        <v>157</v>
      </c>
      <c r="H52" s="155"/>
      <c r="I52" s="154" t="s">
        <v>136</v>
      </c>
      <c r="J52" s="157">
        <v>45693.3875</v>
      </c>
      <c r="K52" s="154" t="s">
        <v>2513</v>
      </c>
      <c r="L52" s="156" t="s">
        <v>64</v>
      </c>
      <c r="M52" s="156"/>
    </row>
    <row r="53">
      <c r="A53" s="153">
        <v>5.0</v>
      </c>
      <c r="B53" s="154" t="s">
        <v>7</v>
      </c>
      <c r="C53" s="154" t="s">
        <v>315</v>
      </c>
      <c r="D53" s="154" t="s">
        <v>164</v>
      </c>
      <c r="E53" s="154" t="s">
        <v>136</v>
      </c>
      <c r="F53" s="154" t="s">
        <v>136</v>
      </c>
      <c r="G53" s="154" t="s">
        <v>185</v>
      </c>
      <c r="H53" s="154" t="s">
        <v>2598</v>
      </c>
      <c r="I53" s="154" t="s">
        <v>135</v>
      </c>
      <c r="J53" s="154" t="s">
        <v>2599</v>
      </c>
      <c r="K53" s="154" t="s">
        <v>2502</v>
      </c>
      <c r="L53" s="156" t="s">
        <v>64</v>
      </c>
      <c r="M53" s="156"/>
    </row>
    <row r="54">
      <c r="A54" s="153">
        <v>38.0</v>
      </c>
      <c r="B54" s="154" t="s">
        <v>6</v>
      </c>
      <c r="C54" s="154" t="s">
        <v>2576</v>
      </c>
      <c r="D54" s="154" t="s">
        <v>228</v>
      </c>
      <c r="E54" s="154" t="s">
        <v>136</v>
      </c>
      <c r="F54" s="154" t="s">
        <v>135</v>
      </c>
      <c r="G54" s="154" t="s">
        <v>231</v>
      </c>
      <c r="H54" s="155"/>
      <c r="I54" s="154" t="s">
        <v>136</v>
      </c>
      <c r="J54" s="157">
        <v>45693.49791666667</v>
      </c>
      <c r="K54" s="154" t="s">
        <v>2509</v>
      </c>
      <c r="L54" s="156" t="s">
        <v>64</v>
      </c>
      <c r="M54" s="156"/>
    </row>
    <row r="55">
      <c r="A55" s="153">
        <v>44.0</v>
      </c>
      <c r="B55" s="154" t="s">
        <v>7</v>
      </c>
      <c r="C55" s="154" t="s">
        <v>379</v>
      </c>
      <c r="D55" s="154" t="s">
        <v>202</v>
      </c>
      <c r="E55" s="154" t="s">
        <v>136</v>
      </c>
      <c r="F55" s="154" t="s">
        <v>136</v>
      </c>
      <c r="G55" s="154" t="s">
        <v>606</v>
      </c>
      <c r="H55" s="155"/>
      <c r="I55" s="154" t="s">
        <v>135</v>
      </c>
      <c r="J55" s="157">
        <v>45704.634722222225</v>
      </c>
      <c r="K55" s="154" t="s">
        <v>2509</v>
      </c>
      <c r="L55" s="156" t="s">
        <v>64</v>
      </c>
      <c r="M55" s="15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60.0"/>
  </cols>
  <sheetData>
    <row r="1">
      <c r="A1" s="165" t="s">
        <v>3915</v>
      </c>
      <c r="B1" s="165" t="s">
        <v>117</v>
      </c>
      <c r="C1" s="165" t="s">
        <v>118</v>
      </c>
      <c r="D1" s="165" t="s">
        <v>119</v>
      </c>
      <c r="E1" s="165" t="s">
        <v>120</v>
      </c>
      <c r="F1" s="165" t="s">
        <v>121</v>
      </c>
      <c r="G1" s="165" t="s">
        <v>122</v>
      </c>
      <c r="H1" s="165" t="s">
        <v>123</v>
      </c>
      <c r="I1" s="165" t="s">
        <v>3769</v>
      </c>
      <c r="J1" s="165" t="s">
        <v>125</v>
      </c>
      <c r="K1" s="165" t="s">
        <v>3770</v>
      </c>
      <c r="L1" s="165" t="s">
        <v>3771</v>
      </c>
      <c r="M1" s="165"/>
      <c r="N1" s="123" t="s">
        <v>129</v>
      </c>
      <c r="O1" s="123" t="s">
        <v>130</v>
      </c>
      <c r="P1" s="123" t="s">
        <v>131</v>
      </c>
    </row>
    <row r="2">
      <c r="A2" s="153">
        <v>42.0</v>
      </c>
      <c r="B2" s="154" t="s">
        <v>6</v>
      </c>
      <c r="C2" s="154" t="s">
        <v>2071</v>
      </c>
      <c r="D2" s="154" t="s">
        <v>331</v>
      </c>
      <c r="E2" s="154" t="s">
        <v>135</v>
      </c>
      <c r="F2" s="154" t="s">
        <v>136</v>
      </c>
      <c r="G2" s="154" t="s">
        <v>320</v>
      </c>
      <c r="H2" s="155"/>
      <c r="I2" s="154" t="s">
        <v>136</v>
      </c>
      <c r="J2" s="157">
        <v>45614.46388888889</v>
      </c>
      <c r="K2" s="154" t="s">
        <v>2502</v>
      </c>
      <c r="L2" s="156" t="s">
        <v>63</v>
      </c>
      <c r="M2" s="156"/>
      <c r="N2" s="7" t="str">
        <f t="array" ref="N2:N20">UNIQUE(D2:D120)</f>
        <v>Austria</v>
      </c>
      <c r="O2" s="7">
        <f t="shared" ref="O2:O19" si="1">COUNTIF(D$2:D$120,N2)</f>
        <v>1</v>
      </c>
      <c r="P2" s="215" t="str">
        <f t="array" ref="P2">XLOOKUP(N2,Countries!A$2:A$98,Countries!B$2:B$98,"tbd",0)</f>
        <v>Europe</v>
      </c>
    </row>
    <row r="3">
      <c r="A3" s="153">
        <v>20.0</v>
      </c>
      <c r="B3" s="154" t="s">
        <v>7</v>
      </c>
      <c r="C3" s="154" t="s">
        <v>913</v>
      </c>
      <c r="D3" s="154" t="s">
        <v>153</v>
      </c>
      <c r="E3" s="154" t="s">
        <v>136</v>
      </c>
      <c r="F3" s="154" t="s">
        <v>135</v>
      </c>
      <c r="G3" s="154" t="s">
        <v>594</v>
      </c>
      <c r="H3" s="154" t="s">
        <v>2503</v>
      </c>
      <c r="I3" s="154" t="s">
        <v>136</v>
      </c>
      <c r="J3" s="154" t="s">
        <v>2504</v>
      </c>
      <c r="K3" s="154" t="s">
        <v>2502</v>
      </c>
      <c r="L3" s="156" t="s">
        <v>63</v>
      </c>
      <c r="M3" s="156"/>
      <c r="N3" s="83" t="s">
        <v>153</v>
      </c>
      <c r="O3" s="54">
        <f t="shared" si="1"/>
        <v>2</v>
      </c>
      <c r="P3" s="142" t="str">
        <f t="array" ref="P3">XLOOKUP(N3,Countries!A$2:A$98,Countries!B$2:B$98,"tbd",0)</f>
        <v>associated countries</v>
      </c>
    </row>
    <row r="4">
      <c r="A4" s="153">
        <v>41.0</v>
      </c>
      <c r="B4" s="154" t="s">
        <v>7</v>
      </c>
      <c r="C4" s="154" t="s">
        <v>808</v>
      </c>
      <c r="D4" s="154" t="s">
        <v>153</v>
      </c>
      <c r="E4" s="154" t="s">
        <v>136</v>
      </c>
      <c r="F4" s="154" t="s">
        <v>136</v>
      </c>
      <c r="G4" s="154" t="s">
        <v>2505</v>
      </c>
      <c r="H4" s="154" t="s">
        <v>2506</v>
      </c>
      <c r="I4" s="154" t="s">
        <v>136</v>
      </c>
      <c r="J4" s="157">
        <v>45608.458333333336</v>
      </c>
      <c r="K4" s="154" t="s">
        <v>2507</v>
      </c>
      <c r="L4" s="156" t="s">
        <v>63</v>
      </c>
      <c r="M4" s="156"/>
      <c r="N4" s="16" t="s">
        <v>134</v>
      </c>
      <c r="O4" s="7">
        <f t="shared" si="1"/>
        <v>6</v>
      </c>
      <c r="P4" s="215" t="str">
        <f t="array" ref="P4">XLOOKUP(N4,Countries!A$2:A$98,Countries!B$2:B$98,"tbd",0)</f>
        <v>Europe</v>
      </c>
    </row>
    <row r="5">
      <c r="A5" s="153">
        <v>29.0</v>
      </c>
      <c r="B5" s="154" t="s">
        <v>6</v>
      </c>
      <c r="C5" s="154" t="s">
        <v>2508</v>
      </c>
      <c r="D5" s="154" t="s">
        <v>134</v>
      </c>
      <c r="E5" s="154" t="s">
        <v>136</v>
      </c>
      <c r="F5" s="154" t="s">
        <v>136</v>
      </c>
      <c r="G5" s="154" t="s">
        <v>367</v>
      </c>
      <c r="H5" s="155"/>
      <c r="I5" s="154" t="s">
        <v>135</v>
      </c>
      <c r="J5" s="154" t="s">
        <v>1972</v>
      </c>
      <c r="K5" s="154" t="s">
        <v>2509</v>
      </c>
      <c r="L5" s="156" t="s">
        <v>63</v>
      </c>
      <c r="M5" s="156"/>
      <c r="N5" s="16" t="s">
        <v>164</v>
      </c>
      <c r="O5" s="7">
        <f t="shared" si="1"/>
        <v>6</v>
      </c>
      <c r="P5" s="215" t="str">
        <f t="array" ref="P5">XLOOKUP(N5,Countries!A$2:A$98,Countries!B$2:B$98,"tbd",0)</f>
        <v>Europe</v>
      </c>
    </row>
    <row r="6">
      <c r="A6" s="153">
        <v>10.0</v>
      </c>
      <c r="B6" s="154" t="s">
        <v>8</v>
      </c>
      <c r="C6" s="154" t="s">
        <v>1995</v>
      </c>
      <c r="D6" s="154" t="s">
        <v>164</v>
      </c>
      <c r="E6" s="154" t="s">
        <v>135</v>
      </c>
      <c r="F6" s="154" t="s">
        <v>136</v>
      </c>
      <c r="G6" s="154" t="s">
        <v>157</v>
      </c>
      <c r="H6" s="155"/>
      <c r="I6" s="154" t="s">
        <v>135</v>
      </c>
      <c r="J6" s="154" t="s">
        <v>2510</v>
      </c>
      <c r="K6" s="154" t="s">
        <v>2502</v>
      </c>
      <c r="L6" s="156" t="s">
        <v>63</v>
      </c>
      <c r="M6" s="156"/>
      <c r="N6" s="16" t="s">
        <v>202</v>
      </c>
      <c r="O6" s="7">
        <f t="shared" si="1"/>
        <v>7</v>
      </c>
      <c r="P6" s="215" t="str">
        <f t="array" ref="P6">XLOOKUP(N6,Countries!A$2:A$98,Countries!B$2:B$98,"tbd",0)</f>
        <v>Europe</v>
      </c>
    </row>
    <row r="7">
      <c r="A7" s="153">
        <v>56.0</v>
      </c>
      <c r="B7" s="154" t="s">
        <v>6</v>
      </c>
      <c r="C7" s="154" t="s">
        <v>235</v>
      </c>
      <c r="D7" s="154" t="s">
        <v>164</v>
      </c>
      <c r="E7" s="154" t="s">
        <v>136</v>
      </c>
      <c r="F7" s="154" t="s">
        <v>136</v>
      </c>
      <c r="G7" s="165" t="s">
        <v>150</v>
      </c>
      <c r="H7" s="155"/>
      <c r="I7" s="154" t="s">
        <v>135</v>
      </c>
      <c r="J7" s="157">
        <v>45621.74236111111</v>
      </c>
      <c r="K7" s="154" t="s">
        <v>2509</v>
      </c>
      <c r="L7" s="156" t="s">
        <v>63</v>
      </c>
      <c r="M7" s="156"/>
      <c r="N7" s="16" t="s">
        <v>143</v>
      </c>
      <c r="O7" s="7">
        <f t="shared" si="1"/>
        <v>11</v>
      </c>
      <c r="P7" s="215" t="str">
        <f t="array" ref="P7">XLOOKUP(N7,Countries!A$2:A$98,Countries!B$2:B$98,"tbd",0)</f>
        <v>Europe</v>
      </c>
    </row>
    <row r="8">
      <c r="A8" s="153">
        <v>25.0</v>
      </c>
      <c r="B8" s="154" t="s">
        <v>7</v>
      </c>
      <c r="C8" s="154" t="s">
        <v>2511</v>
      </c>
      <c r="D8" s="154" t="s">
        <v>164</v>
      </c>
      <c r="E8" s="154" t="s">
        <v>136</v>
      </c>
      <c r="F8" s="154" t="s">
        <v>136</v>
      </c>
      <c r="G8" s="154" t="s">
        <v>401</v>
      </c>
      <c r="H8" s="155"/>
      <c r="I8" s="154" t="s">
        <v>136</v>
      </c>
      <c r="J8" s="154" t="s">
        <v>2100</v>
      </c>
      <c r="K8" s="154" t="s">
        <v>2509</v>
      </c>
      <c r="L8" s="156" t="s">
        <v>63</v>
      </c>
      <c r="M8" s="156"/>
      <c r="N8" s="83" t="s">
        <v>233</v>
      </c>
      <c r="O8" s="54">
        <f t="shared" si="1"/>
        <v>7</v>
      </c>
      <c r="P8" s="142" t="str">
        <f t="array" ref="P8">XLOOKUP(N8,Countries!A$2:A$98,Countries!B$2:B$98,"tbd",0)</f>
        <v>widening countries</v>
      </c>
    </row>
    <row r="9">
      <c r="A9" s="153">
        <v>38.0</v>
      </c>
      <c r="B9" s="154" t="s">
        <v>6</v>
      </c>
      <c r="C9" s="154" t="s">
        <v>1870</v>
      </c>
      <c r="D9" s="154" t="s">
        <v>202</v>
      </c>
      <c r="E9" s="154" t="s">
        <v>136</v>
      </c>
      <c r="F9" s="154" t="s">
        <v>136</v>
      </c>
      <c r="G9" s="154" t="s">
        <v>2512</v>
      </c>
      <c r="H9" s="155"/>
      <c r="I9" s="154" t="s">
        <v>136</v>
      </c>
      <c r="J9" s="157">
        <v>45602.540972222225</v>
      </c>
      <c r="K9" s="154" t="s">
        <v>2513</v>
      </c>
      <c r="L9" s="156" t="s">
        <v>63</v>
      </c>
      <c r="M9" s="156"/>
      <c r="N9" s="216" t="s">
        <v>177</v>
      </c>
      <c r="O9" s="217">
        <f t="shared" si="1"/>
        <v>2</v>
      </c>
      <c r="P9" s="218" t="str">
        <f t="array" ref="P9">XLOOKUP(N9,Countries!A$2:A$98,Countries!B$2:B$98,"tbd",0)</f>
        <v>Africa</v>
      </c>
    </row>
    <row r="10">
      <c r="A10" s="153">
        <v>60.0</v>
      </c>
      <c r="B10" s="154" t="s">
        <v>7</v>
      </c>
      <c r="C10" s="154" t="s">
        <v>338</v>
      </c>
      <c r="D10" s="154" t="s">
        <v>143</v>
      </c>
      <c r="E10" s="154" t="s">
        <v>136</v>
      </c>
      <c r="F10" s="154" t="s">
        <v>136</v>
      </c>
      <c r="G10" s="154" t="s">
        <v>349</v>
      </c>
      <c r="H10" s="155"/>
      <c r="I10" s="154" t="s">
        <v>135</v>
      </c>
      <c r="J10" s="157">
        <v>45622.45625</v>
      </c>
      <c r="K10" s="154" t="s">
        <v>2509</v>
      </c>
      <c r="L10" s="156" t="s">
        <v>63</v>
      </c>
      <c r="M10" s="156"/>
      <c r="N10" s="16" t="s">
        <v>197</v>
      </c>
      <c r="O10" s="7">
        <f t="shared" si="1"/>
        <v>5</v>
      </c>
      <c r="P10" s="215" t="str">
        <f t="array" ref="P10">XLOOKUP(N10,Countries!A$2:A$98,Countries!B$2:B$98,"tbd",0)</f>
        <v>Europe</v>
      </c>
    </row>
    <row r="11">
      <c r="A11" s="153">
        <v>27.0</v>
      </c>
      <c r="B11" s="154" t="s">
        <v>7</v>
      </c>
      <c r="C11" s="154" t="s">
        <v>184</v>
      </c>
      <c r="D11" s="154" t="s">
        <v>143</v>
      </c>
      <c r="E11" s="154" t="s">
        <v>136</v>
      </c>
      <c r="F11" s="154" t="s">
        <v>135</v>
      </c>
      <c r="G11" s="154" t="s">
        <v>185</v>
      </c>
      <c r="H11" s="154" t="s">
        <v>2514</v>
      </c>
      <c r="I11" s="154" t="s">
        <v>135</v>
      </c>
      <c r="J11" s="154" t="s">
        <v>2515</v>
      </c>
      <c r="K11" s="154" t="s">
        <v>2502</v>
      </c>
      <c r="L11" s="156" t="s">
        <v>63</v>
      </c>
      <c r="M11" s="156"/>
      <c r="N11" s="83" t="s">
        <v>209</v>
      </c>
      <c r="O11" s="54">
        <f t="shared" si="1"/>
        <v>3</v>
      </c>
      <c r="P11" s="142" t="str">
        <f t="array" ref="P11">XLOOKUP(N11,Countries!A$2:A$98,Countries!B$2:B$98,"tbd",0)</f>
        <v>associated countries</v>
      </c>
    </row>
    <row r="12">
      <c r="A12" s="153">
        <v>57.0</v>
      </c>
      <c r="B12" s="154" t="s">
        <v>6</v>
      </c>
      <c r="C12" s="154" t="s">
        <v>1134</v>
      </c>
      <c r="D12" s="154" t="s">
        <v>233</v>
      </c>
      <c r="E12" s="154" t="s">
        <v>136</v>
      </c>
      <c r="F12" s="154" t="s">
        <v>136</v>
      </c>
      <c r="G12" s="154" t="s">
        <v>174</v>
      </c>
      <c r="H12" s="154" t="s">
        <v>1180</v>
      </c>
      <c r="I12" s="154" t="s">
        <v>135</v>
      </c>
      <c r="J12" s="157">
        <v>45622.40833333333</v>
      </c>
      <c r="K12" s="154" t="s">
        <v>2502</v>
      </c>
      <c r="L12" s="156" t="s">
        <v>63</v>
      </c>
      <c r="M12" s="156"/>
      <c r="N12" s="83" t="s">
        <v>218</v>
      </c>
      <c r="O12" s="54">
        <f t="shared" si="1"/>
        <v>1</v>
      </c>
      <c r="P12" s="142" t="str">
        <f t="array" ref="P12">XLOOKUP(N12,Countries!A$2:A$98,Countries!B$2:B$98,"tbd",0)</f>
        <v>associated countries</v>
      </c>
    </row>
    <row r="13">
      <c r="A13" s="153">
        <v>1.0</v>
      </c>
      <c r="B13" s="154" t="s">
        <v>7</v>
      </c>
      <c r="C13" s="154" t="s">
        <v>195</v>
      </c>
      <c r="D13" s="154" t="s">
        <v>164</v>
      </c>
      <c r="E13" s="154" t="s">
        <v>136</v>
      </c>
      <c r="F13" s="154" t="s">
        <v>136</v>
      </c>
      <c r="G13" s="154" t="s">
        <v>297</v>
      </c>
      <c r="H13" s="154" t="s">
        <v>1141</v>
      </c>
      <c r="I13" s="154" t="s">
        <v>135</v>
      </c>
      <c r="J13" s="154" t="s">
        <v>2516</v>
      </c>
      <c r="K13" s="154" t="s">
        <v>2513</v>
      </c>
      <c r="L13" s="156" t="s">
        <v>63</v>
      </c>
      <c r="M13" s="156"/>
      <c r="N13" s="83" t="s">
        <v>228</v>
      </c>
      <c r="O13" s="54">
        <f t="shared" si="1"/>
        <v>2</v>
      </c>
      <c r="P13" s="142" t="str">
        <f t="array" ref="P13">XLOOKUP(N13,Countries!A$2:A$98,Countries!B$2:B$98,"tbd",0)</f>
        <v>widening countries</v>
      </c>
    </row>
    <row r="14">
      <c r="A14" s="153">
        <v>47.0</v>
      </c>
      <c r="B14" s="154" t="s">
        <v>6</v>
      </c>
      <c r="C14" s="154" t="s">
        <v>2517</v>
      </c>
      <c r="D14" s="154" t="s">
        <v>233</v>
      </c>
      <c r="E14" s="154" t="s">
        <v>136</v>
      </c>
      <c r="F14" s="154" t="s">
        <v>136</v>
      </c>
      <c r="G14" s="154" t="s">
        <v>174</v>
      </c>
      <c r="H14" s="155"/>
      <c r="I14" s="154" t="s">
        <v>135</v>
      </c>
      <c r="J14" s="157">
        <v>45620.87708333333</v>
      </c>
      <c r="K14" s="154" t="s">
        <v>2513</v>
      </c>
      <c r="L14" s="156" t="s">
        <v>63</v>
      </c>
      <c r="M14" s="156"/>
      <c r="N14" s="83" t="s">
        <v>352</v>
      </c>
      <c r="O14" s="54">
        <f t="shared" si="1"/>
        <v>1</v>
      </c>
      <c r="P14" s="142" t="str">
        <f t="array" ref="P14">XLOOKUP(N14,Countries!A$2:A$98,Countries!B$2:B$98,"tbd",0)</f>
        <v>widening countries</v>
      </c>
    </row>
    <row r="15">
      <c r="A15" s="153">
        <v>44.0</v>
      </c>
      <c r="B15" s="154" t="s">
        <v>6</v>
      </c>
      <c r="C15" s="154" t="s">
        <v>280</v>
      </c>
      <c r="D15" s="154" t="s">
        <v>202</v>
      </c>
      <c r="E15" s="154" t="s">
        <v>136</v>
      </c>
      <c r="F15" s="154" t="s">
        <v>136</v>
      </c>
      <c r="G15" s="154" t="s">
        <v>1042</v>
      </c>
      <c r="H15" s="155"/>
      <c r="I15" s="154" t="s">
        <v>136</v>
      </c>
      <c r="J15" s="157">
        <v>45615.81041666667</v>
      </c>
      <c r="K15" s="154" t="s">
        <v>2513</v>
      </c>
      <c r="L15" s="156" t="s">
        <v>63</v>
      </c>
      <c r="M15" s="156"/>
      <c r="N15" s="216" t="s">
        <v>347</v>
      </c>
      <c r="O15" s="217">
        <f t="shared" si="1"/>
        <v>1</v>
      </c>
      <c r="P15" s="218" t="str">
        <f t="array" ref="P15">XLOOKUP(N15,Countries!A$2:A$98,Countries!B$2:B$98,"tbd",0)</f>
        <v>Middle/South America</v>
      </c>
    </row>
    <row r="16">
      <c r="A16" s="153">
        <v>33.0</v>
      </c>
      <c r="B16" s="154" t="s">
        <v>6</v>
      </c>
      <c r="C16" s="154" t="s">
        <v>362</v>
      </c>
      <c r="D16" s="154" t="s">
        <v>202</v>
      </c>
      <c r="E16" s="154" t="s">
        <v>136</v>
      </c>
      <c r="F16" s="154" t="s">
        <v>136</v>
      </c>
      <c r="G16" s="154" t="s">
        <v>363</v>
      </c>
      <c r="H16" s="154" t="s">
        <v>2518</v>
      </c>
      <c r="I16" s="154" t="s">
        <v>135</v>
      </c>
      <c r="J16" s="154" t="s">
        <v>2519</v>
      </c>
      <c r="K16" s="154" t="s">
        <v>2509</v>
      </c>
      <c r="L16" s="156" t="s">
        <v>63</v>
      </c>
      <c r="M16" s="156"/>
      <c r="N16" s="16" t="s">
        <v>187</v>
      </c>
      <c r="O16" s="7">
        <f t="shared" si="1"/>
        <v>2</v>
      </c>
      <c r="P16" s="215" t="str">
        <f t="array" ref="P16">XLOOKUP(N16,Countries!A$2:A$98,Countries!B$2:B$98,"tbd",0)</f>
        <v>Europe</v>
      </c>
    </row>
    <row r="17">
      <c r="A17" s="153">
        <v>55.0</v>
      </c>
      <c r="B17" s="154" t="s">
        <v>7</v>
      </c>
      <c r="C17" s="154" t="s">
        <v>2520</v>
      </c>
      <c r="D17" s="154" t="s">
        <v>202</v>
      </c>
      <c r="E17" s="154" t="s">
        <v>135</v>
      </c>
      <c r="F17" s="154" t="s">
        <v>136</v>
      </c>
      <c r="G17" s="154" t="s">
        <v>385</v>
      </c>
      <c r="H17" s="155"/>
      <c r="I17" s="154" t="s">
        <v>135</v>
      </c>
      <c r="J17" s="157">
        <v>45621.71944444445</v>
      </c>
      <c r="K17" s="154" t="s">
        <v>2507</v>
      </c>
      <c r="L17" s="156" t="s">
        <v>63</v>
      </c>
      <c r="M17" s="156"/>
      <c r="N17" s="216" t="s">
        <v>243</v>
      </c>
      <c r="O17" s="217">
        <f t="shared" si="1"/>
        <v>1</v>
      </c>
      <c r="P17" s="218" t="str">
        <f t="array" ref="P17">XLOOKUP(N17,Countries!A$2:A$98,Countries!B$2:B$98,"tbd",0)</f>
        <v>Middle East</v>
      </c>
    </row>
    <row r="18">
      <c r="A18" s="153">
        <v>12.0</v>
      </c>
      <c r="B18" s="154" t="s">
        <v>6</v>
      </c>
      <c r="C18" s="154" t="s">
        <v>1896</v>
      </c>
      <c r="D18" s="154" t="s">
        <v>177</v>
      </c>
      <c r="E18" s="154" t="s">
        <v>135</v>
      </c>
      <c r="F18" s="154" t="s">
        <v>135</v>
      </c>
      <c r="G18" s="154" t="s">
        <v>1959</v>
      </c>
      <c r="H18" s="155"/>
      <c r="I18" s="154" t="s">
        <v>136</v>
      </c>
      <c r="J18" s="154" t="s">
        <v>2521</v>
      </c>
      <c r="K18" s="154" t="s">
        <v>2502</v>
      </c>
      <c r="L18" s="156" t="s">
        <v>63</v>
      </c>
      <c r="M18" s="156"/>
      <c r="N18" s="216" t="s">
        <v>214</v>
      </c>
      <c r="O18" s="217">
        <f t="shared" si="1"/>
        <v>1</v>
      </c>
      <c r="P18" s="218" t="str">
        <f t="array" ref="P18">XLOOKUP(N18,Countries!A$2:A$98,Countries!B$2:B$98,"tbd",0)</f>
        <v>Asia</v>
      </c>
    </row>
    <row r="19">
      <c r="A19" s="153">
        <v>9.0</v>
      </c>
      <c r="B19" s="154" t="s">
        <v>6</v>
      </c>
      <c r="C19" s="154" t="s">
        <v>338</v>
      </c>
      <c r="D19" s="154" t="s">
        <v>143</v>
      </c>
      <c r="E19" s="154" t="s">
        <v>136</v>
      </c>
      <c r="F19" s="154" t="s">
        <v>136</v>
      </c>
      <c r="G19" s="154" t="s">
        <v>460</v>
      </c>
      <c r="H19" s="155"/>
      <c r="I19" s="154" t="s">
        <v>135</v>
      </c>
      <c r="J19" s="154" t="s">
        <v>2522</v>
      </c>
      <c r="K19" s="154" t="s">
        <v>2509</v>
      </c>
      <c r="L19" s="156" t="s">
        <v>63</v>
      </c>
      <c r="M19" s="156"/>
      <c r="N19" s="83" t="s">
        <v>213</v>
      </c>
      <c r="O19" s="54">
        <f t="shared" si="1"/>
        <v>1</v>
      </c>
      <c r="P19" s="142" t="str">
        <f t="array" ref="P19">XLOOKUP(N19,Countries!A$2:A$98,Countries!B$2:B$98,"tbd",0)</f>
        <v>widening countries</v>
      </c>
    </row>
    <row r="20">
      <c r="A20" s="153">
        <v>48.0</v>
      </c>
      <c r="B20" s="154" t="s">
        <v>6</v>
      </c>
      <c r="C20" s="154" t="s">
        <v>240</v>
      </c>
      <c r="D20" s="154" t="s">
        <v>197</v>
      </c>
      <c r="E20" s="154" t="s">
        <v>136</v>
      </c>
      <c r="F20" s="154" t="s">
        <v>136</v>
      </c>
      <c r="G20" s="154" t="s">
        <v>241</v>
      </c>
      <c r="H20" s="155"/>
      <c r="I20" s="154" t="s">
        <v>135</v>
      </c>
      <c r="J20" s="157">
        <v>45621.395833333336</v>
      </c>
      <c r="K20" s="154" t="s">
        <v>2502</v>
      </c>
      <c r="L20" s="156" t="s">
        <v>63</v>
      </c>
      <c r="M20" s="156"/>
      <c r="N20" s="16"/>
      <c r="O20" s="16">
        <f>SUM(O2:O19)</f>
        <v>60</v>
      </c>
    </row>
    <row r="21">
      <c r="A21" s="153">
        <v>46.0</v>
      </c>
      <c r="B21" s="154" t="s">
        <v>6</v>
      </c>
      <c r="C21" s="154" t="s">
        <v>2517</v>
      </c>
      <c r="D21" s="154" t="s">
        <v>233</v>
      </c>
      <c r="E21" s="154" t="s">
        <v>136</v>
      </c>
      <c r="F21" s="154" t="s">
        <v>136</v>
      </c>
      <c r="G21" s="154" t="s">
        <v>185</v>
      </c>
      <c r="H21" s="154" t="s">
        <v>411</v>
      </c>
      <c r="I21" s="154" t="s">
        <v>135</v>
      </c>
      <c r="J21" s="157">
        <v>45620.85138888889</v>
      </c>
      <c r="K21" s="154" t="s">
        <v>2513</v>
      </c>
      <c r="L21" s="156" t="s">
        <v>63</v>
      </c>
      <c r="M21" s="156"/>
    </row>
    <row r="22">
      <c r="A22" s="153">
        <v>30.0</v>
      </c>
      <c r="B22" s="154" t="s">
        <v>7</v>
      </c>
      <c r="C22" s="154" t="s">
        <v>250</v>
      </c>
      <c r="D22" s="154" t="s">
        <v>209</v>
      </c>
      <c r="E22" s="154" t="s">
        <v>136</v>
      </c>
      <c r="F22" s="154" t="s">
        <v>136</v>
      </c>
      <c r="G22" s="154" t="s">
        <v>1872</v>
      </c>
      <c r="H22" s="154" t="s">
        <v>2523</v>
      </c>
      <c r="I22" s="154" t="s">
        <v>135</v>
      </c>
      <c r="J22" s="154" t="s">
        <v>2524</v>
      </c>
      <c r="K22" s="154" t="s">
        <v>2509</v>
      </c>
      <c r="L22" s="156" t="s">
        <v>63</v>
      </c>
      <c r="M22" s="156"/>
      <c r="O22" s="17">
        <v>17.0</v>
      </c>
      <c r="P22" s="17" t="s">
        <v>3818</v>
      </c>
    </row>
    <row r="23">
      <c r="A23" s="153">
        <v>21.0</v>
      </c>
      <c r="B23" s="154" t="s">
        <v>6</v>
      </c>
      <c r="C23" s="154" t="s">
        <v>342</v>
      </c>
      <c r="D23" s="154" t="s">
        <v>218</v>
      </c>
      <c r="E23" s="154" t="s">
        <v>136</v>
      </c>
      <c r="F23" s="154" t="s">
        <v>136</v>
      </c>
      <c r="G23" s="154" t="s">
        <v>650</v>
      </c>
      <c r="H23" s="155"/>
      <c r="I23" s="154" t="s">
        <v>135</v>
      </c>
      <c r="J23" s="154" t="s">
        <v>2525</v>
      </c>
      <c r="K23" s="154" t="s">
        <v>2509</v>
      </c>
      <c r="L23" s="156" t="s">
        <v>63</v>
      </c>
      <c r="M23" s="156"/>
      <c r="O23" s="17">
        <v>5.0</v>
      </c>
      <c r="P23" s="17" t="s">
        <v>22</v>
      </c>
    </row>
    <row r="24">
      <c r="A24" s="153">
        <v>32.0</v>
      </c>
      <c r="B24" s="154" t="s">
        <v>7</v>
      </c>
      <c r="C24" s="154" t="s">
        <v>338</v>
      </c>
      <c r="D24" s="154" t="s">
        <v>143</v>
      </c>
      <c r="E24" s="154" t="s">
        <v>136</v>
      </c>
      <c r="F24" s="154" t="s">
        <v>136</v>
      </c>
      <c r="G24" s="154" t="s">
        <v>185</v>
      </c>
      <c r="H24" s="154" t="s">
        <v>2526</v>
      </c>
      <c r="I24" s="154" t="s">
        <v>135</v>
      </c>
      <c r="J24" s="154" t="s">
        <v>2527</v>
      </c>
      <c r="K24" s="154" t="s">
        <v>2509</v>
      </c>
      <c r="L24" s="156" t="s">
        <v>63</v>
      </c>
      <c r="M24" s="156"/>
      <c r="O24" s="17">
        <v>18.0</v>
      </c>
      <c r="P24" s="17" t="s">
        <v>3821</v>
      </c>
    </row>
    <row r="25">
      <c r="A25" s="153">
        <v>24.0</v>
      </c>
      <c r="B25" s="154" t="s">
        <v>7</v>
      </c>
      <c r="C25" s="154" t="s">
        <v>1367</v>
      </c>
      <c r="D25" s="154" t="s">
        <v>209</v>
      </c>
      <c r="E25" s="154" t="s">
        <v>136</v>
      </c>
      <c r="F25" s="154" t="s">
        <v>136</v>
      </c>
      <c r="G25" s="154" t="s">
        <v>185</v>
      </c>
      <c r="H25" s="155"/>
      <c r="I25" s="154" t="s">
        <v>135</v>
      </c>
      <c r="J25" s="154" t="s">
        <v>2528</v>
      </c>
      <c r="K25" s="154" t="s">
        <v>2509</v>
      </c>
      <c r="L25" s="156" t="s">
        <v>63</v>
      </c>
      <c r="M25" s="156"/>
      <c r="O25" s="17">
        <v>11.0</v>
      </c>
      <c r="P25" s="17" t="s">
        <v>3822</v>
      </c>
    </row>
    <row r="26">
      <c r="A26" s="153">
        <v>49.0</v>
      </c>
      <c r="B26" s="154" t="s">
        <v>6</v>
      </c>
      <c r="C26" s="154" t="s">
        <v>315</v>
      </c>
      <c r="D26" s="154" t="s">
        <v>164</v>
      </c>
      <c r="E26" s="154" t="s">
        <v>135</v>
      </c>
      <c r="F26" s="154" t="s">
        <v>136</v>
      </c>
      <c r="G26" s="154" t="s">
        <v>221</v>
      </c>
      <c r="H26" s="155"/>
      <c r="I26" s="154" t="s">
        <v>135</v>
      </c>
      <c r="J26" s="157">
        <v>45621.57986111111</v>
      </c>
      <c r="K26" s="154" t="s">
        <v>2509</v>
      </c>
      <c r="L26" s="156" t="s">
        <v>63</v>
      </c>
      <c r="M26" s="156"/>
    </row>
    <row r="27">
      <c r="A27" s="153">
        <v>19.0</v>
      </c>
      <c r="B27" s="154" t="s">
        <v>6</v>
      </c>
      <c r="C27" s="154" t="s">
        <v>2529</v>
      </c>
      <c r="D27" s="154" t="s">
        <v>228</v>
      </c>
      <c r="E27" s="154" t="s">
        <v>135</v>
      </c>
      <c r="F27" s="154" t="s">
        <v>136</v>
      </c>
      <c r="G27" s="154" t="s">
        <v>144</v>
      </c>
      <c r="H27" s="155"/>
      <c r="I27" s="154" t="s">
        <v>136</v>
      </c>
      <c r="J27" s="154" t="s">
        <v>2530</v>
      </c>
      <c r="K27" s="154" t="s">
        <v>2513</v>
      </c>
      <c r="L27" s="156" t="s">
        <v>63</v>
      </c>
      <c r="M27" s="156"/>
    </row>
    <row r="28">
      <c r="A28" s="153">
        <v>59.0</v>
      </c>
      <c r="B28" s="154" t="s">
        <v>6</v>
      </c>
      <c r="C28" s="154" t="s">
        <v>149</v>
      </c>
      <c r="D28" s="154" t="s">
        <v>134</v>
      </c>
      <c r="E28" s="154" t="s">
        <v>136</v>
      </c>
      <c r="F28" s="154" t="s">
        <v>136</v>
      </c>
      <c r="G28" s="154" t="s">
        <v>969</v>
      </c>
      <c r="H28" s="155"/>
      <c r="I28" s="154" t="s">
        <v>135</v>
      </c>
      <c r="J28" s="157">
        <v>45622.419444444444</v>
      </c>
      <c r="K28" s="154" t="s">
        <v>2509</v>
      </c>
      <c r="L28" s="156" t="s">
        <v>63</v>
      </c>
      <c r="M28" s="156"/>
    </row>
    <row r="29">
      <c r="A29" s="153">
        <v>51.0</v>
      </c>
      <c r="B29" s="154" t="s">
        <v>6</v>
      </c>
      <c r="C29" s="154" t="s">
        <v>2531</v>
      </c>
      <c r="D29" s="154" t="s">
        <v>134</v>
      </c>
      <c r="E29" s="154" t="s">
        <v>136</v>
      </c>
      <c r="F29" s="154" t="s">
        <v>136</v>
      </c>
      <c r="G29" s="154" t="s">
        <v>385</v>
      </c>
      <c r="H29" s="155"/>
      <c r="I29" s="154" t="s">
        <v>135</v>
      </c>
      <c r="J29" s="157">
        <v>45621.618055555555</v>
      </c>
      <c r="K29" s="154" t="s">
        <v>2513</v>
      </c>
      <c r="L29" s="156" t="s">
        <v>63</v>
      </c>
      <c r="M29" s="156"/>
    </row>
    <row r="30">
      <c r="A30" s="153">
        <v>34.0</v>
      </c>
      <c r="B30" s="154" t="s">
        <v>6</v>
      </c>
      <c r="C30" s="154" t="s">
        <v>2532</v>
      </c>
      <c r="D30" s="154" t="s">
        <v>164</v>
      </c>
      <c r="E30" s="154" t="s">
        <v>135</v>
      </c>
      <c r="F30" s="154" t="s">
        <v>136</v>
      </c>
      <c r="G30" s="154" t="s">
        <v>310</v>
      </c>
      <c r="H30" s="155"/>
      <c r="I30" s="154" t="s">
        <v>136</v>
      </c>
      <c r="J30" s="157">
        <v>45597.71666666667</v>
      </c>
      <c r="K30" s="154" t="s">
        <v>2509</v>
      </c>
      <c r="L30" s="156" t="s">
        <v>63</v>
      </c>
      <c r="M30" s="156"/>
    </row>
    <row r="31">
      <c r="A31" s="153">
        <v>2.0</v>
      </c>
      <c r="B31" s="154" t="s">
        <v>6</v>
      </c>
      <c r="C31" s="154" t="s">
        <v>1931</v>
      </c>
      <c r="D31" s="154" t="s">
        <v>352</v>
      </c>
      <c r="E31" s="154" t="s">
        <v>135</v>
      </c>
      <c r="F31" s="154" t="s">
        <v>136</v>
      </c>
      <c r="G31" s="154" t="s">
        <v>460</v>
      </c>
      <c r="H31" s="155"/>
      <c r="I31" s="154" t="s">
        <v>135</v>
      </c>
      <c r="J31" s="154" t="s">
        <v>2533</v>
      </c>
      <c r="K31" s="154" t="s">
        <v>2502</v>
      </c>
      <c r="L31" s="156" t="s">
        <v>63</v>
      </c>
      <c r="M31" s="156"/>
    </row>
    <row r="32">
      <c r="A32" s="153">
        <v>23.0</v>
      </c>
      <c r="B32" s="154" t="s">
        <v>7</v>
      </c>
      <c r="C32" s="154" t="s">
        <v>184</v>
      </c>
      <c r="D32" s="154" t="s">
        <v>143</v>
      </c>
      <c r="E32" s="154" t="s">
        <v>136</v>
      </c>
      <c r="F32" s="154" t="s">
        <v>136</v>
      </c>
      <c r="G32" s="154" t="s">
        <v>174</v>
      </c>
      <c r="H32" s="155"/>
      <c r="I32" s="154" t="s">
        <v>135</v>
      </c>
      <c r="J32" s="154" t="s">
        <v>2534</v>
      </c>
      <c r="K32" s="154" t="s">
        <v>2509</v>
      </c>
      <c r="L32" s="156" t="s">
        <v>63</v>
      </c>
      <c r="M32" s="156"/>
    </row>
    <row r="33">
      <c r="A33" s="153">
        <v>45.0</v>
      </c>
      <c r="B33" s="154" t="s">
        <v>7</v>
      </c>
      <c r="C33" s="154" t="s">
        <v>1116</v>
      </c>
      <c r="D33" s="154" t="s">
        <v>197</v>
      </c>
      <c r="E33" s="154" t="s">
        <v>136</v>
      </c>
      <c r="F33" s="154" t="s">
        <v>136</v>
      </c>
      <c r="G33" s="154" t="s">
        <v>401</v>
      </c>
      <c r="H33" s="155"/>
      <c r="I33" s="154" t="s">
        <v>135</v>
      </c>
      <c r="J33" s="157">
        <v>45620.78958333333</v>
      </c>
      <c r="K33" s="154" t="s">
        <v>185</v>
      </c>
      <c r="L33" s="156" t="s">
        <v>63</v>
      </c>
      <c r="M33" s="156"/>
    </row>
    <row r="34">
      <c r="A34" s="153">
        <v>54.0</v>
      </c>
      <c r="B34" s="154" t="s">
        <v>7</v>
      </c>
      <c r="C34" s="154" t="s">
        <v>338</v>
      </c>
      <c r="D34" s="154" t="s">
        <v>143</v>
      </c>
      <c r="E34" s="154" t="s">
        <v>136</v>
      </c>
      <c r="F34" s="154" t="s">
        <v>136</v>
      </c>
      <c r="G34" s="154" t="s">
        <v>1823</v>
      </c>
      <c r="H34" s="155"/>
      <c r="I34" s="154" t="s">
        <v>135</v>
      </c>
      <c r="J34" s="157">
        <v>45621.64375</v>
      </c>
      <c r="K34" s="154" t="s">
        <v>2509</v>
      </c>
      <c r="L34" s="156" t="s">
        <v>63</v>
      </c>
      <c r="M34" s="156"/>
    </row>
    <row r="35">
      <c r="A35" s="153">
        <v>15.0</v>
      </c>
      <c r="B35" s="154" t="s">
        <v>6</v>
      </c>
      <c r="C35" s="154" t="s">
        <v>142</v>
      </c>
      <c r="D35" s="154" t="s">
        <v>143</v>
      </c>
      <c r="E35" s="154" t="s">
        <v>136</v>
      </c>
      <c r="F35" s="154" t="s">
        <v>136</v>
      </c>
      <c r="G35" s="154" t="s">
        <v>144</v>
      </c>
      <c r="H35" s="155"/>
      <c r="I35" s="154" t="s">
        <v>135</v>
      </c>
      <c r="J35" s="154" t="s">
        <v>2535</v>
      </c>
      <c r="K35" s="154" t="s">
        <v>2509</v>
      </c>
      <c r="L35" s="156" t="s">
        <v>63</v>
      </c>
      <c r="M35" s="156"/>
    </row>
    <row r="36">
      <c r="A36" s="153">
        <v>11.0</v>
      </c>
      <c r="B36" s="154" t="s">
        <v>7</v>
      </c>
      <c r="C36" s="154" t="s">
        <v>1195</v>
      </c>
      <c r="D36" s="154" t="s">
        <v>233</v>
      </c>
      <c r="E36" s="154" t="s">
        <v>136</v>
      </c>
      <c r="F36" s="154" t="s">
        <v>136</v>
      </c>
      <c r="G36" s="154" t="s">
        <v>363</v>
      </c>
      <c r="H36" s="155"/>
      <c r="I36" s="154" t="s">
        <v>135</v>
      </c>
      <c r="J36" s="154" t="s">
        <v>2536</v>
      </c>
      <c r="K36" s="154" t="s">
        <v>2507</v>
      </c>
      <c r="L36" s="156" t="s">
        <v>63</v>
      </c>
      <c r="M36" s="156"/>
    </row>
    <row r="37">
      <c r="A37" s="153">
        <v>37.0</v>
      </c>
      <c r="B37" s="154" t="s">
        <v>6</v>
      </c>
      <c r="C37" s="154" t="s">
        <v>2537</v>
      </c>
      <c r="D37" s="154" t="s">
        <v>134</v>
      </c>
      <c r="E37" s="154" t="s">
        <v>136</v>
      </c>
      <c r="F37" s="154" t="s">
        <v>136</v>
      </c>
      <c r="G37" s="154" t="s">
        <v>185</v>
      </c>
      <c r="H37" s="154" t="s">
        <v>2538</v>
      </c>
      <c r="I37" s="154" t="s">
        <v>136</v>
      </c>
      <c r="J37" s="157">
        <v>45601.805555555555</v>
      </c>
      <c r="K37" s="154" t="s">
        <v>2509</v>
      </c>
      <c r="L37" s="156" t="s">
        <v>63</v>
      </c>
      <c r="M37" s="156"/>
    </row>
    <row r="38">
      <c r="A38" s="153">
        <v>7.0</v>
      </c>
      <c r="B38" s="154" t="s">
        <v>7</v>
      </c>
      <c r="C38" s="154" t="s">
        <v>371</v>
      </c>
      <c r="D38" s="154" t="s">
        <v>197</v>
      </c>
      <c r="E38" s="154" t="s">
        <v>136</v>
      </c>
      <c r="F38" s="154" t="s">
        <v>136</v>
      </c>
      <c r="G38" s="154" t="s">
        <v>185</v>
      </c>
      <c r="H38" s="155"/>
      <c r="I38" s="154" t="s">
        <v>135</v>
      </c>
      <c r="J38" s="154" t="s">
        <v>2539</v>
      </c>
      <c r="K38" s="154" t="s">
        <v>185</v>
      </c>
      <c r="L38" s="156" t="s">
        <v>63</v>
      </c>
      <c r="M38" s="156"/>
    </row>
    <row r="39">
      <c r="A39" s="153">
        <v>16.0</v>
      </c>
      <c r="B39" s="154" t="s">
        <v>7</v>
      </c>
      <c r="C39" s="154" t="s">
        <v>167</v>
      </c>
      <c r="D39" s="154" t="s">
        <v>143</v>
      </c>
      <c r="E39" s="154" t="s">
        <v>136</v>
      </c>
      <c r="F39" s="154" t="s">
        <v>136</v>
      </c>
      <c r="G39" s="154" t="s">
        <v>1393</v>
      </c>
      <c r="H39" s="155"/>
      <c r="I39" s="154" t="s">
        <v>135</v>
      </c>
      <c r="J39" s="154" t="s">
        <v>2540</v>
      </c>
      <c r="K39" s="154" t="s">
        <v>2509</v>
      </c>
      <c r="L39" s="156" t="s">
        <v>63</v>
      </c>
      <c r="M39" s="156"/>
    </row>
    <row r="40">
      <c r="A40" s="153">
        <v>28.0</v>
      </c>
      <c r="B40" s="154" t="s">
        <v>7</v>
      </c>
      <c r="C40" s="154" t="s">
        <v>469</v>
      </c>
      <c r="D40" s="154" t="s">
        <v>202</v>
      </c>
      <c r="E40" s="154" t="s">
        <v>136</v>
      </c>
      <c r="F40" s="154" t="s">
        <v>136</v>
      </c>
      <c r="G40" s="154" t="s">
        <v>395</v>
      </c>
      <c r="H40" s="155"/>
      <c r="I40" s="154" t="s">
        <v>135</v>
      </c>
      <c r="J40" s="154" t="s">
        <v>2541</v>
      </c>
      <c r="K40" s="154" t="s">
        <v>2509</v>
      </c>
      <c r="L40" s="156" t="s">
        <v>63</v>
      </c>
      <c r="M40" s="156"/>
    </row>
    <row r="41">
      <c r="A41" s="153">
        <v>39.0</v>
      </c>
      <c r="B41" s="154" t="s">
        <v>6</v>
      </c>
      <c r="C41" s="154" t="s">
        <v>1087</v>
      </c>
      <c r="D41" s="154" t="s">
        <v>202</v>
      </c>
      <c r="E41" s="154" t="s">
        <v>136</v>
      </c>
      <c r="F41" s="154" t="s">
        <v>136</v>
      </c>
      <c r="G41" s="165" t="s">
        <v>2542</v>
      </c>
      <c r="H41" s="155"/>
      <c r="I41" s="154" t="s">
        <v>136</v>
      </c>
      <c r="J41" s="157">
        <v>45602.54652777778</v>
      </c>
      <c r="K41" s="154" t="s">
        <v>185</v>
      </c>
      <c r="L41" s="156" t="s">
        <v>63</v>
      </c>
      <c r="M41" s="156"/>
    </row>
    <row r="42">
      <c r="A42" s="153">
        <v>17.0</v>
      </c>
      <c r="B42" s="154" t="s">
        <v>7</v>
      </c>
      <c r="C42" s="154" t="s">
        <v>334</v>
      </c>
      <c r="D42" s="154" t="s">
        <v>228</v>
      </c>
      <c r="E42" s="154" t="s">
        <v>136</v>
      </c>
      <c r="F42" s="154" t="s">
        <v>136</v>
      </c>
      <c r="G42" s="154" t="s">
        <v>292</v>
      </c>
      <c r="H42" s="155"/>
      <c r="I42" s="154" t="s">
        <v>135</v>
      </c>
      <c r="J42" s="154" t="s">
        <v>2543</v>
      </c>
      <c r="K42" s="154" t="s">
        <v>2513</v>
      </c>
      <c r="L42" s="156" t="s">
        <v>63</v>
      </c>
      <c r="M42" s="156"/>
    </row>
    <row r="43">
      <c r="A43" s="153">
        <v>40.0</v>
      </c>
      <c r="B43" s="154" t="s">
        <v>6</v>
      </c>
      <c r="C43" s="154" t="s">
        <v>2544</v>
      </c>
      <c r="D43" s="154" t="s">
        <v>347</v>
      </c>
      <c r="E43" s="154" t="s">
        <v>135</v>
      </c>
      <c r="F43" s="154" t="s">
        <v>136</v>
      </c>
      <c r="G43" s="154" t="s">
        <v>150</v>
      </c>
      <c r="H43" s="155"/>
      <c r="I43" s="154" t="s">
        <v>136</v>
      </c>
      <c r="J43" s="157">
        <v>45605.816666666666</v>
      </c>
      <c r="K43" s="154" t="s">
        <v>2513</v>
      </c>
      <c r="L43" s="156" t="s">
        <v>63</v>
      </c>
      <c r="M43" s="156"/>
    </row>
    <row r="44">
      <c r="A44" s="153">
        <v>3.0</v>
      </c>
      <c r="B44" s="154" t="s">
        <v>6</v>
      </c>
      <c r="C44" s="154" t="s">
        <v>1116</v>
      </c>
      <c r="D44" s="154" t="s">
        <v>197</v>
      </c>
      <c r="E44" s="154" t="s">
        <v>136</v>
      </c>
      <c r="F44" s="154" t="s">
        <v>136</v>
      </c>
      <c r="G44" s="154" t="s">
        <v>2545</v>
      </c>
      <c r="H44" s="154" t="s">
        <v>2546</v>
      </c>
      <c r="I44" s="154" t="s">
        <v>135</v>
      </c>
      <c r="J44" s="154" t="s">
        <v>2547</v>
      </c>
      <c r="K44" s="154" t="s">
        <v>2513</v>
      </c>
      <c r="L44" s="156" t="s">
        <v>63</v>
      </c>
      <c r="M44" s="156"/>
    </row>
    <row r="45">
      <c r="A45" s="153">
        <v>36.0</v>
      </c>
      <c r="B45" s="154" t="s">
        <v>7</v>
      </c>
      <c r="C45" s="154" t="s">
        <v>2548</v>
      </c>
      <c r="D45" s="154" t="s">
        <v>177</v>
      </c>
      <c r="E45" s="154" t="s">
        <v>135</v>
      </c>
      <c r="F45" s="154" t="s">
        <v>136</v>
      </c>
      <c r="G45" s="154" t="s">
        <v>596</v>
      </c>
      <c r="H45" s="155"/>
      <c r="I45" s="154" t="s">
        <v>136</v>
      </c>
      <c r="J45" s="157">
        <v>45600.625</v>
      </c>
      <c r="K45" s="154" t="s">
        <v>2507</v>
      </c>
      <c r="L45" s="156" t="s">
        <v>63</v>
      </c>
      <c r="M45" s="156"/>
    </row>
    <row r="46">
      <c r="A46" s="153">
        <v>4.0</v>
      </c>
      <c r="B46" s="154" t="s">
        <v>7</v>
      </c>
      <c r="C46" s="154" t="s">
        <v>1243</v>
      </c>
      <c r="D46" s="154" t="s">
        <v>187</v>
      </c>
      <c r="E46" s="154" t="s">
        <v>136</v>
      </c>
      <c r="F46" s="154" t="s">
        <v>136</v>
      </c>
      <c r="G46" s="154" t="s">
        <v>231</v>
      </c>
      <c r="H46" s="155"/>
      <c r="I46" s="154" t="s">
        <v>135</v>
      </c>
      <c r="J46" s="154" t="s">
        <v>2547</v>
      </c>
      <c r="K46" s="154" t="s">
        <v>2509</v>
      </c>
      <c r="L46" s="156" t="s">
        <v>63</v>
      </c>
      <c r="M46" s="156"/>
    </row>
    <row r="47">
      <c r="A47" s="153">
        <v>13.0</v>
      </c>
      <c r="B47" s="154" t="s">
        <v>7</v>
      </c>
      <c r="C47" s="154" t="s">
        <v>1253</v>
      </c>
      <c r="D47" s="154" t="s">
        <v>233</v>
      </c>
      <c r="E47" s="154" t="s">
        <v>136</v>
      </c>
      <c r="F47" s="154" t="s">
        <v>136</v>
      </c>
      <c r="G47" s="154" t="s">
        <v>185</v>
      </c>
      <c r="H47" s="154" t="s">
        <v>2549</v>
      </c>
      <c r="I47" s="154" t="s">
        <v>135</v>
      </c>
      <c r="J47" s="154" t="s">
        <v>2550</v>
      </c>
      <c r="K47" s="154" t="s">
        <v>2513</v>
      </c>
      <c r="L47" s="156" t="s">
        <v>63</v>
      </c>
      <c r="M47" s="156"/>
    </row>
    <row r="48">
      <c r="A48" s="153">
        <v>31.0</v>
      </c>
      <c r="B48" s="154" t="s">
        <v>7</v>
      </c>
      <c r="C48" s="154" t="s">
        <v>1367</v>
      </c>
      <c r="D48" s="154" t="s">
        <v>209</v>
      </c>
      <c r="E48" s="154" t="s">
        <v>136</v>
      </c>
      <c r="F48" s="154" t="s">
        <v>136</v>
      </c>
      <c r="G48" s="154" t="s">
        <v>137</v>
      </c>
      <c r="H48" s="155"/>
      <c r="I48" s="154" t="s">
        <v>135</v>
      </c>
      <c r="J48" s="154" t="s">
        <v>2551</v>
      </c>
      <c r="K48" s="154" t="s">
        <v>2513</v>
      </c>
      <c r="L48" s="156" t="s">
        <v>63</v>
      </c>
      <c r="M48" s="156"/>
    </row>
    <row r="49">
      <c r="A49" s="153">
        <v>22.0</v>
      </c>
      <c r="B49" s="154" t="s">
        <v>6</v>
      </c>
      <c r="C49" s="154" t="s">
        <v>1975</v>
      </c>
      <c r="D49" s="154" t="s">
        <v>243</v>
      </c>
      <c r="E49" s="154" t="s">
        <v>136</v>
      </c>
      <c r="F49" s="154" t="s">
        <v>135</v>
      </c>
      <c r="G49" s="154" t="s">
        <v>1976</v>
      </c>
      <c r="H49" s="155"/>
      <c r="I49" s="154" t="s">
        <v>135</v>
      </c>
      <c r="J49" s="154" t="s">
        <v>2552</v>
      </c>
      <c r="K49" s="154" t="s">
        <v>2509</v>
      </c>
      <c r="L49" s="156" t="s">
        <v>63</v>
      </c>
      <c r="M49" s="156"/>
    </row>
    <row r="50">
      <c r="A50" s="153">
        <v>53.0</v>
      </c>
      <c r="B50" s="154" t="s">
        <v>7</v>
      </c>
      <c r="C50" s="154" t="s">
        <v>167</v>
      </c>
      <c r="D50" s="154" t="s">
        <v>143</v>
      </c>
      <c r="E50" s="154" t="s">
        <v>136</v>
      </c>
      <c r="F50" s="154" t="s">
        <v>136</v>
      </c>
      <c r="G50" s="154" t="s">
        <v>1872</v>
      </c>
      <c r="H50" s="155"/>
      <c r="I50" s="154" t="s">
        <v>135</v>
      </c>
      <c r="J50" s="157">
        <v>45621.63888888889</v>
      </c>
      <c r="K50" s="154" t="s">
        <v>2509</v>
      </c>
      <c r="L50" s="156" t="s">
        <v>63</v>
      </c>
      <c r="M50" s="156"/>
    </row>
    <row r="51">
      <c r="A51" s="153">
        <v>43.0</v>
      </c>
      <c r="B51" s="154" t="s">
        <v>6</v>
      </c>
      <c r="C51" s="154" t="s">
        <v>1978</v>
      </c>
      <c r="D51" s="154" t="s">
        <v>143</v>
      </c>
      <c r="E51" s="154" t="s">
        <v>136</v>
      </c>
      <c r="F51" s="154" t="s">
        <v>136</v>
      </c>
      <c r="G51" s="154" t="s">
        <v>1789</v>
      </c>
      <c r="H51" s="155"/>
      <c r="I51" s="154" t="s">
        <v>135</v>
      </c>
      <c r="J51" s="157">
        <v>45615.50069444445</v>
      </c>
      <c r="K51" s="154" t="s">
        <v>2502</v>
      </c>
      <c r="L51" s="156" t="s">
        <v>63</v>
      </c>
      <c r="M51" s="156"/>
    </row>
    <row r="52">
      <c r="A52" s="153">
        <v>26.0</v>
      </c>
      <c r="B52" s="154" t="s">
        <v>6</v>
      </c>
      <c r="C52" s="154" t="s">
        <v>2553</v>
      </c>
      <c r="D52" s="154" t="s">
        <v>187</v>
      </c>
      <c r="E52" s="154" t="s">
        <v>136</v>
      </c>
      <c r="F52" s="154" t="s">
        <v>136</v>
      </c>
      <c r="G52" s="154" t="s">
        <v>297</v>
      </c>
      <c r="H52" s="155"/>
      <c r="I52" s="154" t="s">
        <v>135</v>
      </c>
      <c r="J52" s="154" t="s">
        <v>2554</v>
      </c>
      <c r="K52" s="154" t="s">
        <v>2507</v>
      </c>
      <c r="L52" s="156" t="s">
        <v>63</v>
      </c>
      <c r="M52" s="156"/>
    </row>
    <row r="53">
      <c r="A53" s="153">
        <v>14.0</v>
      </c>
      <c r="B53" s="154" t="s">
        <v>7</v>
      </c>
      <c r="C53" s="154" t="s">
        <v>2555</v>
      </c>
      <c r="D53" s="154" t="s">
        <v>233</v>
      </c>
      <c r="E53" s="154" t="s">
        <v>136</v>
      </c>
      <c r="F53" s="154" t="s">
        <v>136</v>
      </c>
      <c r="G53" s="154" t="s">
        <v>185</v>
      </c>
      <c r="H53" s="154" t="s">
        <v>2556</v>
      </c>
      <c r="I53" s="154" t="s">
        <v>135</v>
      </c>
      <c r="J53" s="154" t="s">
        <v>2557</v>
      </c>
      <c r="K53" s="154" t="s">
        <v>2513</v>
      </c>
      <c r="L53" s="156" t="s">
        <v>63</v>
      </c>
      <c r="M53" s="156"/>
    </row>
    <row r="54">
      <c r="A54" s="153">
        <v>5.0</v>
      </c>
      <c r="B54" s="154" t="s">
        <v>7</v>
      </c>
      <c r="C54" s="154" t="s">
        <v>1831</v>
      </c>
      <c r="D54" s="154" t="s">
        <v>214</v>
      </c>
      <c r="E54" s="154" t="s">
        <v>135</v>
      </c>
      <c r="F54" s="154" t="s">
        <v>136</v>
      </c>
      <c r="G54" s="154" t="s">
        <v>1225</v>
      </c>
      <c r="H54" s="155"/>
      <c r="I54" s="154" t="s">
        <v>136</v>
      </c>
      <c r="J54" s="154" t="s">
        <v>1962</v>
      </c>
      <c r="K54" s="154" t="s">
        <v>2502</v>
      </c>
      <c r="L54" s="156" t="s">
        <v>63</v>
      </c>
      <c r="M54" s="156"/>
    </row>
    <row r="55">
      <c r="A55" s="153">
        <v>52.0</v>
      </c>
      <c r="B55" s="154" t="s">
        <v>7</v>
      </c>
      <c r="C55" s="154" t="s">
        <v>338</v>
      </c>
      <c r="D55" s="154" t="s">
        <v>143</v>
      </c>
      <c r="E55" s="154" t="s">
        <v>136</v>
      </c>
      <c r="F55" s="154" t="s">
        <v>136</v>
      </c>
      <c r="G55" s="154" t="s">
        <v>174</v>
      </c>
      <c r="H55" s="155"/>
      <c r="I55" s="154" t="s">
        <v>136</v>
      </c>
      <c r="J55" s="157">
        <v>45621.62986111111</v>
      </c>
      <c r="K55" s="154" t="s">
        <v>2513</v>
      </c>
      <c r="L55" s="156" t="s">
        <v>63</v>
      </c>
      <c r="M55" s="156"/>
    </row>
    <row r="56">
      <c r="A56" s="153">
        <v>18.0</v>
      </c>
      <c r="B56" s="154" t="s">
        <v>7</v>
      </c>
      <c r="C56" s="154" t="s">
        <v>2558</v>
      </c>
      <c r="D56" s="154" t="s">
        <v>233</v>
      </c>
      <c r="E56" s="154" t="s">
        <v>136</v>
      </c>
      <c r="F56" s="154" t="s">
        <v>136</v>
      </c>
      <c r="G56" s="154" t="s">
        <v>144</v>
      </c>
      <c r="H56" s="155"/>
      <c r="I56" s="154" t="s">
        <v>136</v>
      </c>
      <c r="J56" s="154" t="s">
        <v>2559</v>
      </c>
      <c r="K56" s="154" t="s">
        <v>2513</v>
      </c>
      <c r="L56" s="156" t="s">
        <v>63</v>
      </c>
      <c r="M56" s="156"/>
    </row>
    <row r="57">
      <c r="A57" s="153">
        <v>58.0</v>
      </c>
      <c r="B57" s="154" t="s">
        <v>7</v>
      </c>
      <c r="C57" s="154" t="s">
        <v>2560</v>
      </c>
      <c r="D57" s="154" t="s">
        <v>213</v>
      </c>
      <c r="E57" s="154" t="s">
        <v>135</v>
      </c>
      <c r="F57" s="154" t="s">
        <v>136</v>
      </c>
      <c r="G57" s="154" t="s">
        <v>606</v>
      </c>
      <c r="H57" s="155"/>
      <c r="I57" s="154" t="s">
        <v>136</v>
      </c>
      <c r="J57" s="157">
        <v>45622.41458333333</v>
      </c>
      <c r="K57" s="154" t="s">
        <v>2513</v>
      </c>
      <c r="L57" s="156" t="s">
        <v>63</v>
      </c>
      <c r="M57" s="156"/>
    </row>
    <row r="58">
      <c r="A58" s="153">
        <v>50.0</v>
      </c>
      <c r="B58" s="154" t="s">
        <v>6</v>
      </c>
      <c r="C58" s="154" t="s">
        <v>162</v>
      </c>
      <c r="D58" s="154" t="s">
        <v>134</v>
      </c>
      <c r="E58" s="154" t="s">
        <v>135</v>
      </c>
      <c r="F58" s="154" t="s">
        <v>136</v>
      </c>
      <c r="G58" s="154" t="s">
        <v>185</v>
      </c>
      <c r="H58" s="155"/>
      <c r="I58" s="154" t="s">
        <v>136</v>
      </c>
      <c r="J58" s="157">
        <v>45621.59444444445</v>
      </c>
      <c r="K58" s="154" t="s">
        <v>2513</v>
      </c>
      <c r="L58" s="156" t="s">
        <v>63</v>
      </c>
      <c r="M58" s="156"/>
    </row>
    <row r="59">
      <c r="A59" s="153">
        <v>8.0</v>
      </c>
      <c r="B59" s="154" t="s">
        <v>6</v>
      </c>
      <c r="C59" s="154" t="s">
        <v>1282</v>
      </c>
      <c r="D59" s="154" t="s">
        <v>134</v>
      </c>
      <c r="E59" s="154" t="s">
        <v>136</v>
      </c>
      <c r="F59" s="154" t="s">
        <v>136</v>
      </c>
      <c r="G59" s="154" t="s">
        <v>1421</v>
      </c>
      <c r="H59" s="155"/>
      <c r="I59" s="154" t="s">
        <v>135</v>
      </c>
      <c r="J59" s="154" t="s">
        <v>2561</v>
      </c>
      <c r="K59" s="154" t="s">
        <v>2509</v>
      </c>
      <c r="L59" s="156" t="s">
        <v>63</v>
      </c>
      <c r="M59" s="156"/>
    </row>
    <row r="60">
      <c r="A60" s="153">
        <v>35.0</v>
      </c>
      <c r="B60" s="154" t="s">
        <v>6</v>
      </c>
      <c r="C60" s="154" t="s">
        <v>459</v>
      </c>
      <c r="D60" s="154" t="s">
        <v>197</v>
      </c>
      <c r="E60" s="154" t="s">
        <v>136</v>
      </c>
      <c r="F60" s="154" t="s">
        <v>136</v>
      </c>
      <c r="G60" s="154" t="s">
        <v>174</v>
      </c>
      <c r="H60" s="155"/>
      <c r="I60" s="154" t="s">
        <v>135</v>
      </c>
      <c r="J60" s="157">
        <v>45600.38958333333</v>
      </c>
      <c r="K60" s="154" t="s">
        <v>2509</v>
      </c>
      <c r="L60" s="156" t="s">
        <v>63</v>
      </c>
      <c r="M60" s="156"/>
    </row>
    <row r="61">
      <c r="A61" s="153">
        <v>6.0</v>
      </c>
      <c r="B61" s="154" t="s">
        <v>7</v>
      </c>
      <c r="C61" s="154" t="s">
        <v>379</v>
      </c>
      <c r="D61" s="154" t="s">
        <v>202</v>
      </c>
      <c r="E61" s="154" t="s">
        <v>136</v>
      </c>
      <c r="F61" s="154" t="s">
        <v>136</v>
      </c>
      <c r="G61" s="154" t="s">
        <v>150</v>
      </c>
      <c r="H61" s="155"/>
      <c r="I61" s="154" t="s">
        <v>135</v>
      </c>
      <c r="J61" s="154" t="s">
        <v>2562</v>
      </c>
      <c r="K61" s="154" t="s">
        <v>2509</v>
      </c>
      <c r="L61" s="156" t="s">
        <v>63</v>
      </c>
      <c r="M61" s="15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9.86"/>
    <col customWidth="1" min="6" max="6" width="7.71"/>
    <col customWidth="1" min="7" max="7" width="57.86"/>
  </cols>
  <sheetData>
    <row r="1">
      <c r="A1" s="165" t="s">
        <v>116</v>
      </c>
      <c r="B1" s="165" t="s">
        <v>117</v>
      </c>
      <c r="C1" s="165" t="s">
        <v>118</v>
      </c>
      <c r="D1" s="165" t="s">
        <v>119</v>
      </c>
      <c r="E1" s="165" t="s">
        <v>120</v>
      </c>
      <c r="F1" s="165" t="s">
        <v>121</v>
      </c>
      <c r="G1" s="165" t="s">
        <v>122</v>
      </c>
      <c r="H1" s="165" t="s">
        <v>123</v>
      </c>
      <c r="I1" s="165" t="s">
        <v>3769</v>
      </c>
      <c r="J1" s="165" t="s">
        <v>125</v>
      </c>
      <c r="K1" s="165" t="s">
        <v>126</v>
      </c>
      <c r="L1" s="165"/>
      <c r="O1" s="123" t="s">
        <v>129</v>
      </c>
      <c r="P1" s="123" t="s">
        <v>130</v>
      </c>
      <c r="Q1" s="123" t="s">
        <v>131</v>
      </c>
    </row>
    <row r="2">
      <c r="A2" s="153">
        <v>51.0</v>
      </c>
      <c r="B2" s="154" t="s">
        <v>7</v>
      </c>
      <c r="C2" s="154" t="s">
        <v>973</v>
      </c>
      <c r="D2" s="154" t="s">
        <v>164</v>
      </c>
      <c r="E2" s="154" t="s">
        <v>135</v>
      </c>
      <c r="F2" s="154" t="s">
        <v>136</v>
      </c>
      <c r="G2" s="154" t="s">
        <v>221</v>
      </c>
      <c r="H2" s="155"/>
      <c r="I2" s="154" t="s">
        <v>135</v>
      </c>
      <c r="J2" s="154" t="s">
        <v>1990</v>
      </c>
      <c r="K2" s="154" t="s">
        <v>139</v>
      </c>
      <c r="L2" s="156" t="s">
        <v>62</v>
      </c>
      <c r="O2" s="7" t="str">
        <f t="array" ref="O2:O23">UNIQUE(D2:D120)</f>
        <v>Germany</v>
      </c>
      <c r="P2" s="7">
        <f t="shared" ref="P2:P22" si="1">COUNTIF(D$2:D$120,O2)</f>
        <v>9</v>
      </c>
      <c r="Q2" s="215" t="str">
        <f t="array" ref="Q2">XLOOKUP(O2,Countries!A$2:A$98,Countries!B$2:B$98,"tbd",0)</f>
        <v>Europe</v>
      </c>
    </row>
    <row r="3">
      <c r="A3" s="153">
        <v>18.0</v>
      </c>
      <c r="B3" s="154" t="s">
        <v>7</v>
      </c>
      <c r="C3" s="154" t="s">
        <v>1991</v>
      </c>
      <c r="D3" s="154" t="s">
        <v>209</v>
      </c>
      <c r="E3" s="154" t="s">
        <v>136</v>
      </c>
      <c r="F3" s="154" t="s">
        <v>135</v>
      </c>
      <c r="G3" s="165" t="s">
        <v>1421</v>
      </c>
      <c r="H3" s="155"/>
      <c r="I3" s="154" t="s">
        <v>136</v>
      </c>
      <c r="J3" s="154" t="s">
        <v>1992</v>
      </c>
      <c r="K3" s="154" t="s">
        <v>139</v>
      </c>
      <c r="L3" s="156" t="s">
        <v>62</v>
      </c>
      <c r="O3" s="83" t="s">
        <v>209</v>
      </c>
      <c r="P3" s="54">
        <f t="shared" si="1"/>
        <v>5</v>
      </c>
      <c r="Q3" s="142" t="str">
        <f t="array" ref="Q3">XLOOKUP(O3,Countries!A$2:A$98,Countries!B$2:B$98,"tbd",0)</f>
        <v>associated countries</v>
      </c>
    </row>
    <row r="4">
      <c r="A4" s="153">
        <v>21.0</v>
      </c>
      <c r="B4" s="154" t="s">
        <v>6</v>
      </c>
      <c r="C4" s="154" t="s">
        <v>1993</v>
      </c>
      <c r="D4" s="154" t="s">
        <v>290</v>
      </c>
      <c r="E4" s="154" t="s">
        <v>135</v>
      </c>
      <c r="F4" s="154" t="s">
        <v>136</v>
      </c>
      <c r="G4" s="154" t="s">
        <v>271</v>
      </c>
      <c r="H4" s="155"/>
      <c r="I4" s="154" t="s">
        <v>136</v>
      </c>
      <c r="J4" s="154" t="s">
        <v>1994</v>
      </c>
      <c r="K4" s="154" t="s">
        <v>139</v>
      </c>
      <c r="L4" s="156" t="s">
        <v>62</v>
      </c>
      <c r="O4" s="216" t="s">
        <v>290</v>
      </c>
      <c r="P4" s="217">
        <f t="shared" si="1"/>
        <v>2</v>
      </c>
      <c r="Q4" s="218" t="str">
        <f t="array" ref="Q4">XLOOKUP(O4,Countries!A$2:A$98,Countries!B$2:B$98,"tbd",0)</f>
        <v>Middle East</v>
      </c>
    </row>
    <row r="5">
      <c r="A5" s="153">
        <v>48.0</v>
      </c>
      <c r="B5" s="154" t="s">
        <v>7</v>
      </c>
      <c r="C5" s="154" t="s">
        <v>1995</v>
      </c>
      <c r="D5" s="154" t="s">
        <v>164</v>
      </c>
      <c r="E5" s="154" t="s">
        <v>135</v>
      </c>
      <c r="F5" s="154" t="s">
        <v>136</v>
      </c>
      <c r="G5" s="154" t="s">
        <v>157</v>
      </c>
      <c r="H5" s="155"/>
      <c r="I5" s="154" t="s">
        <v>136</v>
      </c>
      <c r="J5" s="154" t="s">
        <v>1996</v>
      </c>
      <c r="K5" s="154" t="s">
        <v>139</v>
      </c>
      <c r="L5" s="156" t="s">
        <v>62</v>
      </c>
      <c r="O5" s="83" t="s">
        <v>193</v>
      </c>
      <c r="P5" s="54">
        <f t="shared" si="1"/>
        <v>1</v>
      </c>
      <c r="Q5" s="142" t="str">
        <f t="array" ref="Q5">XLOOKUP(O5,Countries!A$2:A$98,Countries!B$2:B$98,"tbd",0)</f>
        <v>associated countries</v>
      </c>
    </row>
    <row r="6">
      <c r="A6" s="153">
        <v>45.0</v>
      </c>
      <c r="B6" s="154" t="s">
        <v>6</v>
      </c>
      <c r="C6" s="154" t="s">
        <v>536</v>
      </c>
      <c r="D6" s="154" t="s">
        <v>193</v>
      </c>
      <c r="E6" s="154" t="s">
        <v>135</v>
      </c>
      <c r="F6" s="154" t="s">
        <v>136</v>
      </c>
      <c r="G6" s="154" t="s">
        <v>3916</v>
      </c>
      <c r="H6" s="155"/>
      <c r="I6" s="154" t="s">
        <v>136</v>
      </c>
      <c r="J6" s="154" t="s">
        <v>1998</v>
      </c>
      <c r="K6" s="154" t="s">
        <v>139</v>
      </c>
      <c r="L6" s="156" t="s">
        <v>62</v>
      </c>
      <c r="O6" s="16" t="s">
        <v>197</v>
      </c>
      <c r="P6" s="7">
        <f t="shared" si="1"/>
        <v>5</v>
      </c>
      <c r="Q6" s="215" t="str">
        <f t="array" ref="Q6">XLOOKUP(O6,Countries!A$2:A$98,Countries!B$2:B$98,"tbd",0)</f>
        <v>Europe</v>
      </c>
    </row>
    <row r="7">
      <c r="A7" s="153">
        <v>44.0</v>
      </c>
      <c r="B7" s="154" t="s">
        <v>6</v>
      </c>
      <c r="C7" s="154" t="s">
        <v>1116</v>
      </c>
      <c r="D7" s="154" t="s">
        <v>197</v>
      </c>
      <c r="E7" s="154" t="s">
        <v>135</v>
      </c>
      <c r="F7" s="154" t="s">
        <v>136</v>
      </c>
      <c r="G7" s="165" t="s">
        <v>241</v>
      </c>
      <c r="H7" s="154" t="s">
        <v>1180</v>
      </c>
      <c r="I7" s="154" t="s">
        <v>136</v>
      </c>
      <c r="J7" s="154" t="s">
        <v>1999</v>
      </c>
      <c r="K7" s="154" t="s">
        <v>139</v>
      </c>
      <c r="L7" s="156" t="s">
        <v>62</v>
      </c>
      <c r="O7" s="216" t="s">
        <v>347</v>
      </c>
      <c r="P7" s="217">
        <f t="shared" si="1"/>
        <v>1</v>
      </c>
      <c r="Q7" s="218" t="str">
        <f t="array" ref="Q7">XLOOKUP(O7,Countries!A$2:A$98,Countries!B$2:B$98,"tbd",0)</f>
        <v>Middle/South America</v>
      </c>
    </row>
    <row r="8">
      <c r="A8" s="153">
        <v>5.0</v>
      </c>
      <c r="B8" s="154" t="s">
        <v>7</v>
      </c>
      <c r="C8" s="154" t="s">
        <v>2000</v>
      </c>
      <c r="D8" s="154" t="s">
        <v>347</v>
      </c>
      <c r="E8" s="154" t="s">
        <v>136</v>
      </c>
      <c r="F8" s="154" t="s">
        <v>136</v>
      </c>
      <c r="G8" s="165" t="s">
        <v>479</v>
      </c>
      <c r="H8" s="155"/>
      <c r="I8" s="154" t="s">
        <v>135</v>
      </c>
      <c r="J8" s="157">
        <v>45517.64375</v>
      </c>
      <c r="K8" s="154" t="s">
        <v>139</v>
      </c>
      <c r="L8" s="156" t="s">
        <v>62</v>
      </c>
      <c r="O8" s="16" t="s">
        <v>143</v>
      </c>
      <c r="P8" s="7">
        <f t="shared" si="1"/>
        <v>10</v>
      </c>
      <c r="Q8" s="215" t="str">
        <f t="array" ref="Q8">XLOOKUP(O8,Countries!A$2:A$98,Countries!B$2:B$98,"tbd",0)</f>
        <v>Europe</v>
      </c>
    </row>
    <row r="9">
      <c r="A9" s="153">
        <v>17.0</v>
      </c>
      <c r="B9" s="154" t="s">
        <v>7</v>
      </c>
      <c r="C9" s="154" t="s">
        <v>338</v>
      </c>
      <c r="D9" s="154" t="s">
        <v>143</v>
      </c>
      <c r="E9" s="154" t="s">
        <v>136</v>
      </c>
      <c r="F9" s="154" t="s">
        <v>136</v>
      </c>
      <c r="G9" s="154" t="s">
        <v>174</v>
      </c>
      <c r="H9" s="155"/>
      <c r="I9" s="154" t="s">
        <v>135</v>
      </c>
      <c r="J9" s="154" t="s">
        <v>2001</v>
      </c>
      <c r="K9" s="154" t="s">
        <v>139</v>
      </c>
      <c r="L9" s="156" t="s">
        <v>62</v>
      </c>
      <c r="O9" s="16" t="s">
        <v>134</v>
      </c>
      <c r="P9" s="7">
        <f t="shared" si="1"/>
        <v>3</v>
      </c>
      <c r="Q9" s="215" t="str">
        <f t="array" ref="Q9">XLOOKUP(O9,Countries!A$2:A$98,Countries!B$2:B$98,"tbd",0)</f>
        <v>Europe</v>
      </c>
    </row>
    <row r="10">
      <c r="A10" s="153">
        <v>42.0</v>
      </c>
      <c r="B10" s="154" t="s">
        <v>6</v>
      </c>
      <c r="C10" s="154" t="s">
        <v>2002</v>
      </c>
      <c r="D10" s="154" t="s">
        <v>134</v>
      </c>
      <c r="E10" s="154" t="s">
        <v>136</v>
      </c>
      <c r="F10" s="154" t="s">
        <v>136</v>
      </c>
      <c r="G10" s="154" t="s">
        <v>3917</v>
      </c>
      <c r="H10" s="154" t="s">
        <v>2003</v>
      </c>
      <c r="I10" s="154" t="s">
        <v>135</v>
      </c>
      <c r="J10" s="154" t="s">
        <v>2004</v>
      </c>
      <c r="K10" s="154" t="s">
        <v>139</v>
      </c>
      <c r="L10" s="156" t="s">
        <v>62</v>
      </c>
      <c r="O10" s="216" t="s">
        <v>160</v>
      </c>
      <c r="P10" s="217">
        <f t="shared" si="1"/>
        <v>1</v>
      </c>
      <c r="Q10" s="218" t="str">
        <f t="array" ref="Q10">XLOOKUP(O10,Countries!A$2:A$98,Countries!B$2:B$98,"tbd",0)</f>
        <v>Africa</v>
      </c>
    </row>
    <row r="11">
      <c r="A11" s="153">
        <v>1.0</v>
      </c>
      <c r="B11" s="154" t="s">
        <v>7</v>
      </c>
      <c r="C11" s="154" t="s">
        <v>195</v>
      </c>
      <c r="D11" s="154" t="s">
        <v>164</v>
      </c>
      <c r="E11" s="154" t="s">
        <v>136</v>
      </c>
      <c r="F11" s="154" t="s">
        <v>136</v>
      </c>
      <c r="G11" s="154" t="s">
        <v>174</v>
      </c>
      <c r="H11" s="155"/>
      <c r="I11" s="154" t="s">
        <v>135</v>
      </c>
      <c r="J11" s="154" t="s">
        <v>1884</v>
      </c>
      <c r="K11" s="154" t="s">
        <v>139</v>
      </c>
      <c r="L11" s="156" t="s">
        <v>62</v>
      </c>
      <c r="O11" s="216" t="s">
        <v>296</v>
      </c>
      <c r="P11" s="217">
        <f t="shared" si="1"/>
        <v>2</v>
      </c>
      <c r="Q11" s="218" t="str">
        <f t="array" ref="Q11">XLOOKUP(O11,Countries!A$2:A$98,Countries!B$2:B$98,"tbd",0)</f>
        <v>Middle East</v>
      </c>
    </row>
    <row r="12">
      <c r="A12" s="153">
        <v>30.0</v>
      </c>
      <c r="B12" s="154" t="s">
        <v>7</v>
      </c>
      <c r="C12" s="154" t="s">
        <v>200</v>
      </c>
      <c r="D12" s="154" t="s">
        <v>143</v>
      </c>
      <c r="E12" s="154" t="s">
        <v>135</v>
      </c>
      <c r="F12" s="154" t="s">
        <v>135</v>
      </c>
      <c r="G12" s="154" t="s">
        <v>174</v>
      </c>
      <c r="H12" s="155"/>
      <c r="I12" s="154" t="s">
        <v>135</v>
      </c>
      <c r="J12" s="154" t="s">
        <v>2005</v>
      </c>
      <c r="K12" s="154" t="s">
        <v>139</v>
      </c>
      <c r="L12" s="156" t="s">
        <v>62</v>
      </c>
      <c r="O12" s="83" t="s">
        <v>218</v>
      </c>
      <c r="P12" s="54">
        <f t="shared" si="1"/>
        <v>1</v>
      </c>
      <c r="Q12" s="142" t="str">
        <f t="array" ref="Q12">XLOOKUP(O12,Countries!A$2:A$98,Countries!B$2:B$98,"tbd",0)</f>
        <v>associated countries</v>
      </c>
    </row>
    <row r="13">
      <c r="A13" s="153">
        <v>11.0</v>
      </c>
      <c r="B13" s="154" t="s">
        <v>7</v>
      </c>
      <c r="C13" s="154" t="s">
        <v>2006</v>
      </c>
      <c r="D13" s="154" t="s">
        <v>209</v>
      </c>
      <c r="E13" s="154" t="s">
        <v>135</v>
      </c>
      <c r="F13" s="154" t="s">
        <v>136</v>
      </c>
      <c r="G13" s="154" t="s">
        <v>271</v>
      </c>
      <c r="H13" s="155"/>
      <c r="I13" s="154" t="s">
        <v>135</v>
      </c>
      <c r="J13" s="154" t="s">
        <v>2007</v>
      </c>
      <c r="K13" s="154" t="s">
        <v>139</v>
      </c>
      <c r="L13" s="156" t="s">
        <v>62</v>
      </c>
      <c r="O13" s="83" t="s">
        <v>268</v>
      </c>
      <c r="P13" s="54">
        <f t="shared" si="1"/>
        <v>1</v>
      </c>
      <c r="Q13" s="142" t="str">
        <f t="array" ref="Q13">XLOOKUP(O13,Countries!A$2:A$98,Countries!B$2:B$98,"tbd",0)</f>
        <v>associated countries</v>
      </c>
    </row>
    <row r="14">
      <c r="A14" s="153">
        <v>46.0</v>
      </c>
      <c r="B14" s="154" t="s">
        <v>6</v>
      </c>
      <c r="C14" s="154" t="s">
        <v>2008</v>
      </c>
      <c r="D14" s="154" t="s">
        <v>160</v>
      </c>
      <c r="E14" s="154" t="s">
        <v>135</v>
      </c>
      <c r="F14" s="154" t="s">
        <v>135</v>
      </c>
      <c r="G14" s="154" t="s">
        <v>3918</v>
      </c>
      <c r="H14" s="155"/>
      <c r="I14" s="154" t="s">
        <v>135</v>
      </c>
      <c r="J14" s="154" t="s">
        <v>2010</v>
      </c>
      <c r="K14" s="154" t="s">
        <v>139</v>
      </c>
      <c r="L14" s="156" t="s">
        <v>62</v>
      </c>
      <c r="O14" s="83" t="s">
        <v>228</v>
      </c>
      <c r="P14" s="54">
        <f t="shared" si="1"/>
        <v>1</v>
      </c>
      <c r="Q14" s="142" t="str">
        <f t="array" ref="Q14">XLOOKUP(O14,Countries!A$2:A$98,Countries!B$2:B$98,"tbd",0)</f>
        <v>widening countries</v>
      </c>
    </row>
    <row r="15">
      <c r="A15" s="153">
        <v>10.0</v>
      </c>
      <c r="B15" s="154" t="s">
        <v>6</v>
      </c>
      <c r="C15" s="154" t="s">
        <v>1834</v>
      </c>
      <c r="D15" s="154" t="s">
        <v>296</v>
      </c>
      <c r="E15" s="154" t="s">
        <v>135</v>
      </c>
      <c r="F15" s="154" t="s">
        <v>136</v>
      </c>
      <c r="G15" s="154" t="s">
        <v>606</v>
      </c>
      <c r="H15" s="154" t="s">
        <v>2011</v>
      </c>
      <c r="I15" s="154" t="s">
        <v>136</v>
      </c>
      <c r="J15" s="154" t="s">
        <v>2012</v>
      </c>
      <c r="K15" s="154" t="s">
        <v>139</v>
      </c>
      <c r="L15" s="156" t="s">
        <v>62</v>
      </c>
      <c r="O15" s="83" t="s">
        <v>352</v>
      </c>
      <c r="P15" s="54">
        <f t="shared" si="1"/>
        <v>1</v>
      </c>
      <c r="Q15" s="142" t="str">
        <f t="array" ref="Q15">XLOOKUP(O15,Countries!A$2:A$98,Countries!B$2:B$98,"tbd",0)</f>
        <v>widening countries</v>
      </c>
    </row>
    <row r="16">
      <c r="A16" s="153">
        <v>38.0</v>
      </c>
      <c r="B16" s="154" t="s">
        <v>6</v>
      </c>
      <c r="C16" s="154" t="s">
        <v>338</v>
      </c>
      <c r="D16" s="154" t="s">
        <v>143</v>
      </c>
      <c r="E16" s="154" t="s">
        <v>136</v>
      </c>
      <c r="F16" s="154" t="s">
        <v>136</v>
      </c>
      <c r="G16" s="154" t="s">
        <v>460</v>
      </c>
      <c r="H16" s="155"/>
      <c r="I16" s="154" t="s">
        <v>135</v>
      </c>
      <c r="J16" s="154" t="s">
        <v>2013</v>
      </c>
      <c r="K16" s="154" t="s">
        <v>139</v>
      </c>
      <c r="L16" s="156" t="s">
        <v>62</v>
      </c>
      <c r="O16" s="83" t="s">
        <v>223</v>
      </c>
      <c r="P16" s="54">
        <f t="shared" si="1"/>
        <v>2</v>
      </c>
      <c r="Q16" s="142" t="str">
        <f t="array" ref="Q16">XLOOKUP(O16,Countries!A$2:A$98,Countries!B$2:B$98,"tbd",0)</f>
        <v>widening countries</v>
      </c>
    </row>
    <row r="17">
      <c r="A17" s="153">
        <v>28.0</v>
      </c>
      <c r="B17" s="154" t="s">
        <v>6</v>
      </c>
      <c r="C17" s="154" t="s">
        <v>240</v>
      </c>
      <c r="D17" s="154" t="s">
        <v>197</v>
      </c>
      <c r="E17" s="154" t="s">
        <v>136</v>
      </c>
      <c r="F17" s="154" t="s">
        <v>136</v>
      </c>
      <c r="G17" s="154" t="s">
        <v>241</v>
      </c>
      <c r="H17" s="155"/>
      <c r="I17" s="154" t="s">
        <v>135</v>
      </c>
      <c r="J17" s="154" t="s">
        <v>2014</v>
      </c>
      <c r="K17" s="154" t="s">
        <v>139</v>
      </c>
      <c r="L17" s="156" t="s">
        <v>62</v>
      </c>
      <c r="O17" s="16" t="s">
        <v>202</v>
      </c>
      <c r="P17" s="7">
        <f t="shared" si="1"/>
        <v>3</v>
      </c>
      <c r="Q17" s="215" t="str">
        <f t="array" ref="Q17">XLOOKUP(O17,Countries!A$2:A$98,Countries!B$2:B$98,"tbd",0)</f>
        <v>Europe</v>
      </c>
    </row>
    <row r="18">
      <c r="A18" s="153">
        <v>37.0</v>
      </c>
      <c r="B18" s="154" t="s">
        <v>7</v>
      </c>
      <c r="C18" s="154" t="s">
        <v>338</v>
      </c>
      <c r="D18" s="154" t="s">
        <v>143</v>
      </c>
      <c r="E18" s="154" t="s">
        <v>136</v>
      </c>
      <c r="F18" s="154" t="s">
        <v>136</v>
      </c>
      <c r="G18" s="154" t="s">
        <v>144</v>
      </c>
      <c r="H18" s="154" t="s">
        <v>2015</v>
      </c>
      <c r="I18" s="154" t="s">
        <v>135</v>
      </c>
      <c r="J18" s="154" t="s">
        <v>2016</v>
      </c>
      <c r="K18" s="154" t="s">
        <v>139</v>
      </c>
      <c r="L18" s="156" t="s">
        <v>62</v>
      </c>
      <c r="O18" s="216" t="s">
        <v>147</v>
      </c>
      <c r="P18" s="217">
        <f t="shared" si="1"/>
        <v>1</v>
      </c>
      <c r="Q18" s="218" t="str">
        <f t="array" ref="Q18">XLOOKUP(O18,Countries!A$2:A$98,Countries!B$2:B$98,"tbd",0)</f>
        <v>Africa</v>
      </c>
    </row>
    <row r="19">
      <c r="A19" s="153">
        <v>4.0</v>
      </c>
      <c r="B19" s="154" t="s">
        <v>7</v>
      </c>
      <c r="C19" s="154" t="s">
        <v>250</v>
      </c>
      <c r="D19" s="154" t="s">
        <v>209</v>
      </c>
      <c r="E19" s="154" t="s">
        <v>136</v>
      </c>
      <c r="F19" s="154" t="s">
        <v>136</v>
      </c>
      <c r="G19" s="154" t="s">
        <v>2017</v>
      </c>
      <c r="H19" s="154" t="s">
        <v>1180</v>
      </c>
      <c r="I19" s="154" t="s">
        <v>135</v>
      </c>
      <c r="J19" s="157">
        <v>45510.472916666666</v>
      </c>
      <c r="K19" s="154" t="s">
        <v>139</v>
      </c>
      <c r="L19" s="156" t="s">
        <v>62</v>
      </c>
      <c r="O19" s="216" t="s">
        <v>249</v>
      </c>
      <c r="P19" s="217">
        <f t="shared" si="1"/>
        <v>1</v>
      </c>
      <c r="Q19" s="218" t="str">
        <f t="array" ref="Q19">XLOOKUP(O19,Countries!A$2:A$98,Countries!B$2:B$98,"tbd",0)</f>
        <v>Asia</v>
      </c>
    </row>
    <row r="20">
      <c r="A20" s="153">
        <v>8.0</v>
      </c>
      <c r="B20" s="154" t="s">
        <v>7</v>
      </c>
      <c r="C20" s="154" t="s">
        <v>2018</v>
      </c>
      <c r="D20" s="154" t="s">
        <v>296</v>
      </c>
      <c r="E20" s="154" t="s">
        <v>135</v>
      </c>
      <c r="F20" s="154" t="s">
        <v>136</v>
      </c>
      <c r="G20" s="154" t="s">
        <v>137</v>
      </c>
      <c r="H20" s="155"/>
      <c r="I20" s="154" t="s">
        <v>136</v>
      </c>
      <c r="J20" s="154" t="s">
        <v>2019</v>
      </c>
      <c r="K20" s="154" t="s">
        <v>139</v>
      </c>
      <c r="L20" s="156" t="s">
        <v>62</v>
      </c>
      <c r="O20" s="16" t="s">
        <v>187</v>
      </c>
      <c r="P20" s="7">
        <f t="shared" si="1"/>
        <v>1</v>
      </c>
      <c r="Q20" s="215" t="str">
        <f t="array" ref="Q20">XLOOKUP(O20,Countries!A$2:A$98,Countries!B$2:B$98,"tbd",0)</f>
        <v>Europe</v>
      </c>
    </row>
    <row r="21">
      <c r="A21" s="153">
        <v>47.0</v>
      </c>
      <c r="B21" s="154" t="s">
        <v>6</v>
      </c>
      <c r="C21" s="154" t="s">
        <v>342</v>
      </c>
      <c r="D21" s="154" t="s">
        <v>218</v>
      </c>
      <c r="E21" s="154" t="s">
        <v>136</v>
      </c>
      <c r="F21" s="154" t="s">
        <v>136</v>
      </c>
      <c r="G21" s="154" t="s">
        <v>650</v>
      </c>
      <c r="H21" s="155"/>
      <c r="I21" s="154" t="s">
        <v>135</v>
      </c>
      <c r="J21" s="154" t="s">
        <v>2020</v>
      </c>
      <c r="K21" s="154" t="s">
        <v>139</v>
      </c>
      <c r="L21" s="156" t="s">
        <v>62</v>
      </c>
      <c r="O21" s="16" t="s">
        <v>248</v>
      </c>
      <c r="P21" s="7">
        <f t="shared" si="1"/>
        <v>2</v>
      </c>
      <c r="Q21" s="215" t="str">
        <f t="array" ref="Q21">XLOOKUP(O21,Countries!A$2:A$98,Countries!B$2:B$98,"tbd",0)</f>
        <v>Europe</v>
      </c>
    </row>
    <row r="22">
      <c r="A22" s="153">
        <v>19.0</v>
      </c>
      <c r="B22" s="154" t="s">
        <v>6</v>
      </c>
      <c r="C22" s="154" t="s">
        <v>1819</v>
      </c>
      <c r="D22" s="154" t="s">
        <v>268</v>
      </c>
      <c r="E22" s="154" t="s">
        <v>135</v>
      </c>
      <c r="F22" s="154" t="s">
        <v>136</v>
      </c>
      <c r="G22" s="154" t="s">
        <v>137</v>
      </c>
      <c r="H22" s="155"/>
      <c r="I22" s="154" t="s">
        <v>136</v>
      </c>
      <c r="J22" s="154" t="s">
        <v>2021</v>
      </c>
      <c r="K22" s="154" t="s">
        <v>139</v>
      </c>
      <c r="L22" s="156" t="s">
        <v>62</v>
      </c>
      <c r="O22" s="216" t="s">
        <v>214</v>
      </c>
      <c r="P22" s="217">
        <f t="shared" si="1"/>
        <v>1</v>
      </c>
      <c r="Q22" s="218" t="str">
        <f t="array" ref="Q22">XLOOKUP(O22,Countries!A$2:A$98,Countries!B$2:B$98,"tbd",0)</f>
        <v>Asia</v>
      </c>
    </row>
    <row r="23">
      <c r="A23" s="153">
        <v>54.0</v>
      </c>
      <c r="B23" s="154" t="s">
        <v>6</v>
      </c>
      <c r="C23" s="154" t="s">
        <v>1367</v>
      </c>
      <c r="D23" s="154" t="s">
        <v>209</v>
      </c>
      <c r="E23" s="154" t="s">
        <v>136</v>
      </c>
      <c r="F23" s="154" t="s">
        <v>136</v>
      </c>
      <c r="G23" s="154" t="s">
        <v>137</v>
      </c>
      <c r="H23" s="154" t="s">
        <v>455</v>
      </c>
      <c r="I23" s="154" t="s">
        <v>135</v>
      </c>
      <c r="J23" s="154" t="s">
        <v>2022</v>
      </c>
      <c r="K23" s="154" t="s">
        <v>139</v>
      </c>
      <c r="L23" s="156" t="s">
        <v>62</v>
      </c>
      <c r="O23" s="16"/>
      <c r="P23" s="7">
        <f>SUM(P2:P22)</f>
        <v>54</v>
      </c>
      <c r="Q23" s="215"/>
    </row>
    <row r="24">
      <c r="A24" s="153">
        <v>25.0</v>
      </c>
      <c r="B24" s="154" t="s">
        <v>6</v>
      </c>
      <c r="C24" s="154" t="s">
        <v>2023</v>
      </c>
      <c r="D24" s="154" t="s">
        <v>290</v>
      </c>
      <c r="E24" s="154" t="s">
        <v>135</v>
      </c>
      <c r="F24" s="154" t="s">
        <v>136</v>
      </c>
      <c r="G24" s="154" t="s">
        <v>221</v>
      </c>
      <c r="H24" s="155"/>
      <c r="I24" s="154" t="s">
        <v>136</v>
      </c>
      <c r="J24" s="154" t="s">
        <v>2024</v>
      </c>
      <c r="K24" s="154" t="s">
        <v>139</v>
      </c>
      <c r="L24" s="156" t="s">
        <v>62</v>
      </c>
      <c r="P24" s="7"/>
      <c r="Q24" s="215"/>
    </row>
    <row r="25">
      <c r="A25" s="153">
        <v>2.0</v>
      </c>
      <c r="B25" s="154" t="s">
        <v>7</v>
      </c>
      <c r="C25" s="154" t="s">
        <v>250</v>
      </c>
      <c r="D25" s="154" t="s">
        <v>209</v>
      </c>
      <c r="E25" s="154" t="s">
        <v>136</v>
      </c>
      <c r="F25" s="154" t="s">
        <v>136</v>
      </c>
      <c r="G25" s="154" t="s">
        <v>767</v>
      </c>
      <c r="H25" s="155"/>
      <c r="I25" s="154" t="s">
        <v>135</v>
      </c>
      <c r="J25" s="154" t="s">
        <v>2025</v>
      </c>
      <c r="K25" s="154" t="s">
        <v>139</v>
      </c>
      <c r="L25" s="156" t="s">
        <v>62</v>
      </c>
      <c r="P25" s="17">
        <v>12.0</v>
      </c>
      <c r="Q25" s="17" t="s">
        <v>3818</v>
      </c>
    </row>
    <row r="26">
      <c r="A26" s="153">
        <v>53.0</v>
      </c>
      <c r="B26" s="154" t="s">
        <v>6</v>
      </c>
      <c r="C26" s="154" t="s">
        <v>973</v>
      </c>
      <c r="D26" s="154" t="s">
        <v>164</v>
      </c>
      <c r="E26" s="154" t="s">
        <v>135</v>
      </c>
      <c r="F26" s="154" t="s">
        <v>136</v>
      </c>
      <c r="G26" s="154" t="s">
        <v>157</v>
      </c>
      <c r="H26" s="155"/>
      <c r="I26" s="154" t="s">
        <v>136</v>
      </c>
      <c r="J26" s="154" t="s">
        <v>2026</v>
      </c>
      <c r="K26" s="154" t="s">
        <v>139</v>
      </c>
      <c r="L26" s="156" t="s">
        <v>62</v>
      </c>
      <c r="P26" s="17">
        <v>9.0</v>
      </c>
      <c r="Q26" s="17" t="s">
        <v>22</v>
      </c>
    </row>
    <row r="27">
      <c r="A27" s="153">
        <v>3.0</v>
      </c>
      <c r="B27" s="154" t="s">
        <v>7</v>
      </c>
      <c r="C27" s="154" t="s">
        <v>356</v>
      </c>
      <c r="D27" s="154" t="s">
        <v>228</v>
      </c>
      <c r="E27" s="154" t="s">
        <v>136</v>
      </c>
      <c r="F27" s="154" t="s">
        <v>136</v>
      </c>
      <c r="G27" s="154" t="s">
        <v>144</v>
      </c>
      <c r="H27" s="155"/>
      <c r="I27" s="154" t="s">
        <v>135</v>
      </c>
      <c r="J27" s="154" t="s">
        <v>2027</v>
      </c>
      <c r="K27" s="154" t="s">
        <v>139</v>
      </c>
      <c r="L27" s="156" t="s">
        <v>62</v>
      </c>
      <c r="P27" s="17">
        <v>21.0</v>
      </c>
      <c r="Q27" s="17" t="s">
        <v>3821</v>
      </c>
    </row>
    <row r="28">
      <c r="A28" s="153">
        <v>26.0</v>
      </c>
      <c r="B28" s="154" t="s">
        <v>6</v>
      </c>
      <c r="C28" s="154" t="s">
        <v>2028</v>
      </c>
      <c r="D28" s="154" t="s">
        <v>134</v>
      </c>
      <c r="E28" s="154" t="s">
        <v>135</v>
      </c>
      <c r="F28" s="154" t="s">
        <v>136</v>
      </c>
      <c r="G28" s="154" t="s">
        <v>271</v>
      </c>
      <c r="H28" s="154" t="s">
        <v>2029</v>
      </c>
      <c r="I28" s="154" t="s">
        <v>136</v>
      </c>
      <c r="J28" s="154" t="s">
        <v>2030</v>
      </c>
      <c r="K28" s="154" t="s">
        <v>139</v>
      </c>
      <c r="L28" s="156" t="s">
        <v>62</v>
      </c>
      <c r="P28" s="17">
        <v>11.0</v>
      </c>
      <c r="Q28" s="17" t="s">
        <v>3822</v>
      </c>
    </row>
    <row r="29">
      <c r="A29" s="153">
        <v>9.0</v>
      </c>
      <c r="B29" s="154" t="s">
        <v>6</v>
      </c>
      <c r="C29" s="154" t="s">
        <v>1840</v>
      </c>
      <c r="D29" s="154" t="s">
        <v>352</v>
      </c>
      <c r="E29" s="154" t="s">
        <v>135</v>
      </c>
      <c r="F29" s="154" t="s">
        <v>136</v>
      </c>
      <c r="G29" s="154" t="s">
        <v>460</v>
      </c>
      <c r="H29" s="155"/>
      <c r="I29" s="154" t="s">
        <v>136</v>
      </c>
      <c r="J29" s="154" t="s">
        <v>2031</v>
      </c>
      <c r="K29" s="154" t="s">
        <v>139</v>
      </c>
      <c r="L29" s="156" t="s">
        <v>62</v>
      </c>
    </row>
    <row r="30">
      <c r="A30" s="153">
        <v>35.0</v>
      </c>
      <c r="B30" s="154" t="s">
        <v>7</v>
      </c>
      <c r="C30" s="154" t="s">
        <v>2032</v>
      </c>
      <c r="D30" s="154" t="s">
        <v>223</v>
      </c>
      <c r="E30" s="154" t="s">
        <v>135</v>
      </c>
      <c r="F30" s="154" t="s">
        <v>136</v>
      </c>
      <c r="G30" s="154" t="s">
        <v>137</v>
      </c>
      <c r="H30" s="155"/>
      <c r="I30" s="154" t="s">
        <v>136</v>
      </c>
      <c r="J30" s="154" t="s">
        <v>2033</v>
      </c>
      <c r="K30" s="154" t="s">
        <v>139</v>
      </c>
      <c r="L30" s="156" t="s">
        <v>62</v>
      </c>
    </row>
    <row r="31">
      <c r="A31" s="153">
        <v>32.0</v>
      </c>
      <c r="B31" s="154" t="s">
        <v>6</v>
      </c>
      <c r="C31" s="154" t="s">
        <v>142</v>
      </c>
      <c r="D31" s="154" t="s">
        <v>143</v>
      </c>
      <c r="E31" s="154" t="s">
        <v>136</v>
      </c>
      <c r="F31" s="154" t="s">
        <v>136</v>
      </c>
      <c r="G31" s="154" t="s">
        <v>144</v>
      </c>
      <c r="H31" s="155"/>
      <c r="I31" s="154" t="s">
        <v>135</v>
      </c>
      <c r="J31" s="154" t="s">
        <v>2034</v>
      </c>
      <c r="K31" s="154" t="s">
        <v>139</v>
      </c>
      <c r="L31" s="156" t="s">
        <v>62</v>
      </c>
    </row>
    <row r="32">
      <c r="A32" s="153">
        <v>43.0</v>
      </c>
      <c r="B32" s="154" t="s">
        <v>7</v>
      </c>
      <c r="C32" s="154" t="s">
        <v>1116</v>
      </c>
      <c r="D32" s="154" t="s">
        <v>197</v>
      </c>
      <c r="E32" s="154" t="s">
        <v>136</v>
      </c>
      <c r="F32" s="154" t="s">
        <v>136</v>
      </c>
      <c r="G32" s="154" t="s">
        <v>185</v>
      </c>
      <c r="H32" s="155"/>
      <c r="I32" s="154" t="s">
        <v>135</v>
      </c>
      <c r="J32" s="154" t="s">
        <v>2035</v>
      </c>
      <c r="K32" s="154" t="s">
        <v>139</v>
      </c>
      <c r="L32" s="156" t="s">
        <v>62</v>
      </c>
    </row>
    <row r="33">
      <c r="A33" s="153">
        <v>24.0</v>
      </c>
      <c r="B33" s="154" t="s">
        <v>6</v>
      </c>
      <c r="C33" s="154" t="s">
        <v>2036</v>
      </c>
      <c r="D33" s="154" t="s">
        <v>164</v>
      </c>
      <c r="E33" s="154" t="s">
        <v>135</v>
      </c>
      <c r="F33" s="154" t="s">
        <v>136</v>
      </c>
      <c r="G33" s="154" t="s">
        <v>271</v>
      </c>
      <c r="H33" s="155"/>
      <c r="I33" s="154" t="s">
        <v>136</v>
      </c>
      <c r="J33" s="154" t="s">
        <v>2037</v>
      </c>
      <c r="K33" s="154" t="s">
        <v>139</v>
      </c>
      <c r="L33" s="156" t="s">
        <v>62</v>
      </c>
    </row>
    <row r="34">
      <c r="A34" s="153">
        <v>16.0</v>
      </c>
      <c r="B34" s="154" t="s">
        <v>7</v>
      </c>
      <c r="C34" s="154" t="s">
        <v>167</v>
      </c>
      <c r="D34" s="154" t="s">
        <v>143</v>
      </c>
      <c r="E34" s="154" t="s">
        <v>136</v>
      </c>
      <c r="F34" s="154" t="s">
        <v>136</v>
      </c>
      <c r="G34" s="154" t="s">
        <v>377</v>
      </c>
      <c r="H34" s="155"/>
      <c r="I34" s="154" t="s">
        <v>135</v>
      </c>
      <c r="J34" s="154" t="s">
        <v>2038</v>
      </c>
      <c r="K34" s="154" t="s">
        <v>139</v>
      </c>
      <c r="L34" s="156" t="s">
        <v>62</v>
      </c>
    </row>
    <row r="35">
      <c r="A35" s="153">
        <v>41.0</v>
      </c>
      <c r="B35" s="154" t="s">
        <v>7</v>
      </c>
      <c r="C35" s="154" t="s">
        <v>469</v>
      </c>
      <c r="D35" s="154" t="s">
        <v>202</v>
      </c>
      <c r="E35" s="154" t="s">
        <v>136</v>
      </c>
      <c r="F35" s="154" t="s">
        <v>136</v>
      </c>
      <c r="G35" s="154" t="s">
        <v>241</v>
      </c>
      <c r="H35" s="155"/>
      <c r="I35" s="154" t="s">
        <v>135</v>
      </c>
      <c r="J35" s="154" t="s">
        <v>2039</v>
      </c>
      <c r="K35" s="154" t="s">
        <v>139</v>
      </c>
      <c r="L35" s="156" t="s">
        <v>62</v>
      </c>
    </row>
    <row r="36">
      <c r="A36" s="153">
        <v>7.0</v>
      </c>
      <c r="B36" s="154" t="s">
        <v>6</v>
      </c>
      <c r="C36" s="154" t="s">
        <v>2040</v>
      </c>
      <c r="D36" s="154" t="s">
        <v>147</v>
      </c>
      <c r="E36" s="154" t="s">
        <v>135</v>
      </c>
      <c r="F36" s="154" t="s">
        <v>136</v>
      </c>
      <c r="G36" s="154" t="s">
        <v>1225</v>
      </c>
      <c r="H36" s="155"/>
      <c r="I36" s="154" t="s">
        <v>135</v>
      </c>
      <c r="J36" s="157">
        <v>45525.888194444444</v>
      </c>
      <c r="K36" s="154" t="s">
        <v>139</v>
      </c>
      <c r="L36" s="156" t="s">
        <v>62</v>
      </c>
    </row>
    <row r="37">
      <c r="A37" s="153">
        <v>40.0</v>
      </c>
      <c r="B37" s="154" t="s">
        <v>6</v>
      </c>
      <c r="C37" s="154" t="s">
        <v>2041</v>
      </c>
      <c r="D37" s="154" t="s">
        <v>249</v>
      </c>
      <c r="E37" s="154" t="s">
        <v>135</v>
      </c>
      <c r="F37" s="154" t="s">
        <v>136</v>
      </c>
      <c r="G37" s="154" t="s">
        <v>221</v>
      </c>
      <c r="H37" s="155"/>
      <c r="I37" s="154" t="s">
        <v>136</v>
      </c>
      <c r="J37" s="154" t="s">
        <v>2042</v>
      </c>
      <c r="K37" s="154" t="s">
        <v>139</v>
      </c>
      <c r="L37" s="156" t="s">
        <v>62</v>
      </c>
    </row>
    <row r="38">
      <c r="A38" s="153">
        <v>15.0</v>
      </c>
      <c r="B38" s="154" t="s">
        <v>6</v>
      </c>
      <c r="C38" s="154" t="s">
        <v>1828</v>
      </c>
      <c r="D38" s="154" t="s">
        <v>143</v>
      </c>
      <c r="E38" s="154" t="s">
        <v>135</v>
      </c>
      <c r="F38" s="154" t="s">
        <v>136</v>
      </c>
      <c r="G38" s="154" t="s">
        <v>767</v>
      </c>
      <c r="H38" s="155"/>
      <c r="I38" s="154" t="s">
        <v>135</v>
      </c>
      <c r="J38" s="154" t="s">
        <v>2043</v>
      </c>
      <c r="K38" s="154" t="s">
        <v>139</v>
      </c>
      <c r="L38" s="156" t="s">
        <v>62</v>
      </c>
    </row>
    <row r="39">
      <c r="A39" s="153">
        <v>6.0</v>
      </c>
      <c r="B39" s="154" t="s">
        <v>6</v>
      </c>
      <c r="C39" s="154" t="s">
        <v>2044</v>
      </c>
      <c r="D39" s="154" t="s">
        <v>197</v>
      </c>
      <c r="E39" s="154" t="s">
        <v>135</v>
      </c>
      <c r="F39" s="154" t="s">
        <v>136</v>
      </c>
      <c r="G39" s="154" t="s">
        <v>1421</v>
      </c>
      <c r="H39" s="155"/>
      <c r="I39" s="154" t="s">
        <v>135</v>
      </c>
      <c r="J39" s="157">
        <v>45518.50069444445</v>
      </c>
      <c r="K39" s="154" t="s">
        <v>139</v>
      </c>
      <c r="L39" s="156" t="s">
        <v>62</v>
      </c>
    </row>
    <row r="40">
      <c r="A40" s="153">
        <v>49.0</v>
      </c>
      <c r="B40" s="154" t="s">
        <v>6</v>
      </c>
      <c r="C40" s="154" t="s">
        <v>1116</v>
      </c>
      <c r="D40" s="154" t="s">
        <v>197</v>
      </c>
      <c r="E40" s="154" t="s">
        <v>136</v>
      </c>
      <c r="F40" s="154" t="s">
        <v>136</v>
      </c>
      <c r="G40" s="154" t="s">
        <v>2045</v>
      </c>
      <c r="H40" s="154" t="s">
        <v>2046</v>
      </c>
      <c r="I40" s="154" t="s">
        <v>135</v>
      </c>
      <c r="J40" s="154" t="s">
        <v>2047</v>
      </c>
      <c r="K40" s="154" t="s">
        <v>139</v>
      </c>
      <c r="L40" s="156" t="s">
        <v>62</v>
      </c>
    </row>
    <row r="41">
      <c r="A41" s="153">
        <v>23.0</v>
      </c>
      <c r="B41" s="154" t="s">
        <v>6</v>
      </c>
      <c r="C41" s="154" t="s">
        <v>2048</v>
      </c>
      <c r="D41" s="154" t="s">
        <v>164</v>
      </c>
      <c r="E41" s="154" t="s">
        <v>135</v>
      </c>
      <c r="F41" s="154" t="s">
        <v>135</v>
      </c>
      <c r="G41" s="154" t="s">
        <v>157</v>
      </c>
      <c r="H41" s="155"/>
      <c r="I41" s="154" t="s">
        <v>136</v>
      </c>
      <c r="J41" s="154" t="s">
        <v>2049</v>
      </c>
      <c r="K41" s="154" t="s">
        <v>139</v>
      </c>
      <c r="L41" s="156" t="s">
        <v>62</v>
      </c>
    </row>
    <row r="42">
      <c r="A42" s="153">
        <v>34.0</v>
      </c>
      <c r="B42" s="154" t="s">
        <v>6</v>
      </c>
      <c r="C42" s="154" t="s">
        <v>1411</v>
      </c>
      <c r="D42" s="154" t="s">
        <v>202</v>
      </c>
      <c r="E42" s="154" t="s">
        <v>136</v>
      </c>
      <c r="F42" s="154" t="s">
        <v>136</v>
      </c>
      <c r="G42" s="154" t="s">
        <v>297</v>
      </c>
      <c r="H42" s="155"/>
      <c r="I42" s="154" t="s">
        <v>136</v>
      </c>
      <c r="J42" s="154" t="s">
        <v>2050</v>
      </c>
      <c r="K42" s="154" t="s">
        <v>139</v>
      </c>
      <c r="L42" s="156" t="s">
        <v>62</v>
      </c>
    </row>
    <row r="43">
      <c r="A43" s="153">
        <v>36.0</v>
      </c>
      <c r="B43" s="154" t="s">
        <v>7</v>
      </c>
      <c r="C43" s="154" t="s">
        <v>1243</v>
      </c>
      <c r="D43" s="154" t="s">
        <v>187</v>
      </c>
      <c r="E43" s="154" t="s">
        <v>136</v>
      </c>
      <c r="F43" s="154" t="s">
        <v>136</v>
      </c>
      <c r="G43" s="154" t="s">
        <v>174</v>
      </c>
      <c r="H43" s="155"/>
      <c r="I43" s="154" t="s">
        <v>135</v>
      </c>
      <c r="J43" s="154" t="s">
        <v>2051</v>
      </c>
      <c r="K43" s="154" t="s">
        <v>139</v>
      </c>
      <c r="L43" s="156" t="s">
        <v>62</v>
      </c>
    </row>
    <row r="44">
      <c r="A44" s="153">
        <v>22.0</v>
      </c>
      <c r="B44" s="154" t="s">
        <v>7</v>
      </c>
      <c r="C44" s="154" t="s">
        <v>2052</v>
      </c>
      <c r="D44" s="154" t="s">
        <v>248</v>
      </c>
      <c r="E44" s="154" t="s">
        <v>135</v>
      </c>
      <c r="F44" s="154" t="s">
        <v>135</v>
      </c>
      <c r="G44" s="154" t="s">
        <v>150</v>
      </c>
      <c r="H44" s="155"/>
      <c r="I44" s="154" t="s">
        <v>136</v>
      </c>
      <c r="J44" s="154" t="s">
        <v>2053</v>
      </c>
      <c r="K44" s="154" t="s">
        <v>139</v>
      </c>
      <c r="L44" s="156" t="s">
        <v>62</v>
      </c>
    </row>
    <row r="45">
      <c r="A45" s="153">
        <v>39.0</v>
      </c>
      <c r="B45" s="154" t="s">
        <v>7</v>
      </c>
      <c r="C45" s="154" t="s">
        <v>2054</v>
      </c>
      <c r="D45" s="154" t="s">
        <v>164</v>
      </c>
      <c r="E45" s="154" t="s">
        <v>136</v>
      </c>
      <c r="F45" s="154" t="s">
        <v>136</v>
      </c>
      <c r="G45" s="154" t="s">
        <v>382</v>
      </c>
      <c r="H45" s="155"/>
      <c r="I45" s="154" t="s">
        <v>135</v>
      </c>
      <c r="J45" s="154" t="s">
        <v>2055</v>
      </c>
      <c r="K45" s="154" t="s">
        <v>139</v>
      </c>
      <c r="L45" s="156" t="s">
        <v>62</v>
      </c>
    </row>
    <row r="46">
      <c r="A46" s="153">
        <v>52.0</v>
      </c>
      <c r="B46" s="154" t="s">
        <v>6</v>
      </c>
      <c r="C46" s="154" t="s">
        <v>2056</v>
      </c>
      <c r="D46" s="154" t="s">
        <v>164</v>
      </c>
      <c r="E46" s="154" t="s">
        <v>135</v>
      </c>
      <c r="F46" s="154" t="s">
        <v>136</v>
      </c>
      <c r="G46" s="165" t="s">
        <v>454</v>
      </c>
      <c r="H46" s="155"/>
      <c r="I46" s="154" t="s">
        <v>136</v>
      </c>
      <c r="J46" s="154" t="s">
        <v>2057</v>
      </c>
      <c r="K46" s="154" t="s">
        <v>139</v>
      </c>
      <c r="L46" s="156" t="s">
        <v>62</v>
      </c>
    </row>
    <row r="47">
      <c r="A47" s="153">
        <v>14.0</v>
      </c>
      <c r="B47" s="154" t="s">
        <v>6</v>
      </c>
      <c r="C47" s="154" t="s">
        <v>1644</v>
      </c>
      <c r="D47" s="154" t="s">
        <v>143</v>
      </c>
      <c r="E47" s="154" t="s">
        <v>135</v>
      </c>
      <c r="F47" s="154" t="s">
        <v>136</v>
      </c>
      <c r="G47" s="154" t="s">
        <v>349</v>
      </c>
      <c r="H47" s="155"/>
      <c r="I47" s="154" t="s">
        <v>135</v>
      </c>
      <c r="J47" s="154" t="s">
        <v>2058</v>
      </c>
      <c r="K47" s="154" t="s">
        <v>139</v>
      </c>
      <c r="L47" s="156" t="s">
        <v>62</v>
      </c>
    </row>
    <row r="48">
      <c r="A48" s="153">
        <v>12.0</v>
      </c>
      <c r="B48" s="154" t="s">
        <v>7</v>
      </c>
      <c r="C48" s="154" t="s">
        <v>2059</v>
      </c>
      <c r="D48" s="154" t="s">
        <v>214</v>
      </c>
      <c r="E48" s="154" t="s">
        <v>135</v>
      </c>
      <c r="F48" s="154" t="s">
        <v>136</v>
      </c>
      <c r="G48" s="154" t="s">
        <v>1225</v>
      </c>
      <c r="H48" s="155"/>
      <c r="I48" s="154" t="s">
        <v>136</v>
      </c>
      <c r="J48" s="154" t="s">
        <v>2060</v>
      </c>
      <c r="K48" s="154" t="s">
        <v>139</v>
      </c>
      <c r="L48" s="156" t="s">
        <v>62</v>
      </c>
    </row>
    <row r="49">
      <c r="A49" s="153">
        <v>31.0</v>
      </c>
      <c r="B49" s="154" t="s">
        <v>6</v>
      </c>
      <c r="C49" s="154" t="s">
        <v>338</v>
      </c>
      <c r="D49" s="154" t="s">
        <v>143</v>
      </c>
      <c r="E49" s="154" t="s">
        <v>136</v>
      </c>
      <c r="F49" s="154" t="s">
        <v>136</v>
      </c>
      <c r="G49" s="154" t="s">
        <v>349</v>
      </c>
      <c r="H49" s="155"/>
      <c r="I49" s="154" t="s">
        <v>135</v>
      </c>
      <c r="J49" s="154" t="s">
        <v>2061</v>
      </c>
      <c r="K49" s="154" t="s">
        <v>139</v>
      </c>
      <c r="L49" s="156" t="s">
        <v>62</v>
      </c>
    </row>
    <row r="50">
      <c r="A50" s="153">
        <v>13.0</v>
      </c>
      <c r="B50" s="154" t="s">
        <v>7</v>
      </c>
      <c r="C50" s="154" t="s">
        <v>1754</v>
      </c>
      <c r="D50" s="154" t="s">
        <v>223</v>
      </c>
      <c r="E50" s="154" t="s">
        <v>135</v>
      </c>
      <c r="F50" s="154" t="s">
        <v>136</v>
      </c>
      <c r="G50" s="154" t="s">
        <v>137</v>
      </c>
      <c r="H50" s="155"/>
      <c r="I50" s="154" t="s">
        <v>135</v>
      </c>
      <c r="J50" s="154" t="s">
        <v>2062</v>
      </c>
      <c r="K50" s="154" t="s">
        <v>139</v>
      </c>
      <c r="L50" s="156" t="s">
        <v>62</v>
      </c>
    </row>
    <row r="51">
      <c r="A51" s="153">
        <v>27.0</v>
      </c>
      <c r="B51" s="154" t="s">
        <v>6</v>
      </c>
      <c r="C51" s="154" t="s">
        <v>1282</v>
      </c>
      <c r="D51" s="154" t="s">
        <v>134</v>
      </c>
      <c r="E51" s="154" t="s">
        <v>136</v>
      </c>
      <c r="F51" s="154" t="s">
        <v>136</v>
      </c>
      <c r="G51" s="154" t="s">
        <v>1421</v>
      </c>
      <c r="H51" s="155"/>
      <c r="I51" s="154" t="s">
        <v>135</v>
      </c>
      <c r="J51" s="154" t="s">
        <v>2063</v>
      </c>
      <c r="K51" s="154" t="s">
        <v>139</v>
      </c>
      <c r="L51" s="156" t="s">
        <v>62</v>
      </c>
    </row>
    <row r="52">
      <c r="A52" s="153">
        <v>33.0</v>
      </c>
      <c r="B52" s="154" t="s">
        <v>7</v>
      </c>
      <c r="C52" s="154" t="s">
        <v>338</v>
      </c>
      <c r="D52" s="154" t="s">
        <v>143</v>
      </c>
      <c r="E52" s="154" t="s">
        <v>136</v>
      </c>
      <c r="F52" s="154" t="s">
        <v>136</v>
      </c>
      <c r="G52" s="154" t="s">
        <v>349</v>
      </c>
      <c r="H52" s="155"/>
      <c r="I52" s="154" t="s">
        <v>135</v>
      </c>
      <c r="J52" s="154" t="s">
        <v>2064</v>
      </c>
      <c r="K52" s="154" t="s">
        <v>139</v>
      </c>
      <c r="L52" s="156" t="s">
        <v>62</v>
      </c>
    </row>
    <row r="53">
      <c r="A53" s="153">
        <v>50.0</v>
      </c>
      <c r="B53" s="154" t="s">
        <v>7</v>
      </c>
      <c r="C53" s="154" t="s">
        <v>315</v>
      </c>
      <c r="D53" s="154" t="s">
        <v>164</v>
      </c>
      <c r="E53" s="154" t="s">
        <v>136</v>
      </c>
      <c r="F53" s="154" t="s">
        <v>136</v>
      </c>
      <c r="G53" s="154" t="s">
        <v>185</v>
      </c>
      <c r="H53" s="155"/>
      <c r="I53" s="154" t="s">
        <v>135</v>
      </c>
      <c r="J53" s="154" t="s">
        <v>2065</v>
      </c>
      <c r="K53" s="154" t="s">
        <v>139</v>
      </c>
      <c r="L53" s="156" t="s">
        <v>62</v>
      </c>
    </row>
    <row r="54">
      <c r="A54" s="153">
        <v>20.0</v>
      </c>
      <c r="B54" s="154" t="s">
        <v>7</v>
      </c>
      <c r="C54" s="154" t="s">
        <v>453</v>
      </c>
      <c r="D54" s="154" t="s">
        <v>248</v>
      </c>
      <c r="E54" s="154" t="s">
        <v>135</v>
      </c>
      <c r="F54" s="154" t="s">
        <v>136</v>
      </c>
      <c r="G54" s="154" t="s">
        <v>231</v>
      </c>
      <c r="H54" s="155"/>
      <c r="I54" s="154" t="s">
        <v>135</v>
      </c>
      <c r="J54" s="154" t="s">
        <v>2066</v>
      </c>
      <c r="K54" s="154" t="s">
        <v>139</v>
      </c>
      <c r="L54" s="156" t="s">
        <v>62</v>
      </c>
    </row>
    <row r="55">
      <c r="A55" s="153">
        <v>29.0</v>
      </c>
      <c r="B55" s="154" t="s">
        <v>7</v>
      </c>
      <c r="C55" s="154" t="s">
        <v>379</v>
      </c>
      <c r="D55" s="154" t="s">
        <v>202</v>
      </c>
      <c r="E55" s="154" t="s">
        <v>136</v>
      </c>
      <c r="F55" s="154" t="s">
        <v>136</v>
      </c>
      <c r="G55" s="154" t="s">
        <v>606</v>
      </c>
      <c r="H55" s="155"/>
      <c r="I55" s="154" t="s">
        <v>135</v>
      </c>
      <c r="J55" s="154" t="s">
        <v>2067</v>
      </c>
      <c r="K55" s="154" t="s">
        <v>139</v>
      </c>
      <c r="L55" s="156" t="s">
        <v>62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7.71"/>
    <col customWidth="1" min="5" max="5" width="9.86"/>
    <col customWidth="1" min="6" max="6" width="9.57"/>
    <col customWidth="1" min="7" max="7" width="30.86"/>
  </cols>
  <sheetData>
    <row r="1">
      <c r="A1" s="165" t="s">
        <v>116</v>
      </c>
      <c r="B1" s="165" t="s">
        <v>117</v>
      </c>
      <c r="C1" s="165" t="s">
        <v>118</v>
      </c>
      <c r="D1" s="165" t="s">
        <v>119</v>
      </c>
      <c r="E1" s="165" t="s">
        <v>120</v>
      </c>
      <c r="F1" s="165" t="s">
        <v>121</v>
      </c>
      <c r="G1" s="165" t="s">
        <v>122</v>
      </c>
      <c r="H1" s="165" t="s">
        <v>123</v>
      </c>
      <c r="I1" s="2" t="s">
        <v>3919</v>
      </c>
      <c r="J1" s="165" t="s">
        <v>125</v>
      </c>
      <c r="K1" s="165" t="s">
        <v>3770</v>
      </c>
      <c r="L1" s="17" t="s">
        <v>3920</v>
      </c>
      <c r="M1" s="2"/>
      <c r="N1" s="123" t="s">
        <v>129</v>
      </c>
      <c r="O1" s="123" t="s">
        <v>130</v>
      </c>
      <c r="P1" s="123" t="s">
        <v>131</v>
      </c>
    </row>
    <row r="2">
      <c r="A2" s="153">
        <v>56.0</v>
      </c>
      <c r="B2" s="154" t="s">
        <v>6</v>
      </c>
      <c r="C2" s="154" t="s">
        <v>486</v>
      </c>
      <c r="D2" s="154" t="s">
        <v>214</v>
      </c>
      <c r="E2" s="154" t="s">
        <v>135</v>
      </c>
      <c r="F2" s="154" t="s">
        <v>136</v>
      </c>
      <c r="G2" s="154" t="s">
        <v>3921</v>
      </c>
      <c r="H2" s="155"/>
      <c r="I2" s="154"/>
      <c r="J2" s="154" t="s">
        <v>2759</v>
      </c>
      <c r="K2" s="154" t="s">
        <v>2509</v>
      </c>
      <c r="L2" s="17" t="s">
        <v>50</v>
      </c>
      <c r="M2" s="7"/>
      <c r="N2" s="217" t="str">
        <f t="array" ref="N2:N30">UNIQUE(D2:D120)</f>
        <v>Indonesia</v>
      </c>
      <c r="O2" s="217">
        <f t="shared" ref="O2:O29" si="1">COUNTIF(D$2:D$120,N2)</f>
        <v>10</v>
      </c>
      <c r="P2" s="218" t="str">
        <f t="array" ref="P2">XLOOKUP(N2,Countries!A$2:A$98,Countries!B$2:B$98,"tbd",0)</f>
        <v>Asia</v>
      </c>
    </row>
    <row r="3">
      <c r="A3" s="153">
        <v>38.0</v>
      </c>
      <c r="B3" s="154" t="s">
        <v>7</v>
      </c>
      <c r="C3" s="154" t="s">
        <v>2760</v>
      </c>
      <c r="D3" s="154" t="s">
        <v>214</v>
      </c>
      <c r="E3" s="154" t="s">
        <v>135</v>
      </c>
      <c r="F3" s="154" t="s">
        <v>136</v>
      </c>
      <c r="G3" s="165" t="s">
        <v>231</v>
      </c>
      <c r="H3" s="155"/>
      <c r="I3" s="154"/>
      <c r="J3" s="157">
        <v>45705.146527777775</v>
      </c>
      <c r="K3" s="154" t="s">
        <v>2513</v>
      </c>
      <c r="L3" s="17" t="s">
        <v>50</v>
      </c>
      <c r="M3" s="7"/>
      <c r="N3" s="54" t="s">
        <v>153</v>
      </c>
      <c r="O3" s="54">
        <f t="shared" si="1"/>
        <v>6</v>
      </c>
      <c r="P3" s="142" t="str">
        <f t="array" ref="P3">XLOOKUP(N3,Countries!A$2:A$98,Countries!B$2:B$98,"tbd",0)</f>
        <v>associated countries</v>
      </c>
    </row>
    <row r="4">
      <c r="A4" s="153">
        <v>14.0</v>
      </c>
      <c r="B4" s="154" t="s">
        <v>7</v>
      </c>
      <c r="C4" s="154" t="s">
        <v>808</v>
      </c>
      <c r="D4" s="154" t="s">
        <v>153</v>
      </c>
      <c r="E4" s="154" t="s">
        <v>135</v>
      </c>
      <c r="F4" s="154" t="s">
        <v>135</v>
      </c>
      <c r="G4" s="165" t="s">
        <v>1789</v>
      </c>
      <c r="H4" s="154" t="s">
        <v>2761</v>
      </c>
      <c r="I4" s="154"/>
      <c r="J4" s="157">
        <v>45695.59027777778</v>
      </c>
      <c r="K4" s="154" t="s">
        <v>2513</v>
      </c>
      <c r="L4" s="17" t="s">
        <v>50</v>
      </c>
      <c r="M4" s="7"/>
      <c r="N4" s="54" t="s">
        <v>193</v>
      </c>
      <c r="O4" s="54">
        <f t="shared" si="1"/>
        <v>2</v>
      </c>
      <c r="P4" s="142" t="str">
        <f t="array" ref="P4">XLOOKUP(N4,Countries!A$2:A$98,Countries!B$2:B$98,"tbd",0)</f>
        <v>associated countries</v>
      </c>
    </row>
    <row r="5">
      <c r="A5" s="153">
        <v>86.0</v>
      </c>
      <c r="B5" s="154" t="s">
        <v>7</v>
      </c>
      <c r="C5" s="154" t="s">
        <v>696</v>
      </c>
      <c r="D5" s="154" t="s">
        <v>193</v>
      </c>
      <c r="E5" s="154" t="s">
        <v>135</v>
      </c>
      <c r="F5" s="154" t="s">
        <v>136</v>
      </c>
      <c r="G5" s="154" t="s">
        <v>3922</v>
      </c>
      <c r="H5" s="155"/>
      <c r="I5" s="154"/>
      <c r="J5" s="157">
        <v>45749.91875</v>
      </c>
      <c r="K5" s="154" t="s">
        <v>2513</v>
      </c>
      <c r="L5" s="17" t="s">
        <v>50</v>
      </c>
      <c r="M5" s="7"/>
      <c r="N5" s="7" t="s">
        <v>143</v>
      </c>
      <c r="O5" s="7">
        <f t="shared" si="1"/>
        <v>9</v>
      </c>
      <c r="P5" s="215" t="str">
        <f t="array" ref="P5">XLOOKUP(N5,Countries!A$2:A$98,Countries!B$2:B$98,"tbd",0)</f>
        <v>Europe</v>
      </c>
    </row>
    <row r="6">
      <c r="A6" s="153">
        <v>85.0</v>
      </c>
      <c r="B6" s="154" t="s">
        <v>7</v>
      </c>
      <c r="C6" s="154" t="s">
        <v>1981</v>
      </c>
      <c r="D6" s="154" t="s">
        <v>143</v>
      </c>
      <c r="E6" s="154" t="s">
        <v>135</v>
      </c>
      <c r="F6" s="154" t="s">
        <v>136</v>
      </c>
      <c r="G6" s="154" t="s">
        <v>185</v>
      </c>
      <c r="H6" s="155"/>
      <c r="I6" s="154"/>
      <c r="J6" s="157">
        <v>45749.06458333333</v>
      </c>
      <c r="K6" s="154" t="s">
        <v>185</v>
      </c>
      <c r="L6" s="17" t="s">
        <v>50</v>
      </c>
      <c r="M6" s="7"/>
      <c r="N6" s="217" t="s">
        <v>219</v>
      </c>
      <c r="O6" s="217">
        <f t="shared" si="1"/>
        <v>1</v>
      </c>
      <c r="P6" s="218" t="str">
        <f t="array" ref="P6">XLOOKUP(N6,Countries!A$2:A$98,Countries!B$2:B$98,"tbd",0)</f>
        <v>Asia</v>
      </c>
    </row>
    <row r="7">
      <c r="A7" s="153">
        <v>30.0</v>
      </c>
      <c r="B7" s="154" t="s">
        <v>6</v>
      </c>
      <c r="C7" s="154" t="s">
        <v>2763</v>
      </c>
      <c r="D7" s="154" t="s">
        <v>219</v>
      </c>
      <c r="E7" s="154" t="s">
        <v>135</v>
      </c>
      <c r="F7" s="154" t="s">
        <v>136</v>
      </c>
      <c r="G7" s="154" t="s">
        <v>1027</v>
      </c>
      <c r="H7" s="154" t="s">
        <v>2764</v>
      </c>
      <c r="I7" s="154"/>
      <c r="J7" s="157">
        <v>45700.17291666667</v>
      </c>
      <c r="K7" s="154" t="s">
        <v>2513</v>
      </c>
      <c r="L7" s="17" t="s">
        <v>50</v>
      </c>
      <c r="M7" s="7"/>
      <c r="N7" s="217" t="s">
        <v>369</v>
      </c>
      <c r="O7" s="217">
        <f t="shared" si="1"/>
        <v>9</v>
      </c>
      <c r="P7" s="218" t="str">
        <f t="array" ref="P7">XLOOKUP(N7,Countries!A$2:A$98,Countries!B$2:B$98,"tbd",0)</f>
        <v>Middle/South America</v>
      </c>
    </row>
    <row r="8">
      <c r="A8" s="153">
        <v>68.0</v>
      </c>
      <c r="B8" s="154" t="s">
        <v>6</v>
      </c>
      <c r="C8" s="154" t="s">
        <v>2765</v>
      </c>
      <c r="D8" s="154" t="s">
        <v>369</v>
      </c>
      <c r="E8" s="154" t="s">
        <v>135</v>
      </c>
      <c r="F8" s="154" t="s">
        <v>136</v>
      </c>
      <c r="G8" s="154" t="s">
        <v>798</v>
      </c>
      <c r="H8" s="154" t="s">
        <v>2766</v>
      </c>
      <c r="I8" s="154"/>
      <c r="J8" s="154" t="s">
        <v>2767</v>
      </c>
      <c r="K8" s="154" t="s">
        <v>2513</v>
      </c>
      <c r="L8" s="17" t="s">
        <v>50</v>
      </c>
      <c r="M8" s="7"/>
      <c r="N8" s="217" t="s">
        <v>263</v>
      </c>
      <c r="O8" s="217">
        <f t="shared" si="1"/>
        <v>5</v>
      </c>
      <c r="P8" s="218" t="str">
        <f t="array" ref="P8">XLOOKUP(N8,Countries!A$2:A$98,Countries!B$2:B$98,"tbd",0)</f>
        <v>U.S. + Canada</v>
      </c>
    </row>
    <row r="9">
      <c r="A9" s="153">
        <v>70.0</v>
      </c>
      <c r="B9" s="154" t="s">
        <v>6</v>
      </c>
      <c r="C9" s="154" t="s">
        <v>2768</v>
      </c>
      <c r="D9" s="154" t="s">
        <v>369</v>
      </c>
      <c r="E9" s="154" t="s">
        <v>135</v>
      </c>
      <c r="F9" s="154" t="s">
        <v>136</v>
      </c>
      <c r="G9" s="154" t="s">
        <v>2769</v>
      </c>
      <c r="H9" s="155"/>
      <c r="I9" s="154"/>
      <c r="J9" s="154" t="s">
        <v>2770</v>
      </c>
      <c r="K9" s="154" t="s">
        <v>2513</v>
      </c>
      <c r="L9" s="17" t="s">
        <v>50</v>
      </c>
      <c r="M9" s="7"/>
      <c r="N9" s="217" t="s">
        <v>290</v>
      </c>
      <c r="O9" s="217">
        <f t="shared" si="1"/>
        <v>4</v>
      </c>
      <c r="P9" s="218" t="str">
        <f t="array" ref="P9">XLOOKUP(N9,Countries!A$2:A$98,Countries!B$2:B$98,"tbd",0)</f>
        <v>Middle East</v>
      </c>
    </row>
    <row r="10">
      <c r="A10" s="153">
        <v>45.0</v>
      </c>
      <c r="B10" s="154" t="s">
        <v>6</v>
      </c>
      <c r="C10" s="154" t="s">
        <v>2771</v>
      </c>
      <c r="D10" s="154" t="s">
        <v>263</v>
      </c>
      <c r="E10" s="154" t="s">
        <v>136</v>
      </c>
      <c r="F10" s="154" t="s">
        <v>136</v>
      </c>
      <c r="G10" s="154" t="s">
        <v>349</v>
      </c>
      <c r="H10" s="155"/>
      <c r="I10" s="154"/>
      <c r="J10" s="154" t="s">
        <v>2772</v>
      </c>
      <c r="K10" s="154" t="s">
        <v>2507</v>
      </c>
      <c r="L10" s="17" t="s">
        <v>50</v>
      </c>
      <c r="M10" s="7"/>
      <c r="N10" s="217" t="s">
        <v>177</v>
      </c>
      <c r="O10" s="217">
        <f t="shared" si="1"/>
        <v>4</v>
      </c>
      <c r="P10" s="218" t="str">
        <f t="array" ref="P10">XLOOKUP(N10,Countries!A$2:A$98,Countries!B$2:B$98,"tbd",0)</f>
        <v>Africa</v>
      </c>
    </row>
    <row r="11">
      <c r="A11" s="153">
        <v>22.0</v>
      </c>
      <c r="B11" s="154" t="s">
        <v>6</v>
      </c>
      <c r="C11" s="154" t="s">
        <v>2773</v>
      </c>
      <c r="D11" s="154" t="s">
        <v>214</v>
      </c>
      <c r="E11" s="154" t="s">
        <v>135</v>
      </c>
      <c r="F11" s="154" t="s">
        <v>136</v>
      </c>
      <c r="G11" s="154" t="s">
        <v>2774</v>
      </c>
      <c r="H11" s="155"/>
      <c r="I11" s="154"/>
      <c r="J11" s="157">
        <v>45698.60833333333</v>
      </c>
      <c r="K11" s="154" t="s">
        <v>2513</v>
      </c>
      <c r="L11" s="17" t="s">
        <v>50</v>
      </c>
      <c r="M11" s="7"/>
      <c r="N11" s="217" t="s">
        <v>258</v>
      </c>
      <c r="O11" s="217">
        <f t="shared" si="1"/>
        <v>3</v>
      </c>
      <c r="P11" s="218" t="str">
        <f t="array" ref="P11">XLOOKUP(N11,Countries!A$2:A$98,Countries!B$2:B$98,"tbd",0)</f>
        <v>U.S. + Canada</v>
      </c>
    </row>
    <row r="12">
      <c r="A12" s="153">
        <v>54.0</v>
      </c>
      <c r="B12" s="154" t="s">
        <v>7</v>
      </c>
      <c r="C12" s="154" t="s">
        <v>2775</v>
      </c>
      <c r="D12" s="154" t="s">
        <v>290</v>
      </c>
      <c r="E12" s="154" t="s">
        <v>135</v>
      </c>
      <c r="F12" s="154" t="s">
        <v>136</v>
      </c>
      <c r="G12" s="154" t="s">
        <v>150</v>
      </c>
      <c r="H12" s="155"/>
      <c r="I12" s="154"/>
      <c r="J12" s="154" t="s">
        <v>2776</v>
      </c>
      <c r="K12" s="154" t="s">
        <v>2502</v>
      </c>
      <c r="L12" s="17" t="s">
        <v>50</v>
      </c>
      <c r="M12" s="7"/>
      <c r="N12" s="7" t="s">
        <v>164</v>
      </c>
      <c r="O12" s="7">
        <f t="shared" si="1"/>
        <v>8</v>
      </c>
      <c r="P12" s="215" t="str">
        <f t="array" ref="P12">XLOOKUP(N12,Countries!A$2:A$98,Countries!B$2:B$98,"tbd",0)</f>
        <v>Europe</v>
      </c>
    </row>
    <row r="13">
      <c r="A13" s="153">
        <v>20.0</v>
      </c>
      <c r="B13" s="154" t="s">
        <v>6</v>
      </c>
      <c r="C13" s="154" t="s">
        <v>1055</v>
      </c>
      <c r="D13" s="154" t="s">
        <v>369</v>
      </c>
      <c r="E13" s="154" t="s">
        <v>135</v>
      </c>
      <c r="F13" s="154" t="s">
        <v>136</v>
      </c>
      <c r="G13" s="154" t="s">
        <v>663</v>
      </c>
      <c r="H13" s="155"/>
      <c r="I13" s="154"/>
      <c r="J13" s="157">
        <v>45698.59861111111</v>
      </c>
      <c r="K13" s="154" t="s">
        <v>2513</v>
      </c>
      <c r="L13" s="17" t="s">
        <v>50</v>
      </c>
      <c r="M13" s="7"/>
      <c r="N13" s="217" t="s">
        <v>390</v>
      </c>
      <c r="O13" s="217">
        <f t="shared" si="1"/>
        <v>2</v>
      </c>
      <c r="P13" s="218" t="str">
        <f t="array" ref="P13">XLOOKUP(N13,Countries!A$2:A$98,Countries!B$2:B$98,"tbd",0)</f>
        <v>Middle/South America</v>
      </c>
    </row>
    <row r="14">
      <c r="A14" s="153">
        <v>8.0</v>
      </c>
      <c r="B14" s="154" t="s">
        <v>6</v>
      </c>
      <c r="C14" s="154" t="s">
        <v>2777</v>
      </c>
      <c r="D14" s="154" t="s">
        <v>153</v>
      </c>
      <c r="E14" s="154" t="s">
        <v>136</v>
      </c>
      <c r="F14" s="154" t="s">
        <v>136</v>
      </c>
      <c r="G14" s="154" t="s">
        <v>349</v>
      </c>
      <c r="H14" s="154" t="s">
        <v>2778</v>
      </c>
      <c r="I14" s="154"/>
      <c r="J14" s="157">
        <v>45688.90069444444</v>
      </c>
      <c r="K14" s="154" t="s">
        <v>185</v>
      </c>
      <c r="L14" s="17" t="s">
        <v>50</v>
      </c>
      <c r="M14" s="7"/>
      <c r="N14" s="7" t="s">
        <v>134</v>
      </c>
      <c r="O14" s="7">
        <f t="shared" si="1"/>
        <v>1</v>
      </c>
      <c r="P14" s="215" t="str">
        <f t="array" ref="P14">XLOOKUP(N14,Countries!A$2:A$98,Countries!B$2:B$98,"tbd",0)</f>
        <v>Europe</v>
      </c>
    </row>
    <row r="15">
      <c r="A15" s="153">
        <v>31.0</v>
      </c>
      <c r="B15" s="154" t="s">
        <v>6</v>
      </c>
      <c r="C15" s="154" t="s">
        <v>2779</v>
      </c>
      <c r="D15" s="154" t="s">
        <v>143</v>
      </c>
      <c r="E15" s="154" t="s">
        <v>135</v>
      </c>
      <c r="F15" s="154" t="s">
        <v>136</v>
      </c>
      <c r="G15" s="154" t="s">
        <v>221</v>
      </c>
      <c r="H15" s="155"/>
      <c r="I15" s="154"/>
      <c r="J15" s="157">
        <v>45701.27847222222</v>
      </c>
      <c r="K15" s="154" t="s">
        <v>2513</v>
      </c>
      <c r="L15" s="17" t="s">
        <v>50</v>
      </c>
      <c r="M15" s="7"/>
      <c r="N15" s="54" t="s">
        <v>285</v>
      </c>
      <c r="O15" s="54">
        <f t="shared" si="1"/>
        <v>2</v>
      </c>
      <c r="P15" s="142" t="str">
        <f t="array" ref="P15">XLOOKUP(N15,Countries!A$2:A$98,Countries!B$2:B$98,"tbd",0)</f>
        <v>associated countries</v>
      </c>
    </row>
    <row r="16">
      <c r="A16" s="153">
        <v>2.0</v>
      </c>
      <c r="B16" s="154" t="s">
        <v>6</v>
      </c>
      <c r="C16" s="154" t="s">
        <v>167</v>
      </c>
      <c r="D16" s="154" t="s">
        <v>143</v>
      </c>
      <c r="E16" s="154" t="s">
        <v>135</v>
      </c>
      <c r="F16" s="154" t="s">
        <v>136</v>
      </c>
      <c r="G16" s="154" t="s">
        <v>3923</v>
      </c>
      <c r="H16" s="155"/>
      <c r="I16" s="154"/>
      <c r="J16" s="157">
        <v>45688.46319444444</v>
      </c>
      <c r="K16" s="154" t="s">
        <v>185</v>
      </c>
      <c r="L16" s="17" t="s">
        <v>50</v>
      </c>
      <c r="M16" s="7"/>
      <c r="N16" s="7" t="s">
        <v>202</v>
      </c>
      <c r="O16" s="7">
        <f t="shared" si="1"/>
        <v>18</v>
      </c>
      <c r="P16" s="215" t="str">
        <f t="array" ref="P16">XLOOKUP(N16,Countries!A$2:A$98,Countries!B$2:B$98,"tbd",0)</f>
        <v>Europe</v>
      </c>
    </row>
    <row r="17">
      <c r="A17" s="153">
        <v>13.0</v>
      </c>
      <c r="B17" s="154" t="s">
        <v>7</v>
      </c>
      <c r="C17" s="154" t="s">
        <v>1510</v>
      </c>
      <c r="D17" s="154" t="s">
        <v>177</v>
      </c>
      <c r="E17" s="154" t="s">
        <v>135</v>
      </c>
      <c r="F17" s="154" t="s">
        <v>135</v>
      </c>
      <c r="G17" s="154" t="s">
        <v>168</v>
      </c>
      <c r="H17" s="155"/>
      <c r="I17" s="154"/>
      <c r="J17" s="157">
        <v>45695.55902777778</v>
      </c>
      <c r="K17" s="154" t="s">
        <v>2502</v>
      </c>
      <c r="L17" s="17" t="s">
        <v>50</v>
      </c>
      <c r="M17" s="7"/>
      <c r="N17" s="54" t="s">
        <v>218</v>
      </c>
      <c r="O17" s="54">
        <f t="shared" si="1"/>
        <v>3</v>
      </c>
      <c r="P17" s="142" t="str">
        <f t="array" ref="P17">XLOOKUP(N17,Countries!A$2:A$98,Countries!B$2:B$98,"tbd",0)</f>
        <v>associated countries</v>
      </c>
    </row>
    <row r="18">
      <c r="A18" s="153">
        <v>44.0</v>
      </c>
      <c r="B18" s="154" t="s">
        <v>7</v>
      </c>
      <c r="C18" s="154" t="s">
        <v>2781</v>
      </c>
      <c r="D18" s="154" t="s">
        <v>258</v>
      </c>
      <c r="E18" s="154" t="s">
        <v>136</v>
      </c>
      <c r="F18" s="154" t="s">
        <v>136</v>
      </c>
      <c r="G18" s="154" t="s">
        <v>1888</v>
      </c>
      <c r="H18" s="154" t="s">
        <v>2782</v>
      </c>
      <c r="I18" s="154"/>
      <c r="J18" s="157">
        <v>45715.930555555555</v>
      </c>
      <c r="K18" s="154" t="s">
        <v>2502</v>
      </c>
      <c r="L18" s="17" t="s">
        <v>50</v>
      </c>
      <c r="M18" s="7"/>
      <c r="N18" s="54" t="s">
        <v>268</v>
      </c>
      <c r="O18" s="54">
        <f t="shared" si="1"/>
        <v>1</v>
      </c>
      <c r="P18" s="142" t="str">
        <f t="array" ref="P18">XLOOKUP(N18,Countries!A$2:A$98,Countries!B$2:B$98,"tbd",0)</f>
        <v>associated countries</v>
      </c>
    </row>
    <row r="19">
      <c r="A19" s="153">
        <v>3.0</v>
      </c>
      <c r="B19" s="154" t="s">
        <v>7</v>
      </c>
      <c r="C19" s="154" t="s">
        <v>562</v>
      </c>
      <c r="D19" s="154" t="s">
        <v>153</v>
      </c>
      <c r="E19" s="154" t="s">
        <v>136</v>
      </c>
      <c r="F19" s="154" t="s">
        <v>136</v>
      </c>
      <c r="G19" s="154" t="s">
        <v>137</v>
      </c>
      <c r="H19" s="155"/>
      <c r="I19" s="154"/>
      <c r="J19" s="157">
        <v>45688.46388888889</v>
      </c>
      <c r="K19" s="154" t="s">
        <v>2513</v>
      </c>
      <c r="L19" s="17" t="s">
        <v>50</v>
      </c>
      <c r="M19" s="7"/>
      <c r="N19" s="217" t="s">
        <v>239</v>
      </c>
      <c r="O19" s="217">
        <f t="shared" si="1"/>
        <v>3</v>
      </c>
      <c r="P19" s="218" t="str">
        <f t="array" ref="P19">XLOOKUP(N19,Countries!A$2:A$98,Countries!B$2:B$98,"tbd",0)</f>
        <v>Asia</v>
      </c>
    </row>
    <row r="20">
      <c r="A20" s="153">
        <v>58.0</v>
      </c>
      <c r="B20" s="154" t="s">
        <v>7</v>
      </c>
      <c r="C20" s="154" t="s">
        <v>315</v>
      </c>
      <c r="D20" s="154" t="s">
        <v>164</v>
      </c>
      <c r="E20" s="154" t="s">
        <v>135</v>
      </c>
      <c r="F20" s="154" t="s">
        <v>136</v>
      </c>
      <c r="G20" s="154" t="s">
        <v>1789</v>
      </c>
      <c r="H20" s="155"/>
      <c r="I20" s="154"/>
      <c r="J20" s="154" t="s">
        <v>2783</v>
      </c>
      <c r="K20" s="154" t="s">
        <v>2509</v>
      </c>
      <c r="L20" s="17" t="s">
        <v>50</v>
      </c>
      <c r="M20" s="7"/>
      <c r="N20" s="54" t="s">
        <v>213</v>
      </c>
      <c r="O20" s="54">
        <f t="shared" si="1"/>
        <v>1</v>
      </c>
      <c r="P20" s="142" t="str">
        <f t="array" ref="P20">XLOOKUP(N20,Countries!A$2:A$98,Countries!B$2:B$98,"tbd",0)</f>
        <v>widening countries</v>
      </c>
    </row>
    <row r="21">
      <c r="A21" s="153">
        <v>18.0</v>
      </c>
      <c r="B21" s="154" t="s">
        <v>7</v>
      </c>
      <c r="C21" s="154" t="s">
        <v>2784</v>
      </c>
      <c r="D21" s="154" t="s">
        <v>390</v>
      </c>
      <c r="E21" s="154" t="s">
        <v>136</v>
      </c>
      <c r="F21" s="154" t="s">
        <v>136</v>
      </c>
      <c r="G21" s="154" t="s">
        <v>349</v>
      </c>
      <c r="H21" s="155"/>
      <c r="I21" s="154"/>
      <c r="J21" s="157">
        <v>45698.563888888886</v>
      </c>
      <c r="K21" s="154" t="s">
        <v>2513</v>
      </c>
      <c r="L21" s="17" t="s">
        <v>50</v>
      </c>
      <c r="M21" s="7"/>
      <c r="N21" s="217" t="s">
        <v>313</v>
      </c>
      <c r="O21" s="217">
        <f t="shared" si="1"/>
        <v>1</v>
      </c>
      <c r="P21" s="218" t="str">
        <f t="array" ref="P21">XLOOKUP(N21,Countries!A$2:A$98,Countries!B$2:B$98,"tbd",0)</f>
        <v>Middle/South America</v>
      </c>
    </row>
    <row r="22">
      <c r="A22" s="153">
        <v>101.0</v>
      </c>
      <c r="B22" s="154" t="s">
        <v>6</v>
      </c>
      <c r="C22" s="154" t="s">
        <v>2697</v>
      </c>
      <c r="D22" s="154" t="s">
        <v>134</v>
      </c>
      <c r="E22" s="154" t="s">
        <v>136</v>
      </c>
      <c r="F22" s="154" t="s">
        <v>136</v>
      </c>
      <c r="G22" s="154" t="s">
        <v>2785</v>
      </c>
      <c r="H22" s="154" t="s">
        <v>2786</v>
      </c>
      <c r="I22" s="154"/>
      <c r="J22" s="157">
        <v>45754.53194444445</v>
      </c>
      <c r="K22" s="154" t="s">
        <v>2513</v>
      </c>
      <c r="L22" s="17" t="s">
        <v>50</v>
      </c>
      <c r="M22" s="7"/>
      <c r="N22" s="54" t="s">
        <v>233</v>
      </c>
      <c r="O22" s="54">
        <f t="shared" si="1"/>
        <v>3</v>
      </c>
      <c r="P22" s="142" t="str">
        <f t="array" ref="P22">XLOOKUP(N22,Countries!A$2:A$98,Countries!B$2:B$98,"tbd",0)</f>
        <v>widening countries</v>
      </c>
    </row>
    <row r="23">
      <c r="A23" s="153">
        <v>93.0</v>
      </c>
      <c r="B23" s="154" t="s">
        <v>7</v>
      </c>
      <c r="C23" s="154" t="s">
        <v>195</v>
      </c>
      <c r="D23" s="154" t="s">
        <v>164</v>
      </c>
      <c r="E23" s="154" t="s">
        <v>136</v>
      </c>
      <c r="F23" s="154" t="s">
        <v>136</v>
      </c>
      <c r="G23" s="154" t="s">
        <v>174</v>
      </c>
      <c r="H23" s="154" t="s">
        <v>2787</v>
      </c>
      <c r="I23" s="154"/>
      <c r="J23" s="157">
        <v>45751.34305555555</v>
      </c>
      <c r="K23" s="154" t="s">
        <v>2509</v>
      </c>
      <c r="L23" s="17" t="s">
        <v>50</v>
      </c>
      <c r="M23" s="7"/>
      <c r="N23" s="7" t="s">
        <v>203</v>
      </c>
      <c r="O23" s="7">
        <f t="shared" si="1"/>
        <v>1</v>
      </c>
      <c r="P23" s="215" t="str">
        <f t="array" ref="P23">XLOOKUP(N23,Countries!A$2:A$98,Countries!B$2:B$98,"tbd",0)</f>
        <v>Asia</v>
      </c>
    </row>
    <row r="24">
      <c r="A24" s="153">
        <v>17.0</v>
      </c>
      <c r="B24" s="154" t="s">
        <v>6</v>
      </c>
      <c r="C24" s="154" t="s">
        <v>439</v>
      </c>
      <c r="D24" s="154" t="s">
        <v>143</v>
      </c>
      <c r="E24" s="154" t="s">
        <v>135</v>
      </c>
      <c r="F24" s="154" t="s">
        <v>136</v>
      </c>
      <c r="G24" s="154" t="s">
        <v>2788</v>
      </c>
      <c r="H24" s="155"/>
      <c r="I24" s="154"/>
      <c r="J24" s="157">
        <v>45698.55972222222</v>
      </c>
      <c r="K24" s="154" t="s">
        <v>2513</v>
      </c>
      <c r="L24" s="17" t="s">
        <v>50</v>
      </c>
      <c r="M24" s="7"/>
      <c r="N24" s="54" t="s">
        <v>228</v>
      </c>
      <c r="O24" s="54">
        <f t="shared" si="1"/>
        <v>1</v>
      </c>
      <c r="P24" s="142" t="str">
        <f t="array" ref="P24">XLOOKUP(N24,Countries!A$2:A$98,Countries!B$2:B$98,"tbd",0)</f>
        <v>widening countries</v>
      </c>
    </row>
    <row r="25">
      <c r="A25" s="153">
        <v>97.0</v>
      </c>
      <c r="B25" s="154" t="s">
        <v>6</v>
      </c>
      <c r="C25" s="154" t="s">
        <v>2789</v>
      </c>
      <c r="D25" s="154" t="s">
        <v>258</v>
      </c>
      <c r="E25" s="154" t="s">
        <v>135</v>
      </c>
      <c r="F25" s="154" t="s">
        <v>136</v>
      </c>
      <c r="G25" s="154" t="s">
        <v>1183</v>
      </c>
      <c r="H25" s="154" t="s">
        <v>2790</v>
      </c>
      <c r="I25" s="154"/>
      <c r="J25" s="157">
        <v>45753.97777777778</v>
      </c>
      <c r="K25" s="154" t="s">
        <v>185</v>
      </c>
      <c r="L25" s="17" t="s">
        <v>50</v>
      </c>
      <c r="M25" s="7"/>
      <c r="N25" s="54" t="s">
        <v>291</v>
      </c>
      <c r="O25" s="54">
        <f t="shared" si="1"/>
        <v>1</v>
      </c>
      <c r="P25" s="142" t="str">
        <f t="array" ref="P25">XLOOKUP(N25,Countries!A$2:A$98,Countries!B$2:B$98,"tbd",0)</f>
        <v>associated countries</v>
      </c>
    </row>
    <row r="26">
      <c r="A26" s="153">
        <v>26.0</v>
      </c>
      <c r="B26" s="154" t="s">
        <v>6</v>
      </c>
      <c r="C26" s="154" t="s">
        <v>2791</v>
      </c>
      <c r="D26" s="154" t="s">
        <v>143</v>
      </c>
      <c r="E26" s="154" t="s">
        <v>135</v>
      </c>
      <c r="F26" s="154" t="s">
        <v>136</v>
      </c>
      <c r="G26" s="154" t="s">
        <v>180</v>
      </c>
      <c r="H26" s="155"/>
      <c r="I26" s="154"/>
      <c r="J26" s="157">
        <v>45698.83194444444</v>
      </c>
      <c r="K26" s="154" t="s">
        <v>2502</v>
      </c>
      <c r="L26" s="17" t="s">
        <v>50</v>
      </c>
      <c r="M26" s="7"/>
      <c r="N26" s="217" t="s">
        <v>347</v>
      </c>
      <c r="O26" s="217">
        <f t="shared" si="1"/>
        <v>1</v>
      </c>
      <c r="P26" s="218" t="str">
        <f t="array" ref="P26">XLOOKUP(N26,Countries!A$2:A$98,Countries!B$2:B$98,"tbd",0)</f>
        <v>Middle/South America</v>
      </c>
    </row>
    <row r="27">
      <c r="A27" s="153">
        <v>76.0</v>
      </c>
      <c r="B27" s="154" t="s">
        <v>6</v>
      </c>
      <c r="C27" s="154" t="s">
        <v>996</v>
      </c>
      <c r="D27" s="154" t="s">
        <v>285</v>
      </c>
      <c r="E27" s="154" t="s">
        <v>135</v>
      </c>
      <c r="F27" s="154" t="s">
        <v>135</v>
      </c>
      <c r="G27" s="154" t="s">
        <v>732</v>
      </c>
      <c r="H27" s="155"/>
      <c r="I27" s="154"/>
      <c r="J27" s="154" t="s">
        <v>2792</v>
      </c>
      <c r="K27" s="154" t="s">
        <v>2502</v>
      </c>
      <c r="L27" s="17" t="s">
        <v>50</v>
      </c>
      <c r="M27" s="7"/>
      <c r="N27" s="54" t="s">
        <v>159</v>
      </c>
      <c r="O27" s="54">
        <f t="shared" si="1"/>
        <v>1</v>
      </c>
      <c r="P27" s="142" t="str">
        <f t="array" ref="P27">XLOOKUP(N27,Countries!A$2:A$98,Countries!B$2:B$98,"tbd",0)</f>
        <v>associated countries</v>
      </c>
    </row>
    <row r="28">
      <c r="A28" s="153">
        <v>53.0</v>
      </c>
      <c r="B28" s="154" t="s">
        <v>7</v>
      </c>
      <c r="C28" s="154" t="s">
        <v>1087</v>
      </c>
      <c r="D28" s="154" t="s">
        <v>202</v>
      </c>
      <c r="E28" s="154" t="s">
        <v>136</v>
      </c>
      <c r="F28" s="154" t="s">
        <v>136</v>
      </c>
      <c r="G28" s="154" t="s">
        <v>180</v>
      </c>
      <c r="H28" s="155"/>
      <c r="I28" s="154"/>
      <c r="J28" s="154" t="s">
        <v>2793</v>
      </c>
      <c r="K28" s="154" t="s">
        <v>2509</v>
      </c>
      <c r="L28" s="17" t="s">
        <v>50</v>
      </c>
      <c r="M28" s="7"/>
      <c r="N28" s="217" t="s">
        <v>243</v>
      </c>
      <c r="O28" s="217">
        <f t="shared" si="1"/>
        <v>3</v>
      </c>
      <c r="P28" s="218" t="str">
        <f t="array" ref="P28">XLOOKUP(N28,Countries!A$2:A$98,Countries!B$2:B$98,"tbd",0)</f>
        <v>Middle East</v>
      </c>
    </row>
    <row r="29">
      <c r="A29" s="153">
        <v>6.0</v>
      </c>
      <c r="B29" s="154" t="s">
        <v>6</v>
      </c>
      <c r="C29" s="154" t="s">
        <v>1000</v>
      </c>
      <c r="D29" s="154" t="s">
        <v>202</v>
      </c>
      <c r="E29" s="154" t="s">
        <v>135</v>
      </c>
      <c r="F29" s="154" t="s">
        <v>136</v>
      </c>
      <c r="G29" s="154" t="s">
        <v>460</v>
      </c>
      <c r="H29" s="155"/>
      <c r="I29" s="154"/>
      <c r="J29" s="157">
        <v>45688.49652777778</v>
      </c>
      <c r="K29" s="154" t="s">
        <v>2513</v>
      </c>
      <c r="L29" s="17" t="s">
        <v>50</v>
      </c>
      <c r="M29" s="7"/>
      <c r="N29" s="217" t="s">
        <v>284</v>
      </c>
      <c r="O29" s="217">
        <f t="shared" si="1"/>
        <v>1</v>
      </c>
      <c r="P29" s="218" t="str">
        <f t="array" ref="P29">XLOOKUP(N29,Countries!A$2:A$98,Countries!B$2:B$98,"tbd",0)</f>
        <v>Middle East</v>
      </c>
    </row>
    <row r="30">
      <c r="A30" s="153">
        <v>57.0</v>
      </c>
      <c r="B30" s="154" t="s">
        <v>6</v>
      </c>
      <c r="C30" s="154" t="s">
        <v>342</v>
      </c>
      <c r="D30" s="154" t="s">
        <v>218</v>
      </c>
      <c r="E30" s="154" t="s">
        <v>136</v>
      </c>
      <c r="F30" s="154" t="s">
        <v>136</v>
      </c>
      <c r="G30" s="154" t="s">
        <v>650</v>
      </c>
      <c r="H30" s="155"/>
      <c r="I30" s="154"/>
      <c r="J30" s="154" t="s">
        <v>2794</v>
      </c>
      <c r="K30" s="154" t="s">
        <v>2509</v>
      </c>
      <c r="L30" s="17" t="s">
        <v>50</v>
      </c>
      <c r="M30" s="7"/>
      <c r="N30" s="7"/>
      <c r="O30" s="7">
        <f>SUM(O2:O29)</f>
        <v>105</v>
      </c>
      <c r="P30" s="215"/>
    </row>
    <row r="31">
      <c r="A31" s="153">
        <v>55.0</v>
      </c>
      <c r="B31" s="154" t="s">
        <v>6</v>
      </c>
      <c r="C31" s="154" t="s">
        <v>2795</v>
      </c>
      <c r="D31" s="154" t="s">
        <v>268</v>
      </c>
      <c r="E31" s="154" t="s">
        <v>135</v>
      </c>
      <c r="F31" s="154" t="s">
        <v>136</v>
      </c>
      <c r="G31" s="154" t="s">
        <v>2101</v>
      </c>
      <c r="H31" s="155"/>
      <c r="I31" s="154"/>
      <c r="J31" s="154" t="s">
        <v>2796</v>
      </c>
      <c r="K31" s="154" t="s">
        <v>2509</v>
      </c>
      <c r="L31" s="17" t="s">
        <v>50</v>
      </c>
      <c r="M31" s="7"/>
      <c r="N31" s="7"/>
    </row>
    <row r="32">
      <c r="A32" s="153">
        <v>34.0</v>
      </c>
      <c r="B32" s="154" t="s">
        <v>7</v>
      </c>
      <c r="C32" s="154" t="s">
        <v>2797</v>
      </c>
      <c r="D32" s="154" t="s">
        <v>202</v>
      </c>
      <c r="E32" s="154" t="s">
        <v>135</v>
      </c>
      <c r="F32" s="154" t="s">
        <v>136</v>
      </c>
      <c r="G32" s="154" t="s">
        <v>1067</v>
      </c>
      <c r="H32" s="154" t="s">
        <v>2798</v>
      </c>
      <c r="I32" s="154"/>
      <c r="J32" s="157">
        <v>45702.708333333336</v>
      </c>
      <c r="K32" s="154" t="s">
        <v>185</v>
      </c>
      <c r="L32" s="17" t="s">
        <v>50</v>
      </c>
      <c r="M32" s="7"/>
      <c r="N32" s="7"/>
      <c r="O32" s="17">
        <v>21.0</v>
      </c>
      <c r="P32" s="17" t="s">
        <v>3818</v>
      </c>
    </row>
    <row r="33">
      <c r="A33" s="153">
        <v>50.0</v>
      </c>
      <c r="B33" s="154" t="s">
        <v>6</v>
      </c>
      <c r="C33" s="154" t="s">
        <v>2799</v>
      </c>
      <c r="D33" s="154" t="s">
        <v>369</v>
      </c>
      <c r="E33" s="154" t="s">
        <v>135</v>
      </c>
      <c r="F33" s="154" t="s">
        <v>136</v>
      </c>
      <c r="G33" s="154" t="s">
        <v>2800</v>
      </c>
      <c r="H33" s="155"/>
      <c r="I33" s="154"/>
      <c r="J33" s="154" t="s">
        <v>2801</v>
      </c>
      <c r="K33" s="154" t="s">
        <v>185</v>
      </c>
      <c r="L33" s="17" t="s">
        <v>50</v>
      </c>
      <c r="M33" s="7"/>
      <c r="N33" s="7"/>
      <c r="O33" s="17">
        <v>48.0</v>
      </c>
      <c r="P33" s="17" t="s">
        <v>22</v>
      </c>
    </row>
    <row r="34">
      <c r="A34" s="153">
        <v>103.0</v>
      </c>
      <c r="B34" s="154" t="s">
        <v>8</v>
      </c>
      <c r="C34" s="154" t="s">
        <v>1014</v>
      </c>
      <c r="D34" s="154" t="s">
        <v>202</v>
      </c>
      <c r="E34" s="154" t="s">
        <v>135</v>
      </c>
      <c r="F34" s="154" t="s">
        <v>136</v>
      </c>
      <c r="G34" s="154" t="s">
        <v>168</v>
      </c>
      <c r="H34" s="155"/>
      <c r="I34" s="154"/>
      <c r="J34" s="157">
        <v>45754.65833333333</v>
      </c>
      <c r="K34" s="154" t="s">
        <v>2513</v>
      </c>
      <c r="L34" s="17" t="s">
        <v>50</v>
      </c>
      <c r="M34" s="7"/>
      <c r="N34" s="7"/>
      <c r="O34" s="17">
        <v>28.0</v>
      </c>
      <c r="P34" s="17" t="s">
        <v>3821</v>
      </c>
    </row>
    <row r="35">
      <c r="A35" s="153">
        <v>102.0</v>
      </c>
      <c r="B35" s="154" t="s">
        <v>6</v>
      </c>
      <c r="C35" s="154" t="s">
        <v>280</v>
      </c>
      <c r="D35" s="154" t="s">
        <v>202</v>
      </c>
      <c r="E35" s="154" t="s">
        <v>136</v>
      </c>
      <c r="F35" s="154" t="s">
        <v>136</v>
      </c>
      <c r="G35" s="154" t="s">
        <v>281</v>
      </c>
      <c r="H35" s="155"/>
      <c r="I35" s="154"/>
      <c r="J35" s="157">
        <v>45754.5625</v>
      </c>
      <c r="K35" s="154" t="s">
        <v>2509</v>
      </c>
      <c r="L35" s="17" t="s">
        <v>50</v>
      </c>
      <c r="M35" s="7"/>
      <c r="N35" s="7"/>
      <c r="O35" s="17">
        <v>12.0</v>
      </c>
      <c r="P35" s="17" t="s">
        <v>3822</v>
      </c>
    </row>
    <row r="36">
      <c r="A36" s="153">
        <v>98.0</v>
      </c>
      <c r="B36" s="154" t="s">
        <v>7</v>
      </c>
      <c r="C36" s="154" t="s">
        <v>2802</v>
      </c>
      <c r="D36" s="154" t="s">
        <v>239</v>
      </c>
      <c r="E36" s="154" t="s">
        <v>135</v>
      </c>
      <c r="F36" s="154" t="s">
        <v>136</v>
      </c>
      <c r="G36" s="154" t="s">
        <v>150</v>
      </c>
      <c r="H36" s="155"/>
      <c r="I36" s="154"/>
      <c r="J36" s="157">
        <v>45754.157638888886</v>
      </c>
      <c r="K36" s="154" t="s">
        <v>2513</v>
      </c>
      <c r="L36" s="17" t="s">
        <v>50</v>
      </c>
      <c r="M36" s="7"/>
      <c r="N36" s="7"/>
    </row>
    <row r="37">
      <c r="A37" s="153">
        <v>73.0</v>
      </c>
      <c r="B37" s="154" t="s">
        <v>6</v>
      </c>
      <c r="C37" s="154" t="s">
        <v>2803</v>
      </c>
      <c r="D37" s="154" t="s">
        <v>177</v>
      </c>
      <c r="E37" s="154" t="s">
        <v>135</v>
      </c>
      <c r="F37" s="154" t="s">
        <v>135</v>
      </c>
      <c r="G37" s="154" t="s">
        <v>150</v>
      </c>
      <c r="H37" s="155"/>
      <c r="I37" s="154"/>
      <c r="J37" s="154" t="s">
        <v>2804</v>
      </c>
      <c r="K37" s="154" t="s">
        <v>185</v>
      </c>
      <c r="L37" s="17" t="s">
        <v>50</v>
      </c>
      <c r="M37" s="7"/>
      <c r="N37" s="7"/>
    </row>
    <row r="38">
      <c r="A38" s="153">
        <v>15.0</v>
      </c>
      <c r="B38" s="154" t="s">
        <v>7</v>
      </c>
      <c r="C38" s="154" t="s">
        <v>975</v>
      </c>
      <c r="D38" s="154" t="s">
        <v>369</v>
      </c>
      <c r="E38" s="154" t="s">
        <v>136</v>
      </c>
      <c r="F38" s="154" t="s">
        <v>135</v>
      </c>
      <c r="G38" s="154" t="s">
        <v>150</v>
      </c>
      <c r="H38" s="154" t="s">
        <v>2805</v>
      </c>
      <c r="I38" s="154"/>
      <c r="J38" s="157">
        <v>45698.54305555556</v>
      </c>
      <c r="K38" s="154" t="s">
        <v>185</v>
      </c>
      <c r="L38" s="17" t="s">
        <v>50</v>
      </c>
    </row>
    <row r="39">
      <c r="A39" s="153">
        <v>62.0</v>
      </c>
      <c r="B39" s="154" t="s">
        <v>6</v>
      </c>
      <c r="C39" s="154" t="s">
        <v>1055</v>
      </c>
      <c r="D39" s="154" t="s">
        <v>369</v>
      </c>
      <c r="E39" s="154" t="s">
        <v>135</v>
      </c>
      <c r="F39" s="154" t="s">
        <v>136</v>
      </c>
      <c r="G39" s="154" t="s">
        <v>382</v>
      </c>
      <c r="H39" s="155"/>
      <c r="I39" s="154"/>
      <c r="J39" s="154" t="s">
        <v>2806</v>
      </c>
      <c r="K39" s="154" t="s">
        <v>185</v>
      </c>
      <c r="L39" s="17" t="s">
        <v>50</v>
      </c>
    </row>
    <row r="40">
      <c r="A40" s="153">
        <v>27.0</v>
      </c>
      <c r="B40" s="154" t="s">
        <v>6</v>
      </c>
      <c r="C40" s="154" t="s">
        <v>2807</v>
      </c>
      <c r="D40" s="154" t="s">
        <v>214</v>
      </c>
      <c r="E40" s="154" t="s">
        <v>135</v>
      </c>
      <c r="F40" s="154" t="s">
        <v>136</v>
      </c>
      <c r="G40" s="154" t="s">
        <v>1027</v>
      </c>
      <c r="H40" s="155"/>
      <c r="I40" s="154"/>
      <c r="J40" s="157">
        <v>45699.191666666666</v>
      </c>
      <c r="K40" s="154" t="s">
        <v>2513</v>
      </c>
      <c r="L40" s="17" t="s">
        <v>50</v>
      </c>
    </row>
    <row r="41">
      <c r="A41" s="153">
        <v>33.0</v>
      </c>
      <c r="B41" s="154" t="s">
        <v>7</v>
      </c>
      <c r="C41" s="154" t="s">
        <v>2808</v>
      </c>
      <c r="D41" s="154" t="s">
        <v>202</v>
      </c>
      <c r="E41" s="154" t="s">
        <v>135</v>
      </c>
      <c r="F41" s="154" t="s">
        <v>136</v>
      </c>
      <c r="G41" s="154" t="s">
        <v>479</v>
      </c>
      <c r="H41" s="155"/>
      <c r="I41" s="154"/>
      <c r="J41" s="157">
        <v>45702.49652777778</v>
      </c>
      <c r="K41" s="154" t="s">
        <v>185</v>
      </c>
      <c r="L41" s="17" t="s">
        <v>50</v>
      </c>
    </row>
    <row r="42">
      <c r="A42" s="153">
        <v>75.0</v>
      </c>
      <c r="B42" s="154" t="s">
        <v>7</v>
      </c>
      <c r="C42" s="154" t="s">
        <v>2809</v>
      </c>
      <c r="D42" s="154" t="s">
        <v>143</v>
      </c>
      <c r="E42" s="154" t="s">
        <v>135</v>
      </c>
      <c r="F42" s="154" t="s">
        <v>136</v>
      </c>
      <c r="G42" s="154" t="s">
        <v>185</v>
      </c>
      <c r="H42" s="165" t="s">
        <v>2810</v>
      </c>
      <c r="I42" s="154"/>
      <c r="J42" s="154" t="s">
        <v>2811</v>
      </c>
      <c r="K42" s="154" t="s">
        <v>185</v>
      </c>
      <c r="L42" s="17" t="s">
        <v>50</v>
      </c>
    </row>
    <row r="43">
      <c r="A43" s="153">
        <v>91.0</v>
      </c>
      <c r="B43" s="154" t="s">
        <v>6</v>
      </c>
      <c r="C43" s="154" t="s">
        <v>1398</v>
      </c>
      <c r="D43" s="154" t="s">
        <v>213</v>
      </c>
      <c r="E43" s="154" t="s">
        <v>136</v>
      </c>
      <c r="F43" s="154" t="s">
        <v>136</v>
      </c>
      <c r="G43" s="154" t="s">
        <v>349</v>
      </c>
      <c r="H43" s="155"/>
      <c r="I43" s="154"/>
      <c r="J43" s="157">
        <v>45750.600694444445</v>
      </c>
      <c r="K43" s="154" t="s">
        <v>2509</v>
      </c>
      <c r="L43" s="17" t="s">
        <v>50</v>
      </c>
    </row>
    <row r="44">
      <c r="A44" s="153">
        <v>1.0</v>
      </c>
      <c r="B44" s="154" t="s">
        <v>6</v>
      </c>
      <c r="C44" s="154" t="s">
        <v>2812</v>
      </c>
      <c r="D44" s="154" t="s">
        <v>153</v>
      </c>
      <c r="E44" s="154" t="s">
        <v>135</v>
      </c>
      <c r="F44" s="154" t="s">
        <v>136</v>
      </c>
      <c r="G44" s="154" t="s">
        <v>137</v>
      </c>
      <c r="H44" s="155"/>
      <c r="I44" s="154"/>
      <c r="J44" s="157">
        <v>45688.36666666667</v>
      </c>
      <c r="K44" s="154" t="s">
        <v>2502</v>
      </c>
      <c r="L44" s="17" t="s">
        <v>50</v>
      </c>
    </row>
    <row r="45">
      <c r="A45" s="153">
        <v>25.0</v>
      </c>
      <c r="B45" s="154" t="s">
        <v>6</v>
      </c>
      <c r="C45" s="154" t="s">
        <v>2813</v>
      </c>
      <c r="D45" s="154" t="s">
        <v>214</v>
      </c>
      <c r="E45" s="154" t="s">
        <v>135</v>
      </c>
      <c r="F45" s="154" t="s">
        <v>135</v>
      </c>
      <c r="G45" s="154" t="s">
        <v>1001</v>
      </c>
      <c r="H45" s="155"/>
      <c r="I45" s="154"/>
      <c r="J45" s="157">
        <v>45698.66527777778</v>
      </c>
      <c r="K45" s="154" t="s">
        <v>2513</v>
      </c>
      <c r="L45" s="17" t="s">
        <v>50</v>
      </c>
    </row>
    <row r="46">
      <c r="A46" s="153">
        <v>43.0</v>
      </c>
      <c r="B46" s="154" t="s">
        <v>7</v>
      </c>
      <c r="C46" s="154" t="s">
        <v>2814</v>
      </c>
      <c r="D46" s="154" t="s">
        <v>153</v>
      </c>
      <c r="E46" s="154" t="s">
        <v>135</v>
      </c>
      <c r="F46" s="154" t="s">
        <v>136</v>
      </c>
      <c r="G46" s="154" t="s">
        <v>1291</v>
      </c>
      <c r="H46" s="155"/>
      <c r="I46" s="154"/>
      <c r="J46" s="157">
        <v>45712.65416666667</v>
      </c>
      <c r="K46" s="154" t="s">
        <v>2513</v>
      </c>
      <c r="L46" s="17" t="s">
        <v>50</v>
      </c>
    </row>
    <row r="47">
      <c r="A47" s="153">
        <v>84.0</v>
      </c>
      <c r="B47" s="154" t="s">
        <v>6</v>
      </c>
      <c r="C47" s="154" t="s">
        <v>2815</v>
      </c>
      <c r="D47" s="154" t="s">
        <v>263</v>
      </c>
      <c r="E47" s="154" t="s">
        <v>135</v>
      </c>
      <c r="F47" s="154" t="s">
        <v>136</v>
      </c>
      <c r="G47" s="154" t="s">
        <v>180</v>
      </c>
      <c r="H47" s="155"/>
      <c r="I47" s="154"/>
      <c r="J47" s="157">
        <v>45748.89513888889</v>
      </c>
      <c r="K47" s="154" t="s">
        <v>2513</v>
      </c>
      <c r="L47" s="17" t="s">
        <v>50</v>
      </c>
    </row>
    <row r="48">
      <c r="A48" s="153">
        <v>47.0</v>
      </c>
      <c r="B48" s="154" t="s">
        <v>6</v>
      </c>
      <c r="C48" s="154" t="s">
        <v>2816</v>
      </c>
      <c r="D48" s="154" t="s">
        <v>263</v>
      </c>
      <c r="E48" s="154" t="s">
        <v>136</v>
      </c>
      <c r="F48" s="154" t="s">
        <v>136</v>
      </c>
      <c r="G48" s="154" t="s">
        <v>606</v>
      </c>
      <c r="H48" s="154" t="s">
        <v>2817</v>
      </c>
      <c r="I48" s="154"/>
      <c r="J48" s="154" t="s">
        <v>2818</v>
      </c>
      <c r="K48" s="154" t="s">
        <v>2513</v>
      </c>
      <c r="L48" s="17" t="s">
        <v>50</v>
      </c>
    </row>
    <row r="49">
      <c r="A49" s="153">
        <v>105.0</v>
      </c>
      <c r="B49" s="154" t="s">
        <v>7</v>
      </c>
      <c r="C49" s="154" t="s">
        <v>2819</v>
      </c>
      <c r="D49" s="154" t="s">
        <v>285</v>
      </c>
      <c r="E49" s="154" t="s">
        <v>136</v>
      </c>
      <c r="F49" s="154" t="s">
        <v>136</v>
      </c>
      <c r="G49" s="154" t="s">
        <v>1001</v>
      </c>
      <c r="H49" s="154" t="s">
        <v>2820</v>
      </c>
      <c r="I49" s="154"/>
      <c r="J49" s="157">
        <v>45754.86666666667</v>
      </c>
      <c r="K49" s="154" t="s">
        <v>2502</v>
      </c>
      <c r="L49" s="17" t="s">
        <v>50</v>
      </c>
    </row>
    <row r="50">
      <c r="A50" s="153">
        <v>29.0</v>
      </c>
      <c r="B50" s="154" t="s">
        <v>6</v>
      </c>
      <c r="C50" s="154" t="s">
        <v>2821</v>
      </c>
      <c r="D50" s="154" t="s">
        <v>313</v>
      </c>
      <c r="E50" s="154" t="s">
        <v>135</v>
      </c>
      <c r="F50" s="154" t="s">
        <v>136</v>
      </c>
      <c r="G50" s="154" t="s">
        <v>582</v>
      </c>
      <c r="H50" s="154" t="s">
        <v>2822</v>
      </c>
      <c r="I50" s="154"/>
      <c r="J50" s="157">
        <v>45700.05625</v>
      </c>
      <c r="K50" s="154" t="s">
        <v>185</v>
      </c>
      <c r="L50" s="17" t="s">
        <v>50</v>
      </c>
    </row>
    <row r="51">
      <c r="A51" s="153">
        <v>90.0</v>
      </c>
      <c r="B51" s="154" t="s">
        <v>7</v>
      </c>
      <c r="C51" s="154" t="s">
        <v>1177</v>
      </c>
      <c r="D51" s="154" t="s">
        <v>233</v>
      </c>
      <c r="E51" s="154" t="s">
        <v>135</v>
      </c>
      <c r="F51" s="154" t="s">
        <v>136</v>
      </c>
      <c r="G51" s="154" t="s">
        <v>2823</v>
      </c>
      <c r="H51" s="155"/>
      <c r="I51" s="154"/>
      <c r="J51" s="157">
        <v>45750.506944444445</v>
      </c>
      <c r="K51" s="154" t="s">
        <v>185</v>
      </c>
      <c r="L51" s="17" t="s">
        <v>50</v>
      </c>
    </row>
    <row r="52">
      <c r="A52" s="153">
        <v>42.0</v>
      </c>
      <c r="B52" s="154" t="s">
        <v>6</v>
      </c>
      <c r="C52" s="154" t="s">
        <v>2824</v>
      </c>
      <c r="D52" s="154" t="s">
        <v>164</v>
      </c>
      <c r="E52" s="154" t="s">
        <v>135</v>
      </c>
      <c r="F52" s="154" t="s">
        <v>136</v>
      </c>
      <c r="G52" s="154" t="s">
        <v>137</v>
      </c>
      <c r="H52" s="155"/>
      <c r="I52" s="154"/>
      <c r="J52" s="157">
        <v>45708.47708333333</v>
      </c>
      <c r="K52" s="154" t="s">
        <v>185</v>
      </c>
      <c r="L52" s="17" t="s">
        <v>50</v>
      </c>
    </row>
    <row r="53">
      <c r="A53" s="153">
        <v>66.0</v>
      </c>
      <c r="B53" s="154" t="s">
        <v>6</v>
      </c>
      <c r="C53" s="154" t="s">
        <v>2674</v>
      </c>
      <c r="D53" s="154" t="s">
        <v>203</v>
      </c>
      <c r="E53" s="154" t="s">
        <v>135</v>
      </c>
      <c r="F53" s="154" t="s">
        <v>136</v>
      </c>
      <c r="G53" s="154" t="s">
        <v>1001</v>
      </c>
      <c r="H53" s="155"/>
      <c r="I53" s="154"/>
      <c r="J53" s="154" t="s">
        <v>2825</v>
      </c>
      <c r="K53" s="154" t="s">
        <v>2502</v>
      </c>
      <c r="L53" s="17" t="s">
        <v>50</v>
      </c>
    </row>
    <row r="54">
      <c r="A54" s="153">
        <v>64.0</v>
      </c>
      <c r="B54" s="154" t="s">
        <v>6</v>
      </c>
      <c r="C54" s="154" t="s">
        <v>2826</v>
      </c>
      <c r="D54" s="154" t="s">
        <v>202</v>
      </c>
      <c r="E54" s="154" t="s">
        <v>135</v>
      </c>
      <c r="F54" s="154" t="s">
        <v>136</v>
      </c>
      <c r="G54" s="154" t="s">
        <v>479</v>
      </c>
      <c r="H54" s="155"/>
      <c r="I54" s="154"/>
      <c r="J54" s="154" t="s">
        <v>2827</v>
      </c>
      <c r="K54" s="154" t="s">
        <v>2513</v>
      </c>
      <c r="L54" s="17" t="s">
        <v>50</v>
      </c>
    </row>
    <row r="55">
      <c r="A55" s="153">
        <v>88.0</v>
      </c>
      <c r="B55" s="154" t="s">
        <v>6</v>
      </c>
      <c r="C55" s="154" t="s">
        <v>2828</v>
      </c>
      <c r="D55" s="154" t="s">
        <v>228</v>
      </c>
      <c r="E55" s="154" t="s">
        <v>135</v>
      </c>
      <c r="F55" s="154" t="s">
        <v>135</v>
      </c>
      <c r="G55" s="154" t="s">
        <v>150</v>
      </c>
      <c r="H55" s="155"/>
      <c r="I55" s="154"/>
      <c r="J55" s="157">
        <v>45750.4625</v>
      </c>
      <c r="K55" s="154" t="s">
        <v>2502</v>
      </c>
      <c r="L55" s="17" t="s">
        <v>50</v>
      </c>
    </row>
    <row r="56">
      <c r="A56" s="153">
        <v>67.0</v>
      </c>
      <c r="B56" s="154" t="s">
        <v>7</v>
      </c>
      <c r="C56" s="154" t="s">
        <v>2829</v>
      </c>
      <c r="D56" s="154" t="s">
        <v>202</v>
      </c>
      <c r="E56" s="154" t="s">
        <v>136</v>
      </c>
      <c r="F56" s="154" t="s">
        <v>136</v>
      </c>
      <c r="G56" s="154" t="s">
        <v>460</v>
      </c>
      <c r="H56" s="155"/>
      <c r="I56" s="154"/>
      <c r="J56" s="154" t="s">
        <v>2830</v>
      </c>
      <c r="K56" s="154" t="s">
        <v>2507</v>
      </c>
      <c r="L56" s="17" t="s">
        <v>50</v>
      </c>
    </row>
    <row r="57">
      <c r="A57" s="153">
        <v>94.0</v>
      </c>
      <c r="B57" s="154" t="s">
        <v>6</v>
      </c>
      <c r="C57" s="154" t="s">
        <v>2831</v>
      </c>
      <c r="D57" s="154" t="s">
        <v>164</v>
      </c>
      <c r="E57" s="154" t="s">
        <v>135</v>
      </c>
      <c r="F57" s="154" t="s">
        <v>136</v>
      </c>
      <c r="G57" s="154" t="s">
        <v>1219</v>
      </c>
      <c r="H57" s="154" t="s">
        <v>2832</v>
      </c>
      <c r="I57" s="154"/>
      <c r="J57" s="157">
        <v>45751.623611111114</v>
      </c>
      <c r="K57" s="154" t="s">
        <v>2513</v>
      </c>
      <c r="L57" s="17" t="s">
        <v>50</v>
      </c>
    </row>
    <row r="58">
      <c r="A58" s="153">
        <v>92.0</v>
      </c>
      <c r="B58" s="154" t="s">
        <v>7</v>
      </c>
      <c r="C58" s="154" t="s">
        <v>2833</v>
      </c>
      <c r="D58" s="154" t="s">
        <v>291</v>
      </c>
      <c r="E58" s="154" t="s">
        <v>136</v>
      </c>
      <c r="F58" s="154" t="s">
        <v>136</v>
      </c>
      <c r="G58" s="154" t="s">
        <v>221</v>
      </c>
      <c r="H58" s="155"/>
      <c r="I58" s="154"/>
      <c r="J58" s="157">
        <v>45750.62847222222</v>
      </c>
      <c r="K58" s="154" t="s">
        <v>2509</v>
      </c>
      <c r="L58" s="17" t="s">
        <v>50</v>
      </c>
    </row>
    <row r="59">
      <c r="A59" s="153">
        <v>11.0</v>
      </c>
      <c r="B59" s="154" t="s">
        <v>7</v>
      </c>
      <c r="C59" s="154" t="s">
        <v>469</v>
      </c>
      <c r="D59" s="154" t="s">
        <v>202</v>
      </c>
      <c r="E59" s="154" t="s">
        <v>136</v>
      </c>
      <c r="F59" s="154" t="s">
        <v>136</v>
      </c>
      <c r="G59" s="154" t="s">
        <v>320</v>
      </c>
      <c r="H59" s="154" t="s">
        <v>2834</v>
      </c>
      <c r="I59" s="154"/>
      <c r="J59" s="157">
        <v>45692.416666666664</v>
      </c>
      <c r="K59" s="154" t="s">
        <v>2509</v>
      </c>
      <c r="L59" s="17" t="s">
        <v>50</v>
      </c>
    </row>
    <row r="60">
      <c r="A60" s="153">
        <v>28.0</v>
      </c>
      <c r="B60" s="154" t="s">
        <v>7</v>
      </c>
      <c r="C60" s="154" t="s">
        <v>2835</v>
      </c>
      <c r="D60" s="154" t="s">
        <v>214</v>
      </c>
      <c r="E60" s="154" t="s">
        <v>135</v>
      </c>
      <c r="F60" s="154" t="s">
        <v>136</v>
      </c>
      <c r="G60" s="154" t="s">
        <v>157</v>
      </c>
      <c r="H60" s="155"/>
      <c r="I60" s="154"/>
      <c r="J60" s="157">
        <v>45699.395833333336</v>
      </c>
      <c r="K60" s="154" t="s">
        <v>2513</v>
      </c>
      <c r="L60" s="17" t="s">
        <v>50</v>
      </c>
    </row>
    <row r="61">
      <c r="A61" s="153">
        <v>61.0</v>
      </c>
      <c r="B61" s="154" t="s">
        <v>7</v>
      </c>
      <c r="C61" s="154" t="s">
        <v>1055</v>
      </c>
      <c r="D61" s="154" t="s">
        <v>369</v>
      </c>
      <c r="E61" s="154" t="s">
        <v>135</v>
      </c>
      <c r="F61" s="154" t="s">
        <v>136</v>
      </c>
      <c r="G61" s="154" t="s">
        <v>2836</v>
      </c>
      <c r="H61" s="154" t="s">
        <v>903</v>
      </c>
      <c r="I61" s="154"/>
      <c r="J61" s="154" t="s">
        <v>2837</v>
      </c>
      <c r="K61" s="154" t="s">
        <v>2513</v>
      </c>
      <c r="L61" s="17" t="s">
        <v>50</v>
      </c>
    </row>
    <row r="62">
      <c r="A62" s="153">
        <v>51.0</v>
      </c>
      <c r="B62" s="154" t="s">
        <v>6</v>
      </c>
      <c r="C62" s="154" t="s">
        <v>2838</v>
      </c>
      <c r="D62" s="154" t="s">
        <v>202</v>
      </c>
      <c r="E62" s="154" t="s">
        <v>135</v>
      </c>
      <c r="F62" s="154" t="s">
        <v>136</v>
      </c>
      <c r="G62" s="154" t="s">
        <v>2839</v>
      </c>
      <c r="H62" s="154" t="s">
        <v>2840</v>
      </c>
      <c r="I62" s="154"/>
      <c r="J62" s="154" t="s">
        <v>2841</v>
      </c>
      <c r="K62" s="154" t="s">
        <v>185</v>
      </c>
      <c r="L62" s="17" t="s">
        <v>50</v>
      </c>
    </row>
    <row r="63">
      <c r="A63" s="153">
        <v>10.0</v>
      </c>
      <c r="B63" s="154" t="s">
        <v>6</v>
      </c>
      <c r="C63" s="154" t="s">
        <v>1949</v>
      </c>
      <c r="D63" s="154" t="s">
        <v>218</v>
      </c>
      <c r="E63" s="154" t="s">
        <v>136</v>
      </c>
      <c r="F63" s="154" t="s">
        <v>136</v>
      </c>
      <c r="G63" s="154" t="s">
        <v>185</v>
      </c>
      <c r="H63" s="165" t="s">
        <v>1161</v>
      </c>
      <c r="I63" s="154"/>
      <c r="J63" s="157">
        <v>45691.396527777775</v>
      </c>
      <c r="K63" s="154" t="s">
        <v>2509</v>
      </c>
      <c r="L63" s="17" t="s">
        <v>50</v>
      </c>
    </row>
    <row r="64">
      <c r="A64" s="153">
        <v>19.0</v>
      </c>
      <c r="B64" s="154" t="s">
        <v>6</v>
      </c>
      <c r="C64" s="154" t="s">
        <v>1055</v>
      </c>
      <c r="D64" s="154" t="s">
        <v>369</v>
      </c>
      <c r="E64" s="154" t="s">
        <v>136</v>
      </c>
      <c r="F64" s="154" t="s">
        <v>135</v>
      </c>
      <c r="G64" s="154" t="s">
        <v>349</v>
      </c>
      <c r="H64" s="155"/>
      <c r="I64" s="154"/>
      <c r="J64" s="157">
        <v>45698.58541666667</v>
      </c>
      <c r="K64" s="154" t="s">
        <v>2513</v>
      </c>
      <c r="L64" s="17" t="s">
        <v>50</v>
      </c>
    </row>
    <row r="65">
      <c r="A65" s="153">
        <v>74.0</v>
      </c>
      <c r="B65" s="154" t="s">
        <v>6</v>
      </c>
      <c r="C65" s="154" t="s">
        <v>2842</v>
      </c>
      <c r="D65" s="154" t="s">
        <v>263</v>
      </c>
      <c r="E65" s="154" t="s">
        <v>135</v>
      </c>
      <c r="F65" s="154" t="s">
        <v>136</v>
      </c>
      <c r="G65" s="154" t="s">
        <v>448</v>
      </c>
      <c r="H65" s="155"/>
      <c r="I65" s="154"/>
      <c r="J65" s="154" t="s">
        <v>2843</v>
      </c>
      <c r="K65" s="154" t="s">
        <v>185</v>
      </c>
      <c r="L65" s="17" t="s">
        <v>50</v>
      </c>
    </row>
    <row r="66">
      <c r="A66" s="153">
        <v>100.0</v>
      </c>
      <c r="B66" s="154" t="s">
        <v>6</v>
      </c>
      <c r="C66" s="154" t="s">
        <v>2699</v>
      </c>
      <c r="D66" s="154" t="s">
        <v>233</v>
      </c>
      <c r="E66" s="154" t="s">
        <v>136</v>
      </c>
      <c r="F66" s="154" t="s">
        <v>136</v>
      </c>
      <c r="G66" s="154" t="s">
        <v>168</v>
      </c>
      <c r="H66" s="155"/>
      <c r="I66" s="154"/>
      <c r="J66" s="157">
        <v>45754.52777777778</v>
      </c>
      <c r="K66" s="154" t="s">
        <v>2513</v>
      </c>
      <c r="L66" s="17" t="s">
        <v>50</v>
      </c>
    </row>
    <row r="67">
      <c r="A67" s="153">
        <v>40.0</v>
      </c>
      <c r="B67" s="154" t="s">
        <v>6</v>
      </c>
      <c r="C67" s="154" t="s">
        <v>2844</v>
      </c>
      <c r="D67" s="154" t="s">
        <v>177</v>
      </c>
      <c r="E67" s="154" t="s">
        <v>135</v>
      </c>
      <c r="F67" s="154" t="s">
        <v>136</v>
      </c>
      <c r="G67" s="154" t="s">
        <v>367</v>
      </c>
      <c r="H67" s="155"/>
      <c r="I67" s="154"/>
      <c r="J67" s="157">
        <v>45707.73402777778</v>
      </c>
      <c r="K67" s="154" t="s">
        <v>2513</v>
      </c>
      <c r="L67" s="17" t="s">
        <v>50</v>
      </c>
    </row>
    <row r="68">
      <c r="A68" s="153">
        <v>5.0</v>
      </c>
      <c r="B68" s="154" t="s">
        <v>6</v>
      </c>
      <c r="C68" s="154" t="s">
        <v>2845</v>
      </c>
      <c r="D68" s="154" t="s">
        <v>177</v>
      </c>
      <c r="E68" s="154" t="s">
        <v>135</v>
      </c>
      <c r="F68" s="154" t="s">
        <v>136</v>
      </c>
      <c r="G68" s="154" t="s">
        <v>168</v>
      </c>
      <c r="H68" s="155"/>
      <c r="I68" s="154"/>
      <c r="J68" s="157">
        <v>45688.478472222225</v>
      </c>
      <c r="K68" s="154" t="s">
        <v>2513</v>
      </c>
      <c r="L68" s="17" t="s">
        <v>50</v>
      </c>
    </row>
    <row r="69">
      <c r="A69" s="153">
        <v>7.0</v>
      </c>
      <c r="B69" s="154" t="s">
        <v>6</v>
      </c>
      <c r="C69" s="154" t="s">
        <v>2846</v>
      </c>
      <c r="D69" s="154" t="s">
        <v>202</v>
      </c>
      <c r="E69" s="154" t="s">
        <v>135</v>
      </c>
      <c r="F69" s="154" t="s">
        <v>136</v>
      </c>
      <c r="G69" s="154" t="s">
        <v>1976</v>
      </c>
      <c r="H69" s="155"/>
      <c r="I69" s="154"/>
      <c r="J69" s="157">
        <v>45688.57847222222</v>
      </c>
      <c r="K69" s="154" t="s">
        <v>2513</v>
      </c>
      <c r="L69" s="17" t="s">
        <v>50</v>
      </c>
    </row>
    <row r="70">
      <c r="A70" s="153">
        <v>83.0</v>
      </c>
      <c r="B70" s="154" t="s">
        <v>7</v>
      </c>
      <c r="C70" s="154" t="s">
        <v>2847</v>
      </c>
      <c r="D70" s="154" t="s">
        <v>202</v>
      </c>
      <c r="E70" s="154" t="s">
        <v>136</v>
      </c>
      <c r="F70" s="154" t="s">
        <v>136</v>
      </c>
      <c r="G70" s="154" t="s">
        <v>1027</v>
      </c>
      <c r="H70" s="155"/>
      <c r="I70" s="154"/>
      <c r="J70" s="157">
        <v>45748.79791666667</v>
      </c>
      <c r="K70" s="154" t="s">
        <v>2502</v>
      </c>
      <c r="L70" s="17" t="s">
        <v>50</v>
      </c>
    </row>
    <row r="71">
      <c r="A71" s="153">
        <v>48.0</v>
      </c>
      <c r="B71" s="154" t="s">
        <v>7</v>
      </c>
      <c r="C71" s="154" t="s">
        <v>1434</v>
      </c>
      <c r="D71" s="154" t="s">
        <v>263</v>
      </c>
      <c r="E71" s="154" t="s">
        <v>135</v>
      </c>
      <c r="F71" s="154" t="s">
        <v>136</v>
      </c>
      <c r="G71" s="154" t="s">
        <v>2848</v>
      </c>
      <c r="H71" s="154" t="s">
        <v>2849</v>
      </c>
      <c r="I71" s="154"/>
      <c r="J71" s="154" t="s">
        <v>2850</v>
      </c>
      <c r="K71" s="154" t="s">
        <v>2507</v>
      </c>
      <c r="L71" s="17" t="s">
        <v>50</v>
      </c>
    </row>
    <row r="72">
      <c r="A72" s="153">
        <v>80.0</v>
      </c>
      <c r="B72" s="154" t="s">
        <v>6</v>
      </c>
      <c r="C72" s="154" t="s">
        <v>2851</v>
      </c>
      <c r="D72" s="154" t="s">
        <v>290</v>
      </c>
      <c r="E72" s="154" t="s">
        <v>135</v>
      </c>
      <c r="F72" s="154" t="s">
        <v>136</v>
      </c>
      <c r="G72" s="154" t="s">
        <v>732</v>
      </c>
      <c r="H72" s="155"/>
      <c r="I72" s="154"/>
      <c r="J72" s="157">
        <v>45748.532638888886</v>
      </c>
      <c r="K72" s="154" t="s">
        <v>2502</v>
      </c>
      <c r="L72" s="17" t="s">
        <v>50</v>
      </c>
    </row>
    <row r="73">
      <c r="A73" s="153">
        <v>24.0</v>
      </c>
      <c r="B73" s="154" t="s">
        <v>7</v>
      </c>
      <c r="C73" s="154" t="s">
        <v>1055</v>
      </c>
      <c r="D73" s="154" t="s">
        <v>369</v>
      </c>
      <c r="E73" s="154" t="s">
        <v>136</v>
      </c>
      <c r="F73" s="154" t="s">
        <v>135</v>
      </c>
      <c r="G73" s="154" t="s">
        <v>2852</v>
      </c>
      <c r="H73" s="155"/>
      <c r="I73" s="154"/>
      <c r="J73" s="157">
        <v>45698.614583333336</v>
      </c>
      <c r="K73" s="154" t="s">
        <v>2513</v>
      </c>
      <c r="L73" s="17" t="s">
        <v>50</v>
      </c>
    </row>
    <row r="74">
      <c r="A74" s="153">
        <v>4.0</v>
      </c>
      <c r="B74" s="154" t="s">
        <v>6</v>
      </c>
      <c r="C74" s="154" t="s">
        <v>342</v>
      </c>
      <c r="D74" s="154" t="s">
        <v>218</v>
      </c>
      <c r="E74" s="154" t="s">
        <v>135</v>
      </c>
      <c r="F74" s="154" t="s">
        <v>135</v>
      </c>
      <c r="G74" s="154" t="s">
        <v>150</v>
      </c>
      <c r="H74" s="155"/>
      <c r="I74" s="154"/>
      <c r="J74" s="157">
        <v>45688.47222222222</v>
      </c>
      <c r="K74" s="154" t="s">
        <v>2502</v>
      </c>
      <c r="L74" s="17" t="s">
        <v>50</v>
      </c>
    </row>
    <row r="75">
      <c r="A75" s="153">
        <v>63.0</v>
      </c>
      <c r="B75" s="154" t="s">
        <v>7</v>
      </c>
      <c r="C75" s="154" t="s">
        <v>589</v>
      </c>
      <c r="D75" s="154" t="s">
        <v>233</v>
      </c>
      <c r="E75" s="154" t="s">
        <v>135</v>
      </c>
      <c r="F75" s="154" t="s">
        <v>136</v>
      </c>
      <c r="G75" s="154" t="s">
        <v>168</v>
      </c>
      <c r="H75" s="155"/>
      <c r="I75" s="154"/>
      <c r="J75" s="154" t="s">
        <v>2853</v>
      </c>
      <c r="K75" s="154" t="s">
        <v>2513</v>
      </c>
      <c r="L75" s="17" t="s">
        <v>50</v>
      </c>
    </row>
    <row r="76">
      <c r="A76" s="153">
        <v>78.0</v>
      </c>
      <c r="B76" s="154" t="s">
        <v>6</v>
      </c>
      <c r="C76" s="154" t="s">
        <v>2854</v>
      </c>
      <c r="D76" s="154" t="s">
        <v>202</v>
      </c>
      <c r="E76" s="154" t="s">
        <v>135</v>
      </c>
      <c r="F76" s="154" t="s">
        <v>136</v>
      </c>
      <c r="G76" s="154" t="s">
        <v>345</v>
      </c>
      <c r="H76" s="155"/>
      <c r="I76" s="154"/>
      <c r="J76" s="157">
        <v>45748.40069444444</v>
      </c>
      <c r="K76" s="154" t="s">
        <v>2513</v>
      </c>
      <c r="L76" s="17" t="s">
        <v>50</v>
      </c>
    </row>
    <row r="77">
      <c r="A77" s="153">
        <v>46.0</v>
      </c>
      <c r="B77" s="154" t="s">
        <v>7</v>
      </c>
      <c r="C77" s="154">
        <v>1.062677627E9</v>
      </c>
      <c r="D77" s="154" t="s">
        <v>347</v>
      </c>
      <c r="E77" s="154" t="s">
        <v>135</v>
      </c>
      <c r="F77" s="154" t="s">
        <v>136</v>
      </c>
      <c r="G77" s="154" t="s">
        <v>460</v>
      </c>
      <c r="H77" s="155"/>
      <c r="I77" s="154"/>
      <c r="J77" s="154" t="s">
        <v>2855</v>
      </c>
      <c r="K77" s="154" t="s">
        <v>2513</v>
      </c>
      <c r="L77" s="17" t="s">
        <v>50</v>
      </c>
    </row>
    <row r="78">
      <c r="A78" s="153">
        <v>95.0</v>
      </c>
      <c r="B78" s="154" t="s">
        <v>6</v>
      </c>
      <c r="C78" s="154" t="s">
        <v>1524</v>
      </c>
      <c r="D78" s="154" t="s">
        <v>159</v>
      </c>
      <c r="E78" s="154" t="s">
        <v>135</v>
      </c>
      <c r="F78" s="154" t="s">
        <v>135</v>
      </c>
      <c r="G78" s="154" t="s">
        <v>606</v>
      </c>
      <c r="H78" s="155"/>
      <c r="I78" s="154"/>
      <c r="J78" s="157">
        <v>45753.64791666667</v>
      </c>
      <c r="K78" s="154" t="s">
        <v>185</v>
      </c>
      <c r="L78" s="17" t="s">
        <v>50</v>
      </c>
    </row>
    <row r="79">
      <c r="A79" s="153">
        <v>79.0</v>
      </c>
      <c r="B79" s="154" t="s">
        <v>6</v>
      </c>
      <c r="C79" s="154" t="s">
        <v>427</v>
      </c>
      <c r="D79" s="154" t="s">
        <v>243</v>
      </c>
      <c r="E79" s="154" t="s">
        <v>135</v>
      </c>
      <c r="F79" s="154" t="s">
        <v>136</v>
      </c>
      <c r="G79" s="154" t="s">
        <v>1081</v>
      </c>
      <c r="H79" s="155"/>
      <c r="I79" s="154"/>
      <c r="J79" s="157">
        <v>45748.50347222222</v>
      </c>
      <c r="K79" s="154" t="s">
        <v>2502</v>
      </c>
      <c r="L79" s="17" t="s">
        <v>50</v>
      </c>
    </row>
    <row r="80">
      <c r="A80" s="153">
        <v>23.0</v>
      </c>
      <c r="B80" s="154" t="s">
        <v>6</v>
      </c>
      <c r="C80" s="154" t="s">
        <v>2856</v>
      </c>
      <c r="D80" s="154" t="s">
        <v>214</v>
      </c>
      <c r="E80" s="154" t="s">
        <v>135</v>
      </c>
      <c r="F80" s="154" t="s">
        <v>135</v>
      </c>
      <c r="G80" s="154" t="s">
        <v>1027</v>
      </c>
      <c r="H80" s="155"/>
      <c r="I80" s="154"/>
      <c r="J80" s="157">
        <v>45698.61319444444</v>
      </c>
      <c r="K80" s="154" t="s">
        <v>2513</v>
      </c>
      <c r="L80" s="17" t="s">
        <v>50</v>
      </c>
    </row>
    <row r="81">
      <c r="A81" s="153">
        <v>81.0</v>
      </c>
      <c r="B81" s="154" t="s">
        <v>6</v>
      </c>
      <c r="C81" s="154" t="s">
        <v>2857</v>
      </c>
      <c r="D81" s="154" t="s">
        <v>239</v>
      </c>
      <c r="E81" s="154" t="s">
        <v>135</v>
      </c>
      <c r="F81" s="154" t="s">
        <v>136</v>
      </c>
      <c r="G81" s="154" t="s">
        <v>798</v>
      </c>
      <c r="H81" s="154" t="s">
        <v>2858</v>
      </c>
      <c r="I81" s="154"/>
      <c r="J81" s="157">
        <v>45748.53611111111</v>
      </c>
      <c r="K81" s="154" t="s">
        <v>185</v>
      </c>
      <c r="L81" s="17" t="s">
        <v>50</v>
      </c>
    </row>
    <row r="82">
      <c r="A82" s="153">
        <v>21.0</v>
      </c>
      <c r="B82" s="154" t="s">
        <v>6</v>
      </c>
      <c r="C82" s="154" t="s">
        <v>2859</v>
      </c>
      <c r="D82" s="154" t="s">
        <v>214</v>
      </c>
      <c r="E82" s="154" t="s">
        <v>135</v>
      </c>
      <c r="F82" s="154" t="s">
        <v>136</v>
      </c>
      <c r="G82" s="154" t="s">
        <v>349</v>
      </c>
      <c r="H82" s="155"/>
      <c r="I82" s="154"/>
      <c r="J82" s="157">
        <v>45698.606944444444</v>
      </c>
      <c r="K82" s="154" t="s">
        <v>2513</v>
      </c>
      <c r="L82" s="17" t="s">
        <v>50</v>
      </c>
    </row>
    <row r="83">
      <c r="A83" s="153">
        <v>72.0</v>
      </c>
      <c r="B83" s="154" t="s">
        <v>7</v>
      </c>
      <c r="C83" s="154" t="s">
        <v>848</v>
      </c>
      <c r="D83" s="154" t="s">
        <v>243</v>
      </c>
      <c r="E83" s="154" t="s">
        <v>135</v>
      </c>
      <c r="F83" s="154" t="s">
        <v>135</v>
      </c>
      <c r="G83" s="154" t="s">
        <v>157</v>
      </c>
      <c r="H83" s="155"/>
      <c r="I83" s="154"/>
      <c r="J83" s="154" t="s">
        <v>2860</v>
      </c>
      <c r="K83" s="154" t="s">
        <v>185</v>
      </c>
      <c r="L83" s="17" t="s">
        <v>50</v>
      </c>
    </row>
    <row r="84">
      <c r="A84" s="153">
        <v>87.0</v>
      </c>
      <c r="B84" s="154" t="s">
        <v>6</v>
      </c>
      <c r="C84" s="154" t="s">
        <v>2861</v>
      </c>
      <c r="D84" s="154" t="s">
        <v>239</v>
      </c>
      <c r="E84" s="154" t="s">
        <v>136</v>
      </c>
      <c r="F84" s="154" t="s">
        <v>136</v>
      </c>
      <c r="G84" s="154" t="s">
        <v>2862</v>
      </c>
      <c r="H84" s="155"/>
      <c r="I84" s="154"/>
      <c r="J84" s="157">
        <v>45750.18194444444</v>
      </c>
      <c r="K84" s="154" t="s">
        <v>2513</v>
      </c>
      <c r="L84" s="17" t="s">
        <v>50</v>
      </c>
    </row>
    <row r="85">
      <c r="A85" s="153">
        <v>77.0</v>
      </c>
      <c r="B85" s="154" t="s">
        <v>6</v>
      </c>
      <c r="C85" s="154" t="s">
        <v>1085</v>
      </c>
      <c r="D85" s="154" t="s">
        <v>202</v>
      </c>
      <c r="E85" s="154" t="s">
        <v>135</v>
      </c>
      <c r="F85" s="154" t="s">
        <v>136</v>
      </c>
      <c r="G85" s="154" t="s">
        <v>168</v>
      </c>
      <c r="H85" s="155"/>
      <c r="I85" s="154"/>
      <c r="J85" s="157">
        <v>45748.40069444444</v>
      </c>
      <c r="K85" s="154" t="s">
        <v>2513</v>
      </c>
      <c r="L85" s="17" t="s">
        <v>50</v>
      </c>
    </row>
    <row r="86">
      <c r="A86" s="153">
        <v>71.0</v>
      </c>
      <c r="B86" s="154" t="s">
        <v>6</v>
      </c>
      <c r="C86" s="154" t="s">
        <v>2863</v>
      </c>
      <c r="D86" s="154" t="s">
        <v>258</v>
      </c>
      <c r="E86" s="154" t="s">
        <v>135</v>
      </c>
      <c r="F86" s="154" t="s">
        <v>136</v>
      </c>
      <c r="G86" s="154" t="s">
        <v>479</v>
      </c>
      <c r="H86" s="155"/>
      <c r="I86" s="154"/>
      <c r="J86" s="154" t="s">
        <v>2770</v>
      </c>
      <c r="K86" s="154" t="s">
        <v>185</v>
      </c>
      <c r="L86" s="17" t="s">
        <v>50</v>
      </c>
    </row>
    <row r="87">
      <c r="A87" s="153">
        <v>52.0</v>
      </c>
      <c r="B87" s="154" t="s">
        <v>6</v>
      </c>
      <c r="C87" s="154" t="s">
        <v>2864</v>
      </c>
      <c r="D87" s="154" t="s">
        <v>290</v>
      </c>
      <c r="E87" s="154" t="s">
        <v>136</v>
      </c>
      <c r="F87" s="154" t="s">
        <v>136</v>
      </c>
      <c r="G87" s="154" t="s">
        <v>320</v>
      </c>
      <c r="H87" s="155"/>
      <c r="I87" s="154"/>
      <c r="J87" s="154" t="s">
        <v>2865</v>
      </c>
      <c r="K87" s="154" t="s">
        <v>185</v>
      </c>
      <c r="L87" s="17" t="s">
        <v>50</v>
      </c>
    </row>
    <row r="88">
      <c r="A88" s="153">
        <v>89.0</v>
      </c>
      <c r="B88" s="154" t="s">
        <v>6</v>
      </c>
      <c r="C88" s="154" t="s">
        <v>2866</v>
      </c>
      <c r="D88" s="154" t="s">
        <v>243</v>
      </c>
      <c r="E88" s="154" t="s">
        <v>136</v>
      </c>
      <c r="F88" s="154" t="s">
        <v>135</v>
      </c>
      <c r="G88" s="154" t="s">
        <v>2111</v>
      </c>
      <c r="H88" s="155"/>
      <c r="I88" s="154"/>
      <c r="J88" s="157">
        <v>45750.50555555556</v>
      </c>
      <c r="K88" s="154" t="s">
        <v>2507</v>
      </c>
      <c r="L88" s="17" t="s">
        <v>50</v>
      </c>
    </row>
    <row r="89">
      <c r="A89" s="153">
        <v>65.0</v>
      </c>
      <c r="B89" s="154" t="s">
        <v>7</v>
      </c>
      <c r="C89" s="154" t="s">
        <v>536</v>
      </c>
      <c r="D89" s="154" t="s">
        <v>193</v>
      </c>
      <c r="E89" s="154" t="s">
        <v>136</v>
      </c>
      <c r="F89" s="154" t="s">
        <v>136</v>
      </c>
      <c r="G89" s="154" t="s">
        <v>281</v>
      </c>
      <c r="H89" s="155"/>
      <c r="I89" s="154"/>
      <c r="J89" s="154" t="s">
        <v>2867</v>
      </c>
      <c r="K89" s="154" t="s">
        <v>2513</v>
      </c>
      <c r="L89" s="17" t="s">
        <v>50</v>
      </c>
    </row>
    <row r="90">
      <c r="A90" s="153">
        <v>16.0</v>
      </c>
      <c r="B90" s="154" t="s">
        <v>6</v>
      </c>
      <c r="C90" s="154" t="s">
        <v>2868</v>
      </c>
      <c r="D90" s="154" t="s">
        <v>390</v>
      </c>
      <c r="E90" s="154" t="s">
        <v>135</v>
      </c>
      <c r="F90" s="154" t="s">
        <v>136</v>
      </c>
      <c r="G90" s="154" t="s">
        <v>599</v>
      </c>
      <c r="H90" s="154" t="s">
        <v>2869</v>
      </c>
      <c r="I90" s="154"/>
      <c r="J90" s="157">
        <v>45698.555555555555</v>
      </c>
      <c r="K90" s="154" t="s">
        <v>2513</v>
      </c>
      <c r="L90" s="17" t="s">
        <v>50</v>
      </c>
    </row>
    <row r="91">
      <c r="A91" s="153">
        <v>35.0</v>
      </c>
      <c r="B91" s="154" t="s">
        <v>6</v>
      </c>
      <c r="C91" s="154" t="s">
        <v>2760</v>
      </c>
      <c r="D91" s="154" t="s">
        <v>214</v>
      </c>
      <c r="E91" s="154" t="s">
        <v>135</v>
      </c>
      <c r="F91" s="154" t="s">
        <v>136</v>
      </c>
      <c r="G91" s="154" t="s">
        <v>157</v>
      </c>
      <c r="H91" s="155"/>
      <c r="I91" s="154"/>
      <c r="J91" s="157">
        <v>45704.48888888889</v>
      </c>
      <c r="K91" s="154" t="s">
        <v>2513</v>
      </c>
      <c r="L91" s="17" t="s">
        <v>50</v>
      </c>
    </row>
    <row r="92">
      <c r="A92" s="153">
        <v>99.0</v>
      </c>
      <c r="B92" s="154" t="s">
        <v>6</v>
      </c>
      <c r="C92" s="154" t="s">
        <v>1852</v>
      </c>
      <c r="D92" s="154" t="s">
        <v>143</v>
      </c>
      <c r="E92" s="154" t="s">
        <v>136</v>
      </c>
      <c r="F92" s="154" t="s">
        <v>136</v>
      </c>
      <c r="G92" s="154" t="s">
        <v>2870</v>
      </c>
      <c r="H92" s="155"/>
      <c r="I92" s="154"/>
      <c r="J92" s="157">
        <v>45754.42222222222</v>
      </c>
      <c r="K92" s="154" t="s">
        <v>2513</v>
      </c>
      <c r="L92" s="17" t="s">
        <v>50</v>
      </c>
    </row>
    <row r="93">
      <c r="A93" s="153">
        <v>9.0</v>
      </c>
      <c r="B93" s="154" t="s">
        <v>6</v>
      </c>
      <c r="C93" s="154" t="s">
        <v>2871</v>
      </c>
      <c r="D93" s="154" t="s">
        <v>284</v>
      </c>
      <c r="E93" s="154" t="s">
        <v>135</v>
      </c>
      <c r="F93" s="154" t="s">
        <v>136</v>
      </c>
      <c r="G93" s="154" t="s">
        <v>150</v>
      </c>
      <c r="H93" s="155"/>
      <c r="I93" s="154"/>
      <c r="J93" s="157">
        <v>45689.19375</v>
      </c>
      <c r="K93" s="154" t="s">
        <v>2509</v>
      </c>
      <c r="L93" s="17" t="s">
        <v>50</v>
      </c>
    </row>
    <row r="94">
      <c r="A94" s="153">
        <v>60.0</v>
      </c>
      <c r="B94" s="154" t="s">
        <v>6</v>
      </c>
      <c r="C94" s="154" t="s">
        <v>2872</v>
      </c>
      <c r="D94" s="154" t="s">
        <v>290</v>
      </c>
      <c r="E94" s="154" t="s">
        <v>135</v>
      </c>
      <c r="F94" s="154" t="s">
        <v>136</v>
      </c>
      <c r="G94" s="154" t="s">
        <v>2873</v>
      </c>
      <c r="H94" s="155"/>
      <c r="I94" s="154"/>
      <c r="J94" s="154" t="s">
        <v>2874</v>
      </c>
      <c r="K94" s="154" t="s">
        <v>2513</v>
      </c>
      <c r="L94" s="17" t="s">
        <v>50</v>
      </c>
    </row>
    <row r="95">
      <c r="A95" s="153">
        <v>69.0</v>
      </c>
      <c r="B95" s="154" t="s">
        <v>6</v>
      </c>
      <c r="C95" s="154" t="s">
        <v>2875</v>
      </c>
      <c r="D95" s="154" t="s">
        <v>143</v>
      </c>
      <c r="E95" s="154" t="s">
        <v>135</v>
      </c>
      <c r="F95" s="154" t="s">
        <v>136</v>
      </c>
      <c r="G95" s="154" t="s">
        <v>349</v>
      </c>
      <c r="H95" s="155"/>
      <c r="I95" s="154"/>
      <c r="J95" s="154" t="s">
        <v>2876</v>
      </c>
      <c r="K95" s="154" t="s">
        <v>185</v>
      </c>
      <c r="L95" s="17" t="s">
        <v>50</v>
      </c>
    </row>
    <row r="96">
      <c r="A96" s="153">
        <v>59.0</v>
      </c>
      <c r="B96" s="154" t="s">
        <v>7</v>
      </c>
      <c r="C96" s="154" t="s">
        <v>2643</v>
      </c>
      <c r="D96" s="154" t="s">
        <v>164</v>
      </c>
      <c r="E96" s="154" t="s">
        <v>135</v>
      </c>
      <c r="F96" s="154" t="s">
        <v>136</v>
      </c>
      <c r="G96" s="154" t="s">
        <v>428</v>
      </c>
      <c r="H96" s="155"/>
      <c r="I96" s="154"/>
      <c r="J96" s="154" t="s">
        <v>2877</v>
      </c>
      <c r="K96" s="154" t="s">
        <v>2509</v>
      </c>
      <c r="L96" s="17" t="s">
        <v>50</v>
      </c>
    </row>
    <row r="97">
      <c r="A97" s="153">
        <v>37.0</v>
      </c>
      <c r="B97" s="154" t="s">
        <v>7</v>
      </c>
      <c r="C97" s="154" t="s">
        <v>2878</v>
      </c>
      <c r="D97" s="154" t="s">
        <v>214</v>
      </c>
      <c r="E97" s="154" t="s">
        <v>135</v>
      </c>
      <c r="F97" s="154" t="s">
        <v>136</v>
      </c>
      <c r="G97" s="154" t="s">
        <v>231</v>
      </c>
      <c r="H97" s="155"/>
      <c r="I97" s="154"/>
      <c r="J97" s="157">
        <v>45705.12847222222</v>
      </c>
      <c r="K97" s="154" t="s">
        <v>2513</v>
      </c>
      <c r="L97" s="17" t="s">
        <v>50</v>
      </c>
    </row>
    <row r="98">
      <c r="A98" s="153">
        <v>12.0</v>
      </c>
      <c r="B98" s="154" t="s">
        <v>6</v>
      </c>
      <c r="C98" s="154" t="s">
        <v>1096</v>
      </c>
      <c r="D98" s="154" t="s">
        <v>153</v>
      </c>
      <c r="E98" s="154" t="s">
        <v>135</v>
      </c>
      <c r="F98" s="154" t="s">
        <v>136</v>
      </c>
      <c r="G98" s="154" t="s">
        <v>137</v>
      </c>
      <c r="H98" s="155"/>
      <c r="I98" s="154"/>
      <c r="J98" s="157">
        <v>45695.38888888889</v>
      </c>
      <c r="K98" s="154" t="s">
        <v>2513</v>
      </c>
      <c r="L98" s="17" t="s">
        <v>50</v>
      </c>
    </row>
    <row r="99">
      <c r="A99" s="153">
        <v>49.0</v>
      </c>
      <c r="B99" s="154" t="s">
        <v>6</v>
      </c>
      <c r="C99" s="154" t="s">
        <v>245</v>
      </c>
      <c r="D99" s="154" t="s">
        <v>202</v>
      </c>
      <c r="E99" s="154" t="s">
        <v>136</v>
      </c>
      <c r="F99" s="154" t="s">
        <v>136</v>
      </c>
      <c r="G99" s="154" t="s">
        <v>1888</v>
      </c>
      <c r="H99" s="155"/>
      <c r="I99" s="154"/>
      <c r="J99" s="154" t="s">
        <v>2879</v>
      </c>
      <c r="K99" s="154" t="s">
        <v>185</v>
      </c>
      <c r="L99" s="17" t="s">
        <v>50</v>
      </c>
    </row>
    <row r="100">
      <c r="A100" s="153">
        <v>104.0</v>
      </c>
      <c r="B100" s="154" t="s">
        <v>7</v>
      </c>
      <c r="C100" s="154" t="s">
        <v>2829</v>
      </c>
      <c r="D100" s="154" t="s">
        <v>202</v>
      </c>
      <c r="E100" s="154" t="s">
        <v>136</v>
      </c>
      <c r="F100" s="154" t="s">
        <v>136</v>
      </c>
      <c r="G100" s="154" t="s">
        <v>1888</v>
      </c>
      <c r="H100" s="155"/>
      <c r="I100" s="154"/>
      <c r="J100" s="157">
        <v>45754.67152777778</v>
      </c>
      <c r="K100" s="154" t="s">
        <v>185</v>
      </c>
      <c r="L100" s="17" t="s">
        <v>50</v>
      </c>
    </row>
    <row r="101">
      <c r="A101" s="153">
        <v>82.0</v>
      </c>
      <c r="B101" s="154" t="s">
        <v>7</v>
      </c>
      <c r="C101" s="154" t="s">
        <v>2880</v>
      </c>
      <c r="D101" s="154" t="s">
        <v>202</v>
      </c>
      <c r="E101" s="154" t="s">
        <v>135</v>
      </c>
      <c r="F101" s="154" t="s">
        <v>136</v>
      </c>
      <c r="G101" s="154" t="s">
        <v>185</v>
      </c>
      <c r="H101" s="154" t="s">
        <v>3924</v>
      </c>
      <c r="I101" s="154"/>
      <c r="J101" s="157">
        <v>45748.59305555555</v>
      </c>
      <c r="K101" s="154" t="s">
        <v>185</v>
      </c>
      <c r="L101" s="17" t="s">
        <v>50</v>
      </c>
    </row>
    <row r="102">
      <c r="A102" s="153">
        <v>96.0</v>
      </c>
      <c r="B102" s="154" t="s">
        <v>7</v>
      </c>
      <c r="C102" s="154" t="s">
        <v>315</v>
      </c>
      <c r="D102" s="154" t="s">
        <v>164</v>
      </c>
      <c r="E102" s="154" t="s">
        <v>136</v>
      </c>
      <c r="F102" s="154" t="s">
        <v>136</v>
      </c>
      <c r="G102" s="154" t="s">
        <v>185</v>
      </c>
      <c r="H102" s="155"/>
      <c r="I102" s="154"/>
      <c r="J102" s="157">
        <v>45753.885416666664</v>
      </c>
      <c r="K102" s="154" t="s">
        <v>2502</v>
      </c>
      <c r="L102" s="17" t="s">
        <v>50</v>
      </c>
    </row>
    <row r="103">
      <c r="A103" s="153">
        <v>32.0</v>
      </c>
      <c r="B103" s="154" t="s">
        <v>6</v>
      </c>
      <c r="C103" s="154" t="s">
        <v>2831</v>
      </c>
      <c r="D103" s="154" t="s">
        <v>164</v>
      </c>
      <c r="E103" s="154" t="s">
        <v>135</v>
      </c>
      <c r="F103" s="154" t="s">
        <v>136</v>
      </c>
      <c r="G103" s="154" t="s">
        <v>2712</v>
      </c>
      <c r="H103" s="155"/>
      <c r="I103" s="154"/>
      <c r="J103" s="157">
        <v>45701.895833333336</v>
      </c>
      <c r="K103" s="154" t="s">
        <v>2509</v>
      </c>
      <c r="L103" s="17" t="s">
        <v>50</v>
      </c>
    </row>
    <row r="104">
      <c r="A104" s="153">
        <v>39.0</v>
      </c>
      <c r="B104" s="154" t="s">
        <v>7</v>
      </c>
      <c r="C104" s="154" t="s">
        <v>2139</v>
      </c>
      <c r="D104" s="154" t="s">
        <v>143</v>
      </c>
      <c r="E104" s="154" t="s">
        <v>135</v>
      </c>
      <c r="F104" s="154" t="s">
        <v>136</v>
      </c>
      <c r="G104" s="154" t="s">
        <v>594</v>
      </c>
      <c r="H104" s="155"/>
      <c r="I104" s="154"/>
      <c r="J104" s="157">
        <v>45707.6875</v>
      </c>
      <c r="K104" s="154" t="s">
        <v>2509</v>
      </c>
      <c r="L104" s="17" t="s">
        <v>50</v>
      </c>
    </row>
    <row r="105">
      <c r="A105" s="153">
        <v>36.0</v>
      </c>
      <c r="B105" s="154" t="s">
        <v>7</v>
      </c>
      <c r="C105" s="154" t="s">
        <v>379</v>
      </c>
      <c r="D105" s="154" t="s">
        <v>202</v>
      </c>
      <c r="E105" s="154" t="s">
        <v>136</v>
      </c>
      <c r="F105" s="154" t="s">
        <v>136</v>
      </c>
      <c r="G105" s="154" t="s">
        <v>221</v>
      </c>
      <c r="H105" s="155"/>
      <c r="I105" s="154"/>
      <c r="J105" s="157">
        <v>45704.6375</v>
      </c>
      <c r="K105" s="154" t="s">
        <v>2509</v>
      </c>
      <c r="L105" s="17" t="s">
        <v>50</v>
      </c>
    </row>
    <row r="106">
      <c r="A106" s="153">
        <v>41.0</v>
      </c>
      <c r="B106" s="154" t="s">
        <v>7</v>
      </c>
      <c r="C106" s="154" t="s">
        <v>2882</v>
      </c>
      <c r="D106" s="154" t="s">
        <v>164</v>
      </c>
      <c r="E106" s="154" t="s">
        <v>135</v>
      </c>
      <c r="F106" s="154" t="s">
        <v>136</v>
      </c>
      <c r="G106" s="154" t="s">
        <v>385</v>
      </c>
      <c r="H106" s="155"/>
      <c r="I106" s="154"/>
      <c r="J106" s="157">
        <v>45708.013194444444</v>
      </c>
      <c r="K106" s="154" t="s">
        <v>2513</v>
      </c>
      <c r="L106" s="17" t="s">
        <v>50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28.71"/>
  </cols>
  <sheetData>
    <row r="1">
      <c r="A1" s="165" t="s">
        <v>116</v>
      </c>
      <c r="B1" s="165" t="s">
        <v>117</v>
      </c>
      <c r="C1" s="165" t="s">
        <v>118</v>
      </c>
      <c r="D1" s="165" t="s">
        <v>119</v>
      </c>
      <c r="E1" s="165" t="s">
        <v>120</v>
      </c>
      <c r="F1" s="165" t="s">
        <v>121</v>
      </c>
      <c r="G1" s="165" t="s">
        <v>122</v>
      </c>
      <c r="H1" s="165" t="s">
        <v>123</v>
      </c>
      <c r="I1" s="165" t="s">
        <v>3925</v>
      </c>
      <c r="J1" s="165" t="s">
        <v>125</v>
      </c>
      <c r="K1" s="165" t="s">
        <v>126</v>
      </c>
      <c r="L1" s="165" t="s">
        <v>3771</v>
      </c>
      <c r="O1" s="123" t="s">
        <v>129</v>
      </c>
      <c r="P1" s="123" t="s">
        <v>130</v>
      </c>
      <c r="Q1" s="123" t="s">
        <v>131</v>
      </c>
    </row>
    <row r="2">
      <c r="A2" s="153">
        <v>22.0</v>
      </c>
      <c r="B2" s="154" t="s">
        <v>7</v>
      </c>
      <c r="C2" s="154" t="s">
        <v>1329</v>
      </c>
      <c r="D2" s="154" t="s">
        <v>214</v>
      </c>
      <c r="E2" s="154" t="s">
        <v>135</v>
      </c>
      <c r="F2" s="154" t="s">
        <v>136</v>
      </c>
      <c r="G2" s="165" t="s">
        <v>479</v>
      </c>
      <c r="H2" s="155"/>
      <c r="I2" s="154" t="s">
        <v>136</v>
      </c>
      <c r="J2" s="154" t="s">
        <v>2068</v>
      </c>
      <c r="K2" s="154" t="s">
        <v>139</v>
      </c>
      <c r="L2" s="156" t="s">
        <v>70</v>
      </c>
      <c r="O2" s="217" t="str">
        <f t="array" ref="O2:O24">UNIQUE(D2:D90)</f>
        <v>Indonesia</v>
      </c>
      <c r="P2" s="217">
        <f t="shared" ref="P2:P23" si="1">COUNTIF(D$2:D$90,O2)</f>
        <v>1</v>
      </c>
      <c r="Q2" s="218" t="str">
        <f t="array" ref="Q2">XLOOKUP(O2,Countries!A$2:A$98,Countries!B$2:B$98,"tbd",0)</f>
        <v>Asia</v>
      </c>
    </row>
    <row r="3">
      <c r="A3" s="153">
        <v>14.0</v>
      </c>
      <c r="B3" s="154" t="s">
        <v>6</v>
      </c>
      <c r="C3" s="154" t="s">
        <v>1497</v>
      </c>
      <c r="D3" s="154" t="s">
        <v>165</v>
      </c>
      <c r="E3" s="154" t="s">
        <v>135</v>
      </c>
      <c r="F3" s="154" t="s">
        <v>135</v>
      </c>
      <c r="G3" s="165" t="s">
        <v>2069</v>
      </c>
      <c r="H3" s="155"/>
      <c r="I3" s="154" t="s">
        <v>135</v>
      </c>
      <c r="J3" s="154" t="s">
        <v>2070</v>
      </c>
      <c r="K3" s="154" t="s">
        <v>139</v>
      </c>
      <c r="L3" s="156" t="s">
        <v>70</v>
      </c>
      <c r="O3" s="216" t="s">
        <v>165</v>
      </c>
      <c r="P3" s="217">
        <f t="shared" si="1"/>
        <v>1</v>
      </c>
      <c r="Q3" s="218" t="str">
        <f t="array" ref="Q3">XLOOKUP(O3,Countries!A$2:A$98,Countries!B$2:B$98,"tbd",0)</f>
        <v>Africa</v>
      </c>
    </row>
    <row r="4">
      <c r="A4" s="153">
        <v>25.0</v>
      </c>
      <c r="B4" s="154" t="s">
        <v>6</v>
      </c>
      <c r="C4" s="154" t="s">
        <v>2071</v>
      </c>
      <c r="D4" s="154" t="s">
        <v>331</v>
      </c>
      <c r="E4" s="154" t="s">
        <v>135</v>
      </c>
      <c r="F4" s="154" t="s">
        <v>136</v>
      </c>
      <c r="G4" s="165" t="s">
        <v>320</v>
      </c>
      <c r="H4" s="155"/>
      <c r="I4" s="154" t="s">
        <v>135</v>
      </c>
      <c r="J4" s="154" t="s">
        <v>2072</v>
      </c>
      <c r="K4" s="154" t="s">
        <v>139</v>
      </c>
      <c r="L4" s="156" t="s">
        <v>70</v>
      </c>
      <c r="O4" s="16" t="s">
        <v>331</v>
      </c>
      <c r="P4" s="7">
        <f t="shared" si="1"/>
        <v>1</v>
      </c>
      <c r="Q4" s="215" t="str">
        <f t="array" ref="Q4">XLOOKUP(O4,Countries!A$2:A$98,Countries!B$2:B$98,"tbd",0)</f>
        <v>Europe</v>
      </c>
    </row>
    <row r="5">
      <c r="A5" s="153">
        <v>36.0</v>
      </c>
      <c r="B5" s="154" t="s">
        <v>7</v>
      </c>
      <c r="C5" s="154" t="s">
        <v>2073</v>
      </c>
      <c r="D5" s="154" t="s">
        <v>177</v>
      </c>
      <c r="E5" s="154" t="s">
        <v>135</v>
      </c>
      <c r="F5" s="154" t="s">
        <v>136</v>
      </c>
      <c r="G5" s="154" t="s">
        <v>271</v>
      </c>
      <c r="H5" s="155"/>
      <c r="I5" s="154" t="s">
        <v>135</v>
      </c>
      <c r="J5" s="154" t="s">
        <v>2074</v>
      </c>
      <c r="K5" s="154" t="s">
        <v>139</v>
      </c>
      <c r="L5" s="156" t="s">
        <v>70</v>
      </c>
      <c r="O5" s="216" t="s">
        <v>177</v>
      </c>
      <c r="P5" s="217">
        <f t="shared" si="1"/>
        <v>1</v>
      </c>
      <c r="Q5" s="218" t="str">
        <f t="array" ref="Q5">XLOOKUP(O5,Countries!A$2:A$98,Countries!B$2:B$98,"tbd",0)</f>
        <v>Africa</v>
      </c>
    </row>
    <row r="6">
      <c r="A6" s="153">
        <v>40.0</v>
      </c>
      <c r="B6" s="154" t="s">
        <v>7</v>
      </c>
      <c r="C6" s="154" t="s">
        <v>2075</v>
      </c>
      <c r="D6" s="154" t="s">
        <v>243</v>
      </c>
      <c r="E6" s="154" t="s">
        <v>135</v>
      </c>
      <c r="F6" s="154" t="s">
        <v>136</v>
      </c>
      <c r="G6" s="154" t="s">
        <v>137</v>
      </c>
      <c r="H6" s="155"/>
      <c r="I6" s="154" t="s">
        <v>135</v>
      </c>
      <c r="J6" s="157">
        <v>45597.305555555555</v>
      </c>
      <c r="K6" s="154" t="s">
        <v>139</v>
      </c>
      <c r="L6" s="156" t="s">
        <v>70</v>
      </c>
      <c r="O6" s="216" t="s">
        <v>243</v>
      </c>
      <c r="P6" s="217">
        <f t="shared" si="1"/>
        <v>7</v>
      </c>
      <c r="Q6" s="218" t="str">
        <f t="array" ref="Q6">XLOOKUP(O6,Countries!A$2:A$98,Countries!B$2:B$98,"tbd",0)</f>
        <v>Middle East</v>
      </c>
    </row>
    <row r="7">
      <c r="A7" s="153">
        <v>20.0</v>
      </c>
      <c r="B7" s="154" t="s">
        <v>6</v>
      </c>
      <c r="C7" s="154" t="s">
        <v>2076</v>
      </c>
      <c r="D7" s="154" t="s">
        <v>369</v>
      </c>
      <c r="E7" s="154" t="s">
        <v>135</v>
      </c>
      <c r="F7" s="154" t="s">
        <v>135</v>
      </c>
      <c r="G7" s="154" t="s">
        <v>479</v>
      </c>
      <c r="H7" s="155"/>
      <c r="I7" s="154" t="s">
        <v>135</v>
      </c>
      <c r="J7" s="154" t="s">
        <v>2077</v>
      </c>
      <c r="K7" s="154" t="s">
        <v>139</v>
      </c>
      <c r="L7" s="156" t="s">
        <v>70</v>
      </c>
      <c r="O7" s="216" t="s">
        <v>369</v>
      </c>
      <c r="P7" s="217">
        <f t="shared" si="1"/>
        <v>1</v>
      </c>
      <c r="Q7" s="218" t="str">
        <f t="array" ref="Q7">XLOOKUP(O7,Countries!A$2:A$98,Countries!B$2:B$98,"tbd",0)</f>
        <v>Middle/South America</v>
      </c>
    </row>
    <row r="8">
      <c r="A8" s="153">
        <v>29.0</v>
      </c>
      <c r="B8" s="154" t="s">
        <v>6</v>
      </c>
      <c r="C8" s="154" t="s">
        <v>2078</v>
      </c>
      <c r="D8" s="154" t="s">
        <v>134</v>
      </c>
      <c r="E8" s="154" t="s">
        <v>136</v>
      </c>
      <c r="F8" s="154" t="s">
        <v>136</v>
      </c>
      <c r="G8" s="154" t="s">
        <v>221</v>
      </c>
      <c r="H8" s="155"/>
      <c r="I8" s="154" t="s">
        <v>135</v>
      </c>
      <c r="J8" s="154" t="s">
        <v>2079</v>
      </c>
      <c r="K8" s="154" t="s">
        <v>139</v>
      </c>
      <c r="L8" s="156" t="s">
        <v>70</v>
      </c>
      <c r="O8" s="16" t="s">
        <v>134</v>
      </c>
      <c r="P8" s="7">
        <f t="shared" si="1"/>
        <v>3</v>
      </c>
      <c r="Q8" s="215" t="str">
        <f t="array" ref="Q8">XLOOKUP(O8,Countries!A$2:A$98,Countries!B$2:B$98,"tbd",0)</f>
        <v>Europe</v>
      </c>
    </row>
    <row r="9">
      <c r="A9" s="153">
        <v>46.0</v>
      </c>
      <c r="B9" s="154" t="s">
        <v>6</v>
      </c>
      <c r="C9" s="154" t="s">
        <v>696</v>
      </c>
      <c r="D9" s="154" t="s">
        <v>290</v>
      </c>
      <c r="E9" s="154" t="s">
        <v>136</v>
      </c>
      <c r="F9" s="154" t="s">
        <v>136</v>
      </c>
      <c r="G9" s="154" t="s">
        <v>599</v>
      </c>
      <c r="H9" s="155"/>
      <c r="I9" s="154" t="s">
        <v>135</v>
      </c>
      <c r="J9" s="157">
        <v>45598.638194444444</v>
      </c>
      <c r="K9" s="154" t="s">
        <v>139</v>
      </c>
      <c r="L9" s="156" t="s">
        <v>70</v>
      </c>
      <c r="O9" s="216" t="s">
        <v>290</v>
      </c>
      <c r="P9" s="217">
        <f t="shared" si="1"/>
        <v>3</v>
      </c>
      <c r="Q9" s="218" t="str">
        <f t="array" ref="Q9">XLOOKUP(O9,Countries!A$2:A$98,Countries!B$2:B$98,"tbd",0)</f>
        <v>Middle East</v>
      </c>
    </row>
    <row r="10">
      <c r="A10" s="153">
        <v>33.0</v>
      </c>
      <c r="B10" s="154" t="s">
        <v>8</v>
      </c>
      <c r="C10" s="154" t="s">
        <v>379</v>
      </c>
      <c r="D10" s="154" t="s">
        <v>202</v>
      </c>
      <c r="E10" s="154" t="s">
        <v>136</v>
      </c>
      <c r="F10" s="154" t="s">
        <v>136</v>
      </c>
      <c r="G10" s="165" t="s">
        <v>1257</v>
      </c>
      <c r="H10" s="154" t="s">
        <v>2080</v>
      </c>
      <c r="I10" s="154" t="s">
        <v>135</v>
      </c>
      <c r="J10" s="154" t="s">
        <v>2081</v>
      </c>
      <c r="K10" s="154" t="s">
        <v>139</v>
      </c>
      <c r="L10" s="156" t="s">
        <v>70</v>
      </c>
      <c r="O10" s="16" t="s">
        <v>202</v>
      </c>
      <c r="P10" s="7">
        <f t="shared" si="1"/>
        <v>7</v>
      </c>
      <c r="Q10" s="215" t="str">
        <f t="array" ref="Q10">XLOOKUP(O10,Countries!A$2:A$98,Countries!B$2:B$98,"tbd",0)</f>
        <v>Europe</v>
      </c>
    </row>
    <row r="11">
      <c r="A11" s="153">
        <v>12.0</v>
      </c>
      <c r="B11" s="154" t="s">
        <v>7</v>
      </c>
      <c r="C11" s="154" t="s">
        <v>2082</v>
      </c>
      <c r="D11" s="154" t="s">
        <v>164</v>
      </c>
      <c r="E11" s="154" t="s">
        <v>135</v>
      </c>
      <c r="F11" s="154" t="s">
        <v>136</v>
      </c>
      <c r="G11" s="154" t="s">
        <v>2083</v>
      </c>
      <c r="H11" s="155"/>
      <c r="I11" s="154" t="s">
        <v>135</v>
      </c>
      <c r="J11" s="154" t="s">
        <v>2084</v>
      </c>
      <c r="K11" s="154" t="s">
        <v>139</v>
      </c>
      <c r="L11" s="156" t="s">
        <v>70</v>
      </c>
      <c r="O11" s="16" t="s">
        <v>164</v>
      </c>
      <c r="P11" s="7">
        <f t="shared" si="1"/>
        <v>5</v>
      </c>
      <c r="Q11" s="215" t="str">
        <f t="array" ref="Q11">XLOOKUP(O11,Countries!A$2:A$98,Countries!B$2:B$98,"tbd",0)</f>
        <v>Europe</v>
      </c>
    </row>
    <row r="12">
      <c r="A12" s="153">
        <v>35.0</v>
      </c>
      <c r="B12" s="154" t="s">
        <v>6</v>
      </c>
      <c r="C12" s="154" t="s">
        <v>1698</v>
      </c>
      <c r="D12" s="154" t="s">
        <v>202</v>
      </c>
      <c r="E12" s="154" t="s">
        <v>136</v>
      </c>
      <c r="F12" s="154" t="s">
        <v>136</v>
      </c>
      <c r="G12" s="154" t="s">
        <v>221</v>
      </c>
      <c r="H12" s="155"/>
      <c r="I12" s="154" t="s">
        <v>135</v>
      </c>
      <c r="J12" s="154" t="s">
        <v>2085</v>
      </c>
      <c r="K12" s="154" t="s">
        <v>139</v>
      </c>
      <c r="L12" s="156" t="s">
        <v>70</v>
      </c>
      <c r="O12" s="83" t="s">
        <v>213</v>
      </c>
      <c r="P12" s="54">
        <f t="shared" si="1"/>
        <v>5</v>
      </c>
      <c r="Q12" s="142" t="str">
        <f t="array" ref="Q12">XLOOKUP(O12,Countries!A$2:A$98,Countries!B$2:B$98,"tbd",0)</f>
        <v>widening countries</v>
      </c>
    </row>
    <row r="13">
      <c r="A13" s="153">
        <v>8.0</v>
      </c>
      <c r="B13" s="154" t="s">
        <v>6</v>
      </c>
      <c r="C13" s="154" t="s">
        <v>2086</v>
      </c>
      <c r="D13" s="154" t="s">
        <v>213</v>
      </c>
      <c r="E13" s="154" t="s">
        <v>135</v>
      </c>
      <c r="F13" s="154" t="s">
        <v>136</v>
      </c>
      <c r="G13" s="154" t="s">
        <v>479</v>
      </c>
      <c r="H13" s="155"/>
      <c r="I13" s="154" t="s">
        <v>135</v>
      </c>
      <c r="J13" s="154" t="s">
        <v>2087</v>
      </c>
      <c r="K13" s="154" t="s">
        <v>139</v>
      </c>
      <c r="L13" s="156" t="s">
        <v>70</v>
      </c>
      <c r="O13" s="216" t="s">
        <v>263</v>
      </c>
      <c r="P13" s="217">
        <f t="shared" si="1"/>
        <v>2</v>
      </c>
      <c r="Q13" s="218" t="str">
        <f t="array" ref="Q13">XLOOKUP(O13,Countries!A$2:A$98,Countries!B$2:B$98,"tbd",0)</f>
        <v>U.S. + Canada</v>
      </c>
    </row>
    <row r="14">
      <c r="A14" s="153">
        <v>1.0</v>
      </c>
      <c r="B14" s="154" t="s">
        <v>7</v>
      </c>
      <c r="C14" s="154" t="s">
        <v>195</v>
      </c>
      <c r="D14" s="154" t="s">
        <v>164</v>
      </c>
      <c r="E14" s="154" t="s">
        <v>136</v>
      </c>
      <c r="F14" s="154" t="s">
        <v>136</v>
      </c>
      <c r="G14" s="154" t="s">
        <v>174</v>
      </c>
      <c r="H14" s="154" t="s">
        <v>1141</v>
      </c>
      <c r="I14" s="154" t="s">
        <v>136</v>
      </c>
      <c r="J14" s="154" t="s">
        <v>2088</v>
      </c>
      <c r="K14" s="154" t="s">
        <v>139</v>
      </c>
      <c r="L14" s="156" t="s">
        <v>70</v>
      </c>
      <c r="O14" s="83" t="s">
        <v>153</v>
      </c>
      <c r="P14" s="54">
        <f t="shared" si="1"/>
        <v>1</v>
      </c>
      <c r="Q14" s="142" t="str">
        <f t="array" ref="Q14">XLOOKUP(O14,Countries!A$2:A$98,Countries!B$2:B$98,"tbd",0)</f>
        <v>associated countries</v>
      </c>
    </row>
    <row r="15">
      <c r="A15" s="153">
        <v>26.0</v>
      </c>
      <c r="B15" s="154" t="s">
        <v>6</v>
      </c>
      <c r="C15" s="154" t="s">
        <v>2089</v>
      </c>
      <c r="D15" s="154" t="s">
        <v>263</v>
      </c>
      <c r="E15" s="154" t="s">
        <v>135</v>
      </c>
      <c r="F15" s="154" t="s">
        <v>135</v>
      </c>
      <c r="G15" s="154" t="s">
        <v>454</v>
      </c>
      <c r="H15" s="155"/>
      <c r="I15" s="154" t="s">
        <v>136</v>
      </c>
      <c r="J15" s="154" t="s">
        <v>2090</v>
      </c>
      <c r="K15" s="154" t="s">
        <v>139</v>
      </c>
      <c r="L15" s="156" t="s">
        <v>70</v>
      </c>
      <c r="O15" s="16" t="s">
        <v>143</v>
      </c>
      <c r="P15" s="7">
        <f t="shared" si="1"/>
        <v>3</v>
      </c>
      <c r="Q15" s="215" t="str">
        <f t="array" ref="Q15">XLOOKUP(O15,Countries!A$2:A$98,Countries!B$2:B$98,"tbd",0)</f>
        <v>Europe</v>
      </c>
    </row>
    <row r="16">
      <c r="A16" s="153">
        <v>50.0</v>
      </c>
      <c r="B16" s="154" t="s">
        <v>6</v>
      </c>
      <c r="C16" s="154" t="s">
        <v>913</v>
      </c>
      <c r="D16" s="154" t="s">
        <v>153</v>
      </c>
      <c r="E16" s="154" t="s">
        <v>135</v>
      </c>
      <c r="F16" s="154" t="s">
        <v>136</v>
      </c>
      <c r="G16" s="154" t="s">
        <v>157</v>
      </c>
      <c r="H16" s="155"/>
      <c r="I16" s="154" t="s">
        <v>135</v>
      </c>
      <c r="J16" s="157">
        <v>45598.93541666667</v>
      </c>
      <c r="K16" s="154" t="s">
        <v>139</v>
      </c>
      <c r="L16" s="156" t="s">
        <v>70</v>
      </c>
      <c r="O16" s="16" t="s">
        <v>327</v>
      </c>
      <c r="P16" s="7">
        <f t="shared" si="1"/>
        <v>1</v>
      </c>
      <c r="Q16" s="215" t="str">
        <f t="array" ref="Q16">XLOOKUP(O16,Countries!A$2:A$98,Countries!B$2:B$98,"tbd",0)</f>
        <v>Europe</v>
      </c>
    </row>
    <row r="17">
      <c r="A17" s="153">
        <v>48.0</v>
      </c>
      <c r="B17" s="154" t="s">
        <v>6</v>
      </c>
      <c r="C17" s="154" t="s">
        <v>668</v>
      </c>
      <c r="D17" s="154" t="s">
        <v>143</v>
      </c>
      <c r="E17" s="154" t="s">
        <v>135</v>
      </c>
      <c r="F17" s="154" t="s">
        <v>136</v>
      </c>
      <c r="G17" s="154" t="s">
        <v>3926</v>
      </c>
      <c r="H17" s="155"/>
      <c r="I17" s="154" t="s">
        <v>135</v>
      </c>
      <c r="J17" s="157">
        <v>45598.69027777778</v>
      </c>
      <c r="K17" s="154" t="s">
        <v>139</v>
      </c>
      <c r="L17" s="156" t="s">
        <v>70</v>
      </c>
      <c r="O17" s="83" t="s">
        <v>268</v>
      </c>
      <c r="P17" s="54">
        <f t="shared" si="1"/>
        <v>1</v>
      </c>
      <c r="Q17" s="142" t="str">
        <f t="array" ref="Q17">XLOOKUP(O17,Countries!A$2:A$98,Countries!B$2:B$98,"tbd",0)</f>
        <v>associated countries</v>
      </c>
    </row>
    <row r="18">
      <c r="A18" s="153">
        <v>38.0</v>
      </c>
      <c r="B18" s="154" t="s">
        <v>7</v>
      </c>
      <c r="C18" s="154" t="s">
        <v>1894</v>
      </c>
      <c r="D18" s="154" t="s">
        <v>327</v>
      </c>
      <c r="E18" s="154" t="s">
        <v>136</v>
      </c>
      <c r="F18" s="154" t="s">
        <v>135</v>
      </c>
      <c r="G18" s="154" t="s">
        <v>150</v>
      </c>
      <c r="H18" s="155"/>
      <c r="I18" s="154" t="s">
        <v>136</v>
      </c>
      <c r="J18" s="154" t="s">
        <v>2091</v>
      </c>
      <c r="K18" s="154" t="s">
        <v>139</v>
      </c>
      <c r="L18" s="156" t="s">
        <v>70</v>
      </c>
      <c r="O18" s="216" t="s">
        <v>400</v>
      </c>
      <c r="P18" s="217">
        <f t="shared" si="1"/>
        <v>1</v>
      </c>
      <c r="Q18" s="218" t="str">
        <f t="array" ref="Q18">XLOOKUP(O18,Countries!A$2:A$98,Countries!B$2:B$98,"tbd",0)</f>
        <v>Middle/South America</v>
      </c>
    </row>
    <row r="19">
      <c r="A19" s="153">
        <v>31.0</v>
      </c>
      <c r="B19" s="154" t="s">
        <v>7</v>
      </c>
      <c r="C19" s="154" t="s">
        <v>2092</v>
      </c>
      <c r="D19" s="154" t="s">
        <v>134</v>
      </c>
      <c r="E19" s="154" t="s">
        <v>135</v>
      </c>
      <c r="F19" s="154" t="s">
        <v>136</v>
      </c>
      <c r="G19" s="154" t="s">
        <v>137</v>
      </c>
      <c r="H19" s="154" t="s">
        <v>2093</v>
      </c>
      <c r="I19" s="154" t="s">
        <v>136</v>
      </c>
      <c r="J19" s="154" t="s">
        <v>2094</v>
      </c>
      <c r="K19" s="154" t="s">
        <v>139</v>
      </c>
      <c r="L19" s="156" t="s">
        <v>70</v>
      </c>
      <c r="O19" s="216" t="s">
        <v>284</v>
      </c>
      <c r="P19" s="217">
        <f t="shared" si="1"/>
        <v>2</v>
      </c>
      <c r="Q19" s="218" t="str">
        <f t="array" ref="Q19">XLOOKUP(O19,Countries!A$2:A$98,Countries!B$2:B$98,"tbd",0)</f>
        <v>Middle East</v>
      </c>
    </row>
    <row r="20">
      <c r="A20" s="153">
        <v>16.0</v>
      </c>
      <c r="B20" s="154" t="s">
        <v>6</v>
      </c>
      <c r="C20" s="154" t="s">
        <v>1398</v>
      </c>
      <c r="D20" s="154" t="s">
        <v>213</v>
      </c>
      <c r="E20" s="154" t="s">
        <v>135</v>
      </c>
      <c r="F20" s="154" t="s">
        <v>136</v>
      </c>
      <c r="G20" s="154" t="s">
        <v>137</v>
      </c>
      <c r="H20" s="155"/>
      <c r="I20" s="154" t="s">
        <v>135</v>
      </c>
      <c r="J20" s="154" t="s">
        <v>2095</v>
      </c>
      <c r="K20" s="154" t="s">
        <v>139</v>
      </c>
      <c r="L20" s="156" t="s">
        <v>70</v>
      </c>
      <c r="O20" s="216" t="s">
        <v>203</v>
      </c>
      <c r="P20" s="217">
        <f t="shared" si="1"/>
        <v>1</v>
      </c>
      <c r="Q20" s="218" t="str">
        <f t="array" ref="Q20">XLOOKUP(O20,Countries!A$2:A$98,Countries!B$2:B$98,"tbd",0)</f>
        <v>Asia</v>
      </c>
    </row>
    <row r="21">
      <c r="A21" s="153">
        <v>47.0</v>
      </c>
      <c r="B21" s="154" t="s">
        <v>7</v>
      </c>
      <c r="C21" s="154" t="s">
        <v>1398</v>
      </c>
      <c r="D21" s="154" t="s">
        <v>213</v>
      </c>
      <c r="E21" s="154" t="s">
        <v>135</v>
      </c>
      <c r="F21" s="154" t="s">
        <v>136</v>
      </c>
      <c r="G21" s="154" t="s">
        <v>221</v>
      </c>
      <c r="H21" s="154" t="s">
        <v>2096</v>
      </c>
      <c r="I21" s="154" t="s">
        <v>135</v>
      </c>
      <c r="J21" s="157">
        <v>45598.683333333334</v>
      </c>
      <c r="K21" s="154" t="s">
        <v>139</v>
      </c>
      <c r="L21" s="156" t="s">
        <v>70</v>
      </c>
      <c r="O21" s="216" t="s">
        <v>188</v>
      </c>
      <c r="P21" s="217">
        <f t="shared" si="1"/>
        <v>1</v>
      </c>
      <c r="Q21" s="218" t="str">
        <f t="array" ref="Q21">XLOOKUP(O21,Countries!A$2:A$98,Countries!B$2:B$98,"tbd",0)</f>
        <v>Africa</v>
      </c>
    </row>
    <row r="22">
      <c r="A22" s="153">
        <v>9.0</v>
      </c>
      <c r="B22" s="154" t="s">
        <v>7</v>
      </c>
      <c r="C22" s="154" t="s">
        <v>2097</v>
      </c>
      <c r="D22" s="154" t="s">
        <v>243</v>
      </c>
      <c r="E22" s="154" t="s">
        <v>135</v>
      </c>
      <c r="F22" s="154" t="s">
        <v>136</v>
      </c>
      <c r="G22" s="154" t="s">
        <v>606</v>
      </c>
      <c r="H22" s="155"/>
      <c r="I22" s="154" t="s">
        <v>135</v>
      </c>
      <c r="J22" s="154" t="s">
        <v>2098</v>
      </c>
      <c r="K22" s="154" t="s">
        <v>139</v>
      </c>
      <c r="L22" s="156" t="s">
        <v>70</v>
      </c>
      <c r="O22" s="83" t="s">
        <v>209</v>
      </c>
      <c r="P22" s="54">
        <f t="shared" si="1"/>
        <v>1</v>
      </c>
      <c r="Q22" s="142" t="str">
        <f t="array" ref="Q22">XLOOKUP(O22,Countries!A$2:A$98,Countries!B$2:B$98,"tbd",0)</f>
        <v>associated countries</v>
      </c>
    </row>
    <row r="23">
      <c r="A23" s="153">
        <v>13.0</v>
      </c>
      <c r="B23" s="154" t="s">
        <v>6</v>
      </c>
      <c r="C23" s="154" t="s">
        <v>2099</v>
      </c>
      <c r="D23" s="154" t="s">
        <v>290</v>
      </c>
      <c r="E23" s="154" t="s">
        <v>135</v>
      </c>
      <c r="F23" s="154" t="s">
        <v>135</v>
      </c>
      <c r="G23" s="154" t="s">
        <v>271</v>
      </c>
      <c r="H23" s="155"/>
      <c r="I23" s="154" t="s">
        <v>135</v>
      </c>
      <c r="J23" s="154" t="s">
        <v>2100</v>
      </c>
      <c r="K23" s="154" t="s">
        <v>139</v>
      </c>
      <c r="L23" s="156" t="s">
        <v>70</v>
      </c>
      <c r="O23" s="16" t="s">
        <v>187</v>
      </c>
      <c r="P23" s="7">
        <f t="shared" si="1"/>
        <v>1</v>
      </c>
      <c r="Q23" s="215" t="str">
        <f t="array" ref="Q23">XLOOKUP(O23,Countries!A$2:A$98,Countries!B$2:B$98,"tbd",0)</f>
        <v>Europe</v>
      </c>
    </row>
    <row r="24">
      <c r="A24" s="153">
        <v>17.0</v>
      </c>
      <c r="B24" s="154" t="s">
        <v>6</v>
      </c>
      <c r="C24" s="154" t="s">
        <v>564</v>
      </c>
      <c r="D24" s="154" t="s">
        <v>268</v>
      </c>
      <c r="E24" s="154" t="s">
        <v>135</v>
      </c>
      <c r="F24" s="154" t="s">
        <v>136</v>
      </c>
      <c r="G24" s="154" t="s">
        <v>2101</v>
      </c>
      <c r="H24" s="155"/>
      <c r="I24" s="154" t="s">
        <v>135</v>
      </c>
      <c r="J24" s="154" t="s">
        <v>2102</v>
      </c>
      <c r="K24" s="154" t="s">
        <v>139</v>
      </c>
      <c r="L24" s="156" t="s">
        <v>70</v>
      </c>
      <c r="O24" s="16"/>
      <c r="P24" s="7"/>
    </row>
    <row r="25">
      <c r="A25" s="153">
        <v>44.0</v>
      </c>
      <c r="B25" s="154" t="s">
        <v>7</v>
      </c>
      <c r="C25" s="154" t="s">
        <v>1921</v>
      </c>
      <c r="D25" s="154" t="s">
        <v>213</v>
      </c>
      <c r="E25" s="154" t="s">
        <v>135</v>
      </c>
      <c r="F25" s="154" t="s">
        <v>136</v>
      </c>
      <c r="G25" s="154" t="s">
        <v>137</v>
      </c>
      <c r="H25" s="155"/>
      <c r="I25" s="154" t="s">
        <v>136</v>
      </c>
      <c r="J25" s="157">
        <v>45597.64236111111</v>
      </c>
      <c r="K25" s="154" t="s">
        <v>139</v>
      </c>
      <c r="L25" s="156" t="s">
        <v>70</v>
      </c>
      <c r="P25" s="17">
        <v>8.0</v>
      </c>
      <c r="Q25" s="17" t="s">
        <v>3818</v>
      </c>
    </row>
    <row r="26">
      <c r="A26" s="153">
        <v>30.0</v>
      </c>
      <c r="B26" s="154" t="s">
        <v>6</v>
      </c>
      <c r="C26" s="154" t="s">
        <v>1926</v>
      </c>
      <c r="D26" s="154" t="s">
        <v>400</v>
      </c>
      <c r="E26" s="154" t="s">
        <v>135</v>
      </c>
      <c r="F26" s="154" t="s">
        <v>136</v>
      </c>
      <c r="G26" s="154" t="s">
        <v>157</v>
      </c>
      <c r="H26" s="155"/>
      <c r="I26" s="154" t="s">
        <v>135</v>
      </c>
      <c r="J26" s="154" t="s">
        <v>2103</v>
      </c>
      <c r="K26" s="154" t="s">
        <v>139</v>
      </c>
      <c r="L26" s="156" t="s">
        <v>70</v>
      </c>
      <c r="P26" s="17">
        <v>21.0</v>
      </c>
      <c r="Q26" s="17" t="s">
        <v>22</v>
      </c>
    </row>
    <row r="27">
      <c r="A27" s="153">
        <v>41.0</v>
      </c>
      <c r="B27" s="154" t="s">
        <v>6</v>
      </c>
      <c r="C27" s="154" t="s">
        <v>2104</v>
      </c>
      <c r="D27" s="154" t="s">
        <v>243</v>
      </c>
      <c r="E27" s="154" t="s">
        <v>135</v>
      </c>
      <c r="F27" s="154" t="s">
        <v>135</v>
      </c>
      <c r="G27" s="154" t="s">
        <v>137</v>
      </c>
      <c r="H27" s="154" t="s">
        <v>2105</v>
      </c>
      <c r="I27" s="154" t="s">
        <v>135</v>
      </c>
      <c r="J27" s="157">
        <v>45597.42986111111</v>
      </c>
      <c r="K27" s="154" t="s">
        <v>139</v>
      </c>
      <c r="L27" s="156" t="s">
        <v>70</v>
      </c>
      <c r="P27" s="17">
        <v>22.0</v>
      </c>
      <c r="Q27" s="17" t="s">
        <v>3821</v>
      </c>
    </row>
    <row r="28">
      <c r="A28" s="153">
        <v>37.0</v>
      </c>
      <c r="B28" s="154" t="s">
        <v>6</v>
      </c>
      <c r="C28" s="154" t="s">
        <v>284</v>
      </c>
      <c r="D28" s="154" t="s">
        <v>284</v>
      </c>
      <c r="E28" s="154" t="s">
        <v>136</v>
      </c>
      <c r="F28" s="154" t="s">
        <v>135</v>
      </c>
      <c r="G28" s="154" t="s">
        <v>367</v>
      </c>
      <c r="H28" s="155"/>
      <c r="I28" s="154" t="s">
        <v>135</v>
      </c>
      <c r="J28" s="154" t="s">
        <v>2106</v>
      </c>
      <c r="K28" s="154" t="s">
        <v>139</v>
      </c>
      <c r="L28" s="156" t="s">
        <v>70</v>
      </c>
      <c r="P28" s="17">
        <v>12.0</v>
      </c>
      <c r="Q28" s="17" t="s">
        <v>3822</v>
      </c>
    </row>
    <row r="29">
      <c r="A29" s="153">
        <v>19.0</v>
      </c>
      <c r="B29" s="154" t="s">
        <v>6</v>
      </c>
      <c r="C29" s="154" t="s">
        <v>2107</v>
      </c>
      <c r="D29" s="154" t="s">
        <v>263</v>
      </c>
      <c r="E29" s="154" t="s">
        <v>135</v>
      </c>
      <c r="F29" s="154" t="s">
        <v>136</v>
      </c>
      <c r="G29" s="154" t="s">
        <v>157</v>
      </c>
      <c r="H29" s="154" t="s">
        <v>2108</v>
      </c>
      <c r="I29" s="154" t="s">
        <v>135</v>
      </c>
      <c r="J29" s="154" t="s">
        <v>2109</v>
      </c>
      <c r="K29" s="154" t="s">
        <v>139</v>
      </c>
      <c r="L29" s="156" t="s">
        <v>70</v>
      </c>
    </row>
    <row r="30">
      <c r="A30" s="153">
        <v>45.0</v>
      </c>
      <c r="B30" s="154" t="s">
        <v>6</v>
      </c>
      <c r="C30" s="154" t="s">
        <v>2110</v>
      </c>
      <c r="D30" s="154" t="s">
        <v>290</v>
      </c>
      <c r="E30" s="154" t="s">
        <v>135</v>
      </c>
      <c r="F30" s="154" t="s">
        <v>136</v>
      </c>
      <c r="G30" s="154" t="s">
        <v>3927</v>
      </c>
      <c r="H30" s="154" t="s">
        <v>2112</v>
      </c>
      <c r="I30" s="154" t="s">
        <v>135</v>
      </c>
      <c r="J30" s="157">
        <v>45598.27777777778</v>
      </c>
      <c r="K30" s="154" t="s">
        <v>139</v>
      </c>
      <c r="L30" s="156" t="s">
        <v>70</v>
      </c>
    </row>
    <row r="31">
      <c r="A31" s="153">
        <v>7.0</v>
      </c>
      <c r="B31" s="154" t="s">
        <v>6</v>
      </c>
      <c r="C31" s="154" t="s">
        <v>2113</v>
      </c>
      <c r="D31" s="154" t="s">
        <v>284</v>
      </c>
      <c r="E31" s="154" t="s">
        <v>136</v>
      </c>
      <c r="F31" s="154" t="s">
        <v>136</v>
      </c>
      <c r="G31" s="154" t="s">
        <v>185</v>
      </c>
      <c r="H31" s="154" t="s">
        <v>2114</v>
      </c>
      <c r="I31" s="154" t="s">
        <v>136</v>
      </c>
      <c r="J31" s="154" t="s">
        <v>2087</v>
      </c>
      <c r="K31" s="154" t="s">
        <v>139</v>
      </c>
      <c r="L31" s="156" t="s">
        <v>70</v>
      </c>
    </row>
    <row r="32">
      <c r="A32" s="153">
        <v>49.0</v>
      </c>
      <c r="B32" s="154" t="s">
        <v>7</v>
      </c>
      <c r="C32" s="154" t="s">
        <v>511</v>
      </c>
      <c r="D32" s="154" t="s">
        <v>243</v>
      </c>
      <c r="E32" s="154" t="s">
        <v>136</v>
      </c>
      <c r="F32" s="154" t="s">
        <v>136</v>
      </c>
      <c r="G32" s="154" t="s">
        <v>2115</v>
      </c>
      <c r="H32" s="155"/>
      <c r="I32" s="154" t="s">
        <v>135</v>
      </c>
      <c r="J32" s="157">
        <v>45598.88333333333</v>
      </c>
      <c r="K32" s="154" t="s">
        <v>139</v>
      </c>
      <c r="L32" s="156" t="s">
        <v>70</v>
      </c>
    </row>
    <row r="33">
      <c r="A33" s="153">
        <v>5.0</v>
      </c>
      <c r="B33" s="154" t="s">
        <v>6</v>
      </c>
      <c r="C33" s="154" t="s">
        <v>1553</v>
      </c>
      <c r="D33" s="154" t="s">
        <v>203</v>
      </c>
      <c r="E33" s="154" t="s">
        <v>135</v>
      </c>
      <c r="F33" s="154" t="s">
        <v>136</v>
      </c>
      <c r="G33" s="154" t="s">
        <v>205</v>
      </c>
      <c r="H33" s="155"/>
      <c r="I33" s="154" t="s">
        <v>136</v>
      </c>
      <c r="J33" s="154" t="s">
        <v>2116</v>
      </c>
      <c r="K33" s="154" t="s">
        <v>139</v>
      </c>
      <c r="L33" s="156" t="s">
        <v>70</v>
      </c>
    </row>
    <row r="34">
      <c r="A34" s="153">
        <v>15.0</v>
      </c>
      <c r="B34" s="154" t="s">
        <v>6</v>
      </c>
      <c r="C34" s="154" t="s">
        <v>471</v>
      </c>
      <c r="D34" s="154" t="s">
        <v>243</v>
      </c>
      <c r="E34" s="154" t="s">
        <v>135</v>
      </c>
      <c r="F34" s="154" t="s">
        <v>135</v>
      </c>
      <c r="G34" s="154" t="s">
        <v>191</v>
      </c>
      <c r="H34" s="155"/>
      <c r="I34" s="154" t="s">
        <v>135</v>
      </c>
      <c r="J34" s="154" t="s">
        <v>2117</v>
      </c>
      <c r="K34" s="154" t="s">
        <v>139</v>
      </c>
      <c r="L34" s="156" t="s">
        <v>70</v>
      </c>
    </row>
    <row r="35">
      <c r="A35" s="153">
        <v>21.0</v>
      </c>
      <c r="B35" s="154" t="s">
        <v>7</v>
      </c>
      <c r="C35" s="154" t="s">
        <v>469</v>
      </c>
      <c r="D35" s="154" t="s">
        <v>202</v>
      </c>
      <c r="E35" s="154" t="s">
        <v>136</v>
      </c>
      <c r="F35" s="154" t="s">
        <v>136</v>
      </c>
      <c r="G35" s="154" t="s">
        <v>297</v>
      </c>
      <c r="H35" s="155"/>
      <c r="I35" s="154" t="s">
        <v>135</v>
      </c>
      <c r="J35" s="154" t="s">
        <v>2118</v>
      </c>
      <c r="K35" s="154" t="s">
        <v>139</v>
      </c>
      <c r="L35" s="156" t="s">
        <v>70</v>
      </c>
    </row>
    <row r="36">
      <c r="A36" s="153">
        <v>27.0</v>
      </c>
      <c r="B36" s="154" t="s">
        <v>6</v>
      </c>
      <c r="C36" s="154" t="s">
        <v>2119</v>
      </c>
      <c r="D36" s="154" t="s">
        <v>202</v>
      </c>
      <c r="E36" s="154" t="s">
        <v>136</v>
      </c>
      <c r="F36" s="154" t="s">
        <v>136</v>
      </c>
      <c r="G36" s="154" t="s">
        <v>363</v>
      </c>
      <c r="H36" s="154" t="s">
        <v>2120</v>
      </c>
      <c r="I36" s="154" t="s">
        <v>136</v>
      </c>
      <c r="J36" s="154" t="s">
        <v>2121</v>
      </c>
      <c r="K36" s="154" t="s">
        <v>139</v>
      </c>
      <c r="L36" s="156" t="s">
        <v>70</v>
      </c>
    </row>
    <row r="37">
      <c r="A37" s="153">
        <v>11.0</v>
      </c>
      <c r="B37" s="154" t="s">
        <v>8</v>
      </c>
      <c r="C37" s="154" t="s">
        <v>235</v>
      </c>
      <c r="D37" s="154" t="s">
        <v>164</v>
      </c>
      <c r="E37" s="154" t="s">
        <v>135</v>
      </c>
      <c r="F37" s="154" t="s">
        <v>136</v>
      </c>
      <c r="G37" s="154" t="s">
        <v>185</v>
      </c>
      <c r="H37" s="165" t="s">
        <v>404</v>
      </c>
      <c r="I37" s="154" t="s">
        <v>136</v>
      </c>
      <c r="J37" s="154" t="s">
        <v>2122</v>
      </c>
      <c r="K37" s="154" t="s">
        <v>139</v>
      </c>
      <c r="L37" s="156" t="s">
        <v>70</v>
      </c>
    </row>
    <row r="38">
      <c r="A38" s="153">
        <v>18.0</v>
      </c>
      <c r="B38" s="154" t="s">
        <v>6</v>
      </c>
      <c r="C38" s="154" t="s">
        <v>2123</v>
      </c>
      <c r="D38" s="154" t="s">
        <v>188</v>
      </c>
      <c r="E38" s="154" t="s">
        <v>135</v>
      </c>
      <c r="F38" s="154" t="s">
        <v>135</v>
      </c>
      <c r="G38" s="154" t="s">
        <v>367</v>
      </c>
      <c r="H38" s="155"/>
      <c r="I38" s="154" t="s">
        <v>136</v>
      </c>
      <c r="J38" s="154" t="s">
        <v>2124</v>
      </c>
      <c r="K38" s="154" t="s">
        <v>139</v>
      </c>
      <c r="L38" s="156" t="s">
        <v>70</v>
      </c>
    </row>
    <row r="39">
      <c r="A39" s="153">
        <v>2.0</v>
      </c>
      <c r="B39" s="154" t="s">
        <v>7</v>
      </c>
      <c r="C39" s="154" t="s">
        <v>513</v>
      </c>
      <c r="D39" s="154" t="s">
        <v>213</v>
      </c>
      <c r="E39" s="154" t="s">
        <v>135</v>
      </c>
      <c r="F39" s="154" t="s">
        <v>136</v>
      </c>
      <c r="G39" s="154" t="s">
        <v>1959</v>
      </c>
      <c r="H39" s="155"/>
      <c r="I39" s="154" t="s">
        <v>135</v>
      </c>
      <c r="J39" s="154" t="s">
        <v>2125</v>
      </c>
      <c r="K39" s="154" t="s">
        <v>139</v>
      </c>
      <c r="L39" s="156" t="s">
        <v>70</v>
      </c>
    </row>
    <row r="40">
      <c r="A40" s="153">
        <v>42.0</v>
      </c>
      <c r="B40" s="154" t="s">
        <v>7</v>
      </c>
      <c r="C40" s="154" t="s">
        <v>769</v>
      </c>
      <c r="D40" s="154" t="s">
        <v>243</v>
      </c>
      <c r="E40" s="154" t="s">
        <v>135</v>
      </c>
      <c r="F40" s="154" t="s">
        <v>136</v>
      </c>
      <c r="G40" s="154" t="s">
        <v>150</v>
      </c>
      <c r="H40" s="155"/>
      <c r="I40" s="154" t="s">
        <v>135</v>
      </c>
      <c r="J40" s="157">
        <v>45597.48819444444</v>
      </c>
      <c r="K40" s="154" t="s">
        <v>139</v>
      </c>
      <c r="L40" s="156" t="s">
        <v>70</v>
      </c>
    </row>
    <row r="41">
      <c r="A41" s="153">
        <v>24.0</v>
      </c>
      <c r="B41" s="154" t="s">
        <v>6</v>
      </c>
      <c r="C41" s="154" t="s">
        <v>1411</v>
      </c>
      <c r="D41" s="154" t="s">
        <v>202</v>
      </c>
      <c r="E41" s="154" t="s">
        <v>136</v>
      </c>
      <c r="F41" s="154" t="s">
        <v>136</v>
      </c>
      <c r="G41" s="154" t="s">
        <v>1412</v>
      </c>
      <c r="H41" s="154" t="s">
        <v>1413</v>
      </c>
      <c r="I41" s="154" t="s">
        <v>135</v>
      </c>
      <c r="J41" s="154" t="s">
        <v>2126</v>
      </c>
      <c r="K41" s="154" t="s">
        <v>139</v>
      </c>
      <c r="L41" s="156" t="s">
        <v>70</v>
      </c>
    </row>
    <row r="42">
      <c r="A42" s="153">
        <v>3.0</v>
      </c>
      <c r="B42" s="154" t="s">
        <v>7</v>
      </c>
      <c r="C42" s="154" t="s">
        <v>1367</v>
      </c>
      <c r="D42" s="154" t="s">
        <v>209</v>
      </c>
      <c r="E42" s="154" t="s">
        <v>136</v>
      </c>
      <c r="F42" s="154" t="s">
        <v>136</v>
      </c>
      <c r="G42" s="154" t="s">
        <v>137</v>
      </c>
      <c r="H42" s="155"/>
      <c r="I42" s="154" t="s">
        <v>135</v>
      </c>
      <c r="J42" s="154" t="s">
        <v>2127</v>
      </c>
      <c r="K42" s="154" t="s">
        <v>139</v>
      </c>
      <c r="L42" s="156" t="s">
        <v>70</v>
      </c>
    </row>
    <row r="43">
      <c r="A43" s="153">
        <v>34.0</v>
      </c>
      <c r="B43" s="154" t="s">
        <v>6</v>
      </c>
      <c r="C43" s="154" t="s">
        <v>1975</v>
      </c>
      <c r="D43" s="154" t="s">
        <v>243</v>
      </c>
      <c r="E43" s="154" t="s">
        <v>136</v>
      </c>
      <c r="F43" s="154" t="s">
        <v>135</v>
      </c>
      <c r="G43" s="154" t="s">
        <v>2128</v>
      </c>
      <c r="H43" s="155"/>
      <c r="I43" s="154" t="s">
        <v>135</v>
      </c>
      <c r="J43" s="154" t="s">
        <v>2129</v>
      </c>
      <c r="K43" s="154" t="s">
        <v>139</v>
      </c>
      <c r="L43" s="156" t="s">
        <v>70</v>
      </c>
    </row>
    <row r="44">
      <c r="A44" s="153">
        <v>39.0</v>
      </c>
      <c r="B44" s="154" t="s">
        <v>6</v>
      </c>
      <c r="C44" s="154" t="s">
        <v>2130</v>
      </c>
      <c r="D44" s="154" t="s">
        <v>202</v>
      </c>
      <c r="E44" s="154" t="s">
        <v>135</v>
      </c>
      <c r="F44" s="154" t="s">
        <v>136</v>
      </c>
      <c r="G44" s="154" t="s">
        <v>185</v>
      </c>
      <c r="H44" s="154" t="s">
        <v>2131</v>
      </c>
      <c r="I44" s="154" t="s">
        <v>136</v>
      </c>
      <c r="J44" s="157">
        <v>45597.12847222222</v>
      </c>
      <c r="K44" s="154" t="s">
        <v>139</v>
      </c>
      <c r="L44" s="156" t="s">
        <v>70</v>
      </c>
    </row>
    <row r="45">
      <c r="A45" s="153">
        <v>6.0</v>
      </c>
      <c r="B45" s="154" t="s">
        <v>7</v>
      </c>
      <c r="C45" s="154" t="s">
        <v>1501</v>
      </c>
      <c r="D45" s="154" t="s">
        <v>187</v>
      </c>
      <c r="E45" s="154" t="s">
        <v>135</v>
      </c>
      <c r="F45" s="154" t="s">
        <v>136</v>
      </c>
      <c r="G45" s="154" t="s">
        <v>137</v>
      </c>
      <c r="H45" s="155"/>
      <c r="I45" s="154" t="s">
        <v>135</v>
      </c>
      <c r="J45" s="154" t="s">
        <v>2116</v>
      </c>
      <c r="K45" s="154" t="s">
        <v>139</v>
      </c>
      <c r="L45" s="156" t="s">
        <v>70</v>
      </c>
    </row>
    <row r="46">
      <c r="A46" s="153">
        <v>23.0</v>
      </c>
      <c r="B46" s="154" t="s">
        <v>6</v>
      </c>
      <c r="C46" s="154" t="s">
        <v>2132</v>
      </c>
      <c r="D46" s="154" t="s">
        <v>143</v>
      </c>
      <c r="E46" s="154" t="s">
        <v>135</v>
      </c>
      <c r="F46" s="154" t="s">
        <v>136</v>
      </c>
      <c r="G46" s="154" t="s">
        <v>606</v>
      </c>
      <c r="H46" s="154" t="s">
        <v>2133</v>
      </c>
      <c r="I46" s="154" t="s">
        <v>135</v>
      </c>
      <c r="J46" s="154" t="s">
        <v>2134</v>
      </c>
      <c r="K46" s="154" t="s">
        <v>139</v>
      </c>
      <c r="L46" s="156" t="s">
        <v>70</v>
      </c>
    </row>
    <row r="47">
      <c r="A47" s="153">
        <v>10.0</v>
      </c>
      <c r="B47" s="154" t="s">
        <v>6</v>
      </c>
      <c r="C47" s="154" t="s">
        <v>315</v>
      </c>
      <c r="D47" s="154" t="s">
        <v>164</v>
      </c>
      <c r="E47" s="154" t="s">
        <v>135</v>
      </c>
      <c r="F47" s="154" t="s">
        <v>136</v>
      </c>
      <c r="G47" s="154" t="s">
        <v>256</v>
      </c>
      <c r="H47" s="154" t="s">
        <v>2135</v>
      </c>
      <c r="I47" s="154" t="s">
        <v>135</v>
      </c>
      <c r="J47" s="154" t="s">
        <v>2136</v>
      </c>
      <c r="K47" s="154" t="s">
        <v>139</v>
      </c>
      <c r="L47" s="156" t="s">
        <v>70</v>
      </c>
    </row>
    <row r="48">
      <c r="A48" s="153">
        <v>32.0</v>
      </c>
      <c r="B48" s="154" t="s">
        <v>6</v>
      </c>
      <c r="C48" s="154" t="s">
        <v>133</v>
      </c>
      <c r="D48" s="154" t="s">
        <v>134</v>
      </c>
      <c r="E48" s="154" t="s">
        <v>136</v>
      </c>
      <c r="F48" s="154" t="s">
        <v>136</v>
      </c>
      <c r="G48" s="154" t="s">
        <v>3928</v>
      </c>
      <c r="H48" s="155"/>
      <c r="I48" s="154" t="s">
        <v>135</v>
      </c>
      <c r="J48" s="154" t="s">
        <v>2137</v>
      </c>
      <c r="K48" s="154" t="s">
        <v>139</v>
      </c>
      <c r="L48" s="156" t="s">
        <v>70</v>
      </c>
    </row>
    <row r="49">
      <c r="A49" s="153">
        <v>4.0</v>
      </c>
      <c r="B49" s="154" t="s">
        <v>7</v>
      </c>
      <c r="C49" s="154" t="s">
        <v>315</v>
      </c>
      <c r="D49" s="154" t="s">
        <v>164</v>
      </c>
      <c r="E49" s="154" t="s">
        <v>136</v>
      </c>
      <c r="F49" s="154" t="s">
        <v>136</v>
      </c>
      <c r="G49" s="154" t="s">
        <v>185</v>
      </c>
      <c r="H49" s="155"/>
      <c r="I49" s="154" t="s">
        <v>136</v>
      </c>
      <c r="J49" s="154" t="s">
        <v>2138</v>
      </c>
      <c r="K49" s="154" t="s">
        <v>139</v>
      </c>
      <c r="L49" s="156" t="s">
        <v>70</v>
      </c>
    </row>
    <row r="50">
      <c r="A50" s="153">
        <v>43.0</v>
      </c>
      <c r="B50" s="154" t="s">
        <v>7</v>
      </c>
      <c r="C50" s="154" t="s">
        <v>2139</v>
      </c>
      <c r="D50" s="154" t="s">
        <v>143</v>
      </c>
      <c r="E50" s="154" t="s">
        <v>135</v>
      </c>
      <c r="F50" s="154" t="s">
        <v>136</v>
      </c>
      <c r="G50" s="154" t="s">
        <v>1108</v>
      </c>
      <c r="H50" s="154" t="s">
        <v>2140</v>
      </c>
      <c r="I50" s="154" t="s">
        <v>135</v>
      </c>
      <c r="J50" s="157">
        <v>45597.55902777778</v>
      </c>
      <c r="K50" s="154" t="s">
        <v>139</v>
      </c>
      <c r="L50" s="156" t="s">
        <v>70</v>
      </c>
    </row>
    <row r="51">
      <c r="A51" s="153">
        <v>28.0</v>
      </c>
      <c r="B51" s="154" t="s">
        <v>7</v>
      </c>
      <c r="C51" s="154" t="s">
        <v>379</v>
      </c>
      <c r="D51" s="154" t="s">
        <v>202</v>
      </c>
      <c r="E51" s="154" t="s">
        <v>136</v>
      </c>
      <c r="F51" s="154" t="s">
        <v>136</v>
      </c>
      <c r="G51" s="154" t="s">
        <v>606</v>
      </c>
      <c r="H51" s="155"/>
      <c r="I51" s="154" t="s">
        <v>135</v>
      </c>
      <c r="J51" s="154" t="s">
        <v>2141</v>
      </c>
      <c r="K51" s="154" t="s">
        <v>139</v>
      </c>
      <c r="L51" s="156" t="s">
        <v>70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65" t="s">
        <v>116</v>
      </c>
      <c r="B1" s="165" t="s">
        <v>117</v>
      </c>
      <c r="C1" s="165" t="s">
        <v>118</v>
      </c>
      <c r="D1" s="165" t="s">
        <v>119</v>
      </c>
      <c r="E1" s="165" t="s">
        <v>120</v>
      </c>
      <c r="F1" s="165" t="s">
        <v>121</v>
      </c>
      <c r="G1" s="165" t="s">
        <v>122</v>
      </c>
      <c r="H1" s="165" t="s">
        <v>123</v>
      </c>
      <c r="I1" s="165" t="s">
        <v>3794</v>
      </c>
      <c r="J1" s="165" t="s">
        <v>125</v>
      </c>
      <c r="K1" s="165" t="s">
        <v>126</v>
      </c>
      <c r="L1" s="165" t="s">
        <v>3771</v>
      </c>
      <c r="O1" s="123" t="s">
        <v>129</v>
      </c>
      <c r="P1" s="123" t="s">
        <v>130</v>
      </c>
      <c r="Q1" s="123" t="s">
        <v>131</v>
      </c>
    </row>
    <row r="2">
      <c r="A2" s="153">
        <v>36.0</v>
      </c>
      <c r="B2" s="154" t="s">
        <v>7</v>
      </c>
      <c r="C2" s="154" t="s">
        <v>338</v>
      </c>
      <c r="D2" s="154" t="s">
        <v>143</v>
      </c>
      <c r="E2" s="154" t="s">
        <v>135</v>
      </c>
      <c r="F2" s="154" t="s">
        <v>136</v>
      </c>
      <c r="G2" s="154" t="s">
        <v>349</v>
      </c>
      <c r="H2" s="155"/>
      <c r="I2" s="154" t="s">
        <v>135</v>
      </c>
      <c r="J2" s="154" t="s">
        <v>1846</v>
      </c>
      <c r="K2" s="154" t="s">
        <v>139</v>
      </c>
      <c r="L2" s="156" t="s">
        <v>71</v>
      </c>
      <c r="O2" s="7" t="str">
        <f t="array" ref="O2:O23">UNIQUE(D2:D90)</f>
        <v>Italy</v>
      </c>
      <c r="P2" s="7">
        <f t="shared" ref="P2:P23" si="1">COUNTIF(D$2:D$90,O2)</f>
        <v>29</v>
      </c>
      <c r="Q2" s="215" t="str">
        <f t="array" ref="Q2">XLOOKUP(O2,Countries!A$2:A$98,Countries!B$2:B$98,"tbd",0)</f>
        <v>Europe</v>
      </c>
    </row>
    <row r="3">
      <c r="A3" s="153">
        <v>51.0</v>
      </c>
      <c r="B3" s="154" t="s">
        <v>6</v>
      </c>
      <c r="C3" s="154" t="s">
        <v>1847</v>
      </c>
      <c r="D3" s="154" t="s">
        <v>143</v>
      </c>
      <c r="E3" s="154" t="s">
        <v>135</v>
      </c>
      <c r="F3" s="154" t="s">
        <v>135</v>
      </c>
      <c r="G3" s="154" t="s">
        <v>1848</v>
      </c>
      <c r="H3" s="154" t="s">
        <v>1849</v>
      </c>
      <c r="I3" s="154" t="s">
        <v>136</v>
      </c>
      <c r="J3" s="154" t="s">
        <v>1850</v>
      </c>
      <c r="K3" s="154" t="s">
        <v>139</v>
      </c>
      <c r="L3" s="156" t="s">
        <v>71</v>
      </c>
      <c r="O3" s="16" t="s">
        <v>164</v>
      </c>
      <c r="P3" s="7">
        <f t="shared" si="1"/>
        <v>7</v>
      </c>
      <c r="Q3" s="215" t="str">
        <f t="array" ref="Q3">XLOOKUP(O3,Countries!A$2:A$98,Countries!B$2:B$98,"tbd",0)</f>
        <v>Europe</v>
      </c>
    </row>
    <row r="4">
      <c r="A4" s="153">
        <v>60.0</v>
      </c>
      <c r="B4" s="154" t="s">
        <v>7</v>
      </c>
      <c r="C4" s="154" t="s">
        <v>973</v>
      </c>
      <c r="D4" s="154" t="s">
        <v>164</v>
      </c>
      <c r="E4" s="154" t="s">
        <v>135</v>
      </c>
      <c r="F4" s="154" t="s">
        <v>136</v>
      </c>
      <c r="G4" s="154" t="s">
        <v>137</v>
      </c>
      <c r="H4" s="155"/>
      <c r="I4" s="154" t="s">
        <v>135</v>
      </c>
      <c r="J4" s="154" t="s">
        <v>1851</v>
      </c>
      <c r="K4" s="154" t="s">
        <v>139</v>
      </c>
      <c r="L4" s="156" t="s">
        <v>71</v>
      </c>
      <c r="O4" s="216" t="s">
        <v>214</v>
      </c>
      <c r="P4" s="217">
        <f t="shared" si="1"/>
        <v>1</v>
      </c>
      <c r="Q4" s="218" t="str">
        <f t="array" ref="Q4">XLOOKUP(O4,Countries!A$2:A$98,Countries!B$2:B$98,"tbd",0)</f>
        <v>Asia</v>
      </c>
    </row>
    <row r="5">
      <c r="A5" s="153">
        <v>55.0</v>
      </c>
      <c r="B5" s="154" t="s">
        <v>7</v>
      </c>
      <c r="C5" s="154" t="s">
        <v>1852</v>
      </c>
      <c r="D5" s="154" t="s">
        <v>143</v>
      </c>
      <c r="E5" s="154" t="s">
        <v>135</v>
      </c>
      <c r="F5" s="154" t="s">
        <v>136</v>
      </c>
      <c r="G5" s="154" t="s">
        <v>137</v>
      </c>
      <c r="H5" s="155"/>
      <c r="I5" s="154" t="s">
        <v>136</v>
      </c>
      <c r="J5" s="154" t="s">
        <v>1853</v>
      </c>
      <c r="K5" s="154" t="s">
        <v>139</v>
      </c>
      <c r="L5" s="156" t="s">
        <v>71</v>
      </c>
      <c r="O5" s="216" t="s">
        <v>165</v>
      </c>
      <c r="P5" s="217">
        <f t="shared" si="1"/>
        <v>2</v>
      </c>
      <c r="Q5" s="218" t="str">
        <f t="array" ref="Q5">XLOOKUP(O5,Countries!A$2:A$98,Countries!B$2:B$98,"tbd",0)</f>
        <v>Africa</v>
      </c>
    </row>
    <row r="6">
      <c r="A6" s="153">
        <v>63.0</v>
      </c>
      <c r="B6" s="154" t="s">
        <v>6</v>
      </c>
      <c r="C6" s="154" t="s">
        <v>1329</v>
      </c>
      <c r="D6" s="154" t="s">
        <v>214</v>
      </c>
      <c r="E6" s="154" t="s">
        <v>135</v>
      </c>
      <c r="F6" s="154" t="s">
        <v>136</v>
      </c>
      <c r="G6" s="154" t="s">
        <v>150</v>
      </c>
      <c r="H6" s="155"/>
      <c r="I6" s="154" t="s">
        <v>136</v>
      </c>
      <c r="J6" s="154" t="s">
        <v>1854</v>
      </c>
      <c r="K6" s="154" t="s">
        <v>139</v>
      </c>
      <c r="L6" s="156" t="s">
        <v>71</v>
      </c>
      <c r="O6" s="16" t="s">
        <v>187</v>
      </c>
      <c r="P6" s="7">
        <f t="shared" si="1"/>
        <v>3</v>
      </c>
      <c r="Q6" s="215" t="str">
        <f t="array" ref="Q6">XLOOKUP(O6,Countries!A$2:A$98,Countries!B$2:B$98,"tbd",0)</f>
        <v>Europe</v>
      </c>
    </row>
    <row r="7">
      <c r="A7" s="153">
        <v>6.0</v>
      </c>
      <c r="B7" s="154" t="s">
        <v>6</v>
      </c>
      <c r="C7" s="154" t="s">
        <v>1497</v>
      </c>
      <c r="D7" s="154" t="s">
        <v>165</v>
      </c>
      <c r="E7" s="154" t="s">
        <v>135</v>
      </c>
      <c r="F7" s="154" t="s">
        <v>135</v>
      </c>
      <c r="G7" s="154" t="s">
        <v>271</v>
      </c>
      <c r="H7" s="155"/>
      <c r="I7" s="154" t="s">
        <v>135</v>
      </c>
      <c r="J7" s="154" t="s">
        <v>1855</v>
      </c>
      <c r="K7" s="154" t="s">
        <v>139</v>
      </c>
      <c r="L7" s="156" t="s">
        <v>71</v>
      </c>
      <c r="O7" s="216" t="s">
        <v>177</v>
      </c>
      <c r="P7" s="217">
        <f t="shared" si="1"/>
        <v>4</v>
      </c>
      <c r="Q7" s="218" t="str">
        <f t="array" ref="Q7">XLOOKUP(O7,Countries!A$2:A$98,Countries!B$2:B$98,"tbd",0)</f>
        <v>Africa</v>
      </c>
    </row>
    <row r="8">
      <c r="A8" s="153">
        <v>61.0</v>
      </c>
      <c r="B8" s="154" t="s">
        <v>6</v>
      </c>
      <c r="C8" s="154" t="s">
        <v>1497</v>
      </c>
      <c r="D8" s="154" t="s">
        <v>165</v>
      </c>
      <c r="E8" s="154" t="s">
        <v>135</v>
      </c>
      <c r="F8" s="154" t="s">
        <v>135</v>
      </c>
      <c r="G8" s="259" t="s">
        <v>1856</v>
      </c>
      <c r="H8" s="154" t="s">
        <v>1857</v>
      </c>
      <c r="I8" s="154" t="s">
        <v>135</v>
      </c>
      <c r="J8" s="154" t="s">
        <v>1858</v>
      </c>
      <c r="K8" s="154" t="s">
        <v>139</v>
      </c>
      <c r="L8" s="156" t="s">
        <v>71</v>
      </c>
      <c r="O8" s="83" t="s">
        <v>153</v>
      </c>
      <c r="P8" s="54">
        <f t="shared" si="1"/>
        <v>4</v>
      </c>
      <c r="Q8" s="142" t="str">
        <f t="array" ref="Q8">XLOOKUP(O8,Countries!A$2:A$98,Countries!B$2:B$98,"tbd",0)</f>
        <v>associated countries</v>
      </c>
    </row>
    <row r="9">
      <c r="A9" s="153">
        <v>23.0</v>
      </c>
      <c r="B9" s="154" t="s">
        <v>6</v>
      </c>
      <c r="C9" s="154" t="s">
        <v>1859</v>
      </c>
      <c r="D9" s="154" t="s">
        <v>187</v>
      </c>
      <c r="E9" s="154" t="s">
        <v>135</v>
      </c>
      <c r="F9" s="154" t="s">
        <v>136</v>
      </c>
      <c r="G9" s="154" t="s">
        <v>191</v>
      </c>
      <c r="H9" s="155"/>
      <c r="I9" s="154" t="s">
        <v>135</v>
      </c>
      <c r="J9" s="154" t="s">
        <v>1860</v>
      </c>
      <c r="K9" s="154" t="s">
        <v>139</v>
      </c>
      <c r="L9" s="156" t="s">
        <v>71</v>
      </c>
      <c r="O9" s="16" t="s">
        <v>202</v>
      </c>
      <c r="P9" s="7">
        <f t="shared" si="1"/>
        <v>11</v>
      </c>
      <c r="Q9" s="215" t="str">
        <f t="array" ref="Q9">XLOOKUP(O9,Countries!A$2:A$98,Countries!B$2:B$98,"tbd",0)</f>
        <v>Europe</v>
      </c>
    </row>
    <row r="10">
      <c r="A10" s="153">
        <v>13.0</v>
      </c>
      <c r="B10" s="154" t="s">
        <v>6</v>
      </c>
      <c r="C10" s="154" t="s">
        <v>1861</v>
      </c>
      <c r="D10" s="154" t="s">
        <v>177</v>
      </c>
      <c r="E10" s="154" t="s">
        <v>135</v>
      </c>
      <c r="F10" s="154" t="s">
        <v>136</v>
      </c>
      <c r="G10" s="154" t="s">
        <v>1862</v>
      </c>
      <c r="H10" s="154" t="s">
        <v>1863</v>
      </c>
      <c r="I10" s="154" t="s">
        <v>135</v>
      </c>
      <c r="J10" s="154" t="s">
        <v>1864</v>
      </c>
      <c r="K10" s="154" t="s">
        <v>139</v>
      </c>
      <c r="L10" s="156" t="s">
        <v>71</v>
      </c>
      <c r="O10" s="216" t="s">
        <v>219</v>
      </c>
      <c r="P10" s="217">
        <f t="shared" si="1"/>
        <v>1</v>
      </c>
      <c r="Q10" s="218" t="str">
        <f t="array" ref="Q10">XLOOKUP(O10,Countries!A$2:A$98,Countries!B$2:B$98,"tbd",0)</f>
        <v>Asia</v>
      </c>
    </row>
    <row r="11">
      <c r="A11" s="153">
        <v>37.0</v>
      </c>
      <c r="B11" s="154" t="s">
        <v>7</v>
      </c>
      <c r="C11" s="154" t="s">
        <v>338</v>
      </c>
      <c r="D11" s="154" t="s">
        <v>143</v>
      </c>
      <c r="E11" s="154" t="s">
        <v>136</v>
      </c>
      <c r="F11" s="154" t="s">
        <v>136</v>
      </c>
      <c r="G11" s="154" t="s">
        <v>137</v>
      </c>
      <c r="H11" s="155"/>
      <c r="I11" s="154" t="s">
        <v>135</v>
      </c>
      <c r="J11" s="154" t="s">
        <v>1865</v>
      </c>
      <c r="K11" s="154" t="s">
        <v>139</v>
      </c>
      <c r="L11" s="156" t="s">
        <v>71</v>
      </c>
      <c r="O11" s="16" t="s">
        <v>134</v>
      </c>
      <c r="P11" s="7">
        <f t="shared" si="1"/>
        <v>2</v>
      </c>
      <c r="Q11" s="215" t="str">
        <f t="array" ref="Q11">XLOOKUP(O11,Countries!A$2:A$98,Countries!B$2:B$98,"tbd",0)</f>
        <v>Europe</v>
      </c>
    </row>
    <row r="12">
      <c r="A12" s="153">
        <v>52.0</v>
      </c>
      <c r="B12" s="154" t="s">
        <v>7</v>
      </c>
      <c r="C12" s="154" t="s">
        <v>913</v>
      </c>
      <c r="D12" s="154" t="s">
        <v>153</v>
      </c>
      <c r="E12" s="154" t="s">
        <v>136</v>
      </c>
      <c r="F12" s="154" t="s">
        <v>135</v>
      </c>
      <c r="G12" s="154" t="s">
        <v>1866</v>
      </c>
      <c r="H12" s="154" t="s">
        <v>1867</v>
      </c>
      <c r="I12" s="154" t="s">
        <v>135</v>
      </c>
      <c r="J12" s="154" t="s">
        <v>1868</v>
      </c>
      <c r="K12" s="154" t="s">
        <v>139</v>
      </c>
      <c r="L12" s="156" t="s">
        <v>71</v>
      </c>
      <c r="O12" s="16" t="s">
        <v>327</v>
      </c>
      <c r="P12" s="7">
        <f t="shared" si="1"/>
        <v>1</v>
      </c>
      <c r="Q12" s="215" t="str">
        <f t="array" ref="Q12">XLOOKUP(O12,Countries!A$2:A$98,Countries!B$2:B$98,"tbd",0)</f>
        <v>Europe</v>
      </c>
    </row>
    <row r="13">
      <c r="A13" s="153">
        <v>43.0</v>
      </c>
      <c r="B13" s="154" t="s">
        <v>6</v>
      </c>
      <c r="C13" s="154" t="s">
        <v>887</v>
      </c>
      <c r="D13" s="154" t="s">
        <v>153</v>
      </c>
      <c r="E13" s="154" t="s">
        <v>135</v>
      </c>
      <c r="F13" s="154" t="s">
        <v>136</v>
      </c>
      <c r="G13" s="154" t="s">
        <v>316</v>
      </c>
      <c r="H13" s="155"/>
      <c r="I13" s="154" t="s">
        <v>136</v>
      </c>
      <c r="J13" s="154" t="s">
        <v>1869</v>
      </c>
      <c r="K13" s="154" t="s">
        <v>139</v>
      </c>
      <c r="L13" s="156" t="s">
        <v>71</v>
      </c>
      <c r="O13" s="83" t="s">
        <v>213</v>
      </c>
      <c r="P13" s="54">
        <f t="shared" si="1"/>
        <v>6</v>
      </c>
      <c r="Q13" s="142" t="str">
        <f t="array" ref="Q13">XLOOKUP(O13,Countries!A$2:A$98,Countries!B$2:B$98,"tbd",0)</f>
        <v>widening countries</v>
      </c>
    </row>
    <row r="14">
      <c r="A14" s="153">
        <v>75.0</v>
      </c>
      <c r="B14" s="154" t="s">
        <v>7</v>
      </c>
      <c r="C14" s="154" t="s">
        <v>1870</v>
      </c>
      <c r="D14" s="154" t="s">
        <v>202</v>
      </c>
      <c r="E14" s="154" t="s">
        <v>135</v>
      </c>
      <c r="F14" s="154" t="s">
        <v>136</v>
      </c>
      <c r="G14" s="154" t="s">
        <v>137</v>
      </c>
      <c r="H14" s="155"/>
      <c r="I14" s="154" t="s">
        <v>136</v>
      </c>
      <c r="J14" s="154" t="s">
        <v>1871</v>
      </c>
      <c r="K14" s="154" t="s">
        <v>139</v>
      </c>
      <c r="L14" s="156" t="s">
        <v>71</v>
      </c>
      <c r="O14" s="83" t="s">
        <v>218</v>
      </c>
      <c r="P14" s="54">
        <f t="shared" si="1"/>
        <v>2</v>
      </c>
      <c r="Q14" s="142" t="str">
        <f t="array" ref="Q14">XLOOKUP(O14,Countries!A$2:A$98,Countries!B$2:B$98,"tbd",0)</f>
        <v>associated countries</v>
      </c>
    </row>
    <row r="15">
      <c r="A15" s="153">
        <v>3.0</v>
      </c>
      <c r="B15" s="154" t="s">
        <v>6</v>
      </c>
      <c r="C15" s="154" t="s">
        <v>486</v>
      </c>
      <c r="D15" s="154" t="s">
        <v>219</v>
      </c>
      <c r="E15" s="154" t="s">
        <v>135</v>
      </c>
      <c r="F15" s="154" t="s">
        <v>136</v>
      </c>
      <c r="G15" s="154" t="s">
        <v>1872</v>
      </c>
      <c r="H15" s="260"/>
      <c r="I15" s="154" t="s">
        <v>136</v>
      </c>
      <c r="J15" s="154" t="s">
        <v>1873</v>
      </c>
      <c r="K15" s="154" t="s">
        <v>139</v>
      </c>
      <c r="L15" s="156" t="s">
        <v>71</v>
      </c>
      <c r="O15" s="83" t="s">
        <v>268</v>
      </c>
      <c r="P15" s="54">
        <f t="shared" si="1"/>
        <v>2</v>
      </c>
      <c r="Q15" s="142" t="str">
        <f t="array" ref="Q15">XLOOKUP(O15,Countries!A$2:A$98,Countries!B$2:B$98,"tbd",0)</f>
        <v>associated countries</v>
      </c>
    </row>
    <row r="16">
      <c r="A16" s="153">
        <v>26.0</v>
      </c>
      <c r="B16" s="154" t="s">
        <v>6</v>
      </c>
      <c r="C16" s="154" t="s">
        <v>1874</v>
      </c>
      <c r="D16" s="154" t="s">
        <v>143</v>
      </c>
      <c r="E16" s="154" t="s">
        <v>136</v>
      </c>
      <c r="F16" s="154" t="s">
        <v>136</v>
      </c>
      <c r="G16" s="154" t="s">
        <v>650</v>
      </c>
      <c r="H16" s="154" t="s">
        <v>349</v>
      </c>
      <c r="I16" s="154" t="s">
        <v>136</v>
      </c>
      <c r="J16" s="154" t="s">
        <v>1875</v>
      </c>
      <c r="K16" s="154" t="s">
        <v>139</v>
      </c>
      <c r="L16" s="156" t="s">
        <v>71</v>
      </c>
      <c r="O16" s="216" t="s">
        <v>290</v>
      </c>
      <c r="P16" s="217">
        <f t="shared" si="1"/>
        <v>5</v>
      </c>
      <c r="Q16" s="218" t="str">
        <f t="array" ref="Q16">XLOOKUP(O16,Countries!A$2:A$98,Countries!B$2:B$98,"tbd",0)</f>
        <v>Middle East</v>
      </c>
    </row>
    <row r="17">
      <c r="A17" s="153">
        <v>50.0</v>
      </c>
      <c r="B17" s="154" t="s">
        <v>6</v>
      </c>
      <c r="C17" s="154" t="s">
        <v>338</v>
      </c>
      <c r="D17" s="154" t="s">
        <v>143</v>
      </c>
      <c r="E17" s="154" t="s">
        <v>136</v>
      </c>
      <c r="F17" s="154" t="s">
        <v>136</v>
      </c>
      <c r="G17" s="154" t="s">
        <v>137</v>
      </c>
      <c r="H17" s="155"/>
      <c r="I17" s="154" t="s">
        <v>136</v>
      </c>
      <c r="J17" s="154" t="s">
        <v>1876</v>
      </c>
      <c r="K17" s="154" t="s">
        <v>139</v>
      </c>
      <c r="L17" s="156" t="s">
        <v>71</v>
      </c>
      <c r="O17" s="216" t="s">
        <v>369</v>
      </c>
      <c r="P17" s="217">
        <f t="shared" si="1"/>
        <v>1</v>
      </c>
      <c r="Q17" s="218" t="str">
        <f t="array" ref="Q17">XLOOKUP(O17,Countries!A$2:A$98,Countries!B$2:B$98,"tbd",0)</f>
        <v>Middle/South America</v>
      </c>
    </row>
    <row r="18">
      <c r="A18" s="153">
        <v>45.0</v>
      </c>
      <c r="B18" s="154" t="s">
        <v>6</v>
      </c>
      <c r="C18" s="154" t="s">
        <v>338</v>
      </c>
      <c r="D18" s="154" t="s">
        <v>143</v>
      </c>
      <c r="E18" s="154" t="s">
        <v>136</v>
      </c>
      <c r="F18" s="154" t="s">
        <v>136</v>
      </c>
      <c r="G18" s="154" t="s">
        <v>221</v>
      </c>
      <c r="H18" s="154" t="s">
        <v>1877</v>
      </c>
      <c r="I18" s="154" t="s">
        <v>135</v>
      </c>
      <c r="J18" s="154" t="s">
        <v>1878</v>
      </c>
      <c r="K18" s="154" t="s">
        <v>139</v>
      </c>
      <c r="L18" s="156" t="s">
        <v>71</v>
      </c>
      <c r="O18" s="216" t="s">
        <v>400</v>
      </c>
      <c r="P18" s="217">
        <f t="shared" si="1"/>
        <v>1</v>
      </c>
      <c r="Q18" s="218" t="str">
        <f t="array" ref="Q18">XLOOKUP(O18,Countries!A$2:A$98,Countries!B$2:B$98,"tbd",0)</f>
        <v>Middle/South America</v>
      </c>
    </row>
    <row r="19">
      <c r="A19" s="153">
        <v>8.0</v>
      </c>
      <c r="B19" s="154" t="s">
        <v>7</v>
      </c>
      <c r="C19" s="154" t="s">
        <v>338</v>
      </c>
      <c r="D19" s="154" t="s">
        <v>143</v>
      </c>
      <c r="E19" s="154" t="s">
        <v>135</v>
      </c>
      <c r="F19" s="154" t="s">
        <v>136</v>
      </c>
      <c r="G19" s="154" t="s">
        <v>180</v>
      </c>
      <c r="H19" s="155"/>
      <c r="I19" s="154" t="s">
        <v>135</v>
      </c>
      <c r="J19" s="154" t="s">
        <v>1879</v>
      </c>
      <c r="K19" s="154" t="s">
        <v>139</v>
      </c>
      <c r="L19" s="156" t="s">
        <v>71</v>
      </c>
      <c r="O19" s="83" t="s">
        <v>352</v>
      </c>
      <c r="P19" s="54">
        <f t="shared" si="1"/>
        <v>1</v>
      </c>
      <c r="Q19" s="142" t="str">
        <f t="array" ref="Q19">XLOOKUP(O19,Countries!A$2:A$98,Countries!B$2:B$98,"tbd",0)</f>
        <v>widening countries</v>
      </c>
    </row>
    <row r="20">
      <c r="A20" s="153">
        <v>35.0</v>
      </c>
      <c r="B20" s="154" t="s">
        <v>7</v>
      </c>
      <c r="C20" s="154" t="s">
        <v>315</v>
      </c>
      <c r="D20" s="154" t="s">
        <v>164</v>
      </c>
      <c r="E20" s="154" t="s">
        <v>135</v>
      </c>
      <c r="F20" s="154" t="s">
        <v>136</v>
      </c>
      <c r="G20" s="154" t="s">
        <v>168</v>
      </c>
      <c r="H20" s="155"/>
      <c r="I20" s="154" t="s">
        <v>136</v>
      </c>
      <c r="J20" s="154" t="s">
        <v>1880</v>
      </c>
      <c r="K20" s="154" t="s">
        <v>139</v>
      </c>
      <c r="L20" s="156" t="s">
        <v>71</v>
      </c>
      <c r="O20" s="83" t="s">
        <v>159</v>
      </c>
      <c r="P20" s="54">
        <f t="shared" si="1"/>
        <v>1</v>
      </c>
      <c r="Q20" s="142" t="str">
        <f t="array" ref="Q20">XLOOKUP(O20,Countries!A$2:A$98,Countries!B$2:B$98,"tbd",0)</f>
        <v>associated countries</v>
      </c>
    </row>
    <row r="21">
      <c r="A21" s="153">
        <v>72.0</v>
      </c>
      <c r="B21" s="154" t="s">
        <v>6</v>
      </c>
      <c r="C21" s="154" t="s">
        <v>1698</v>
      </c>
      <c r="D21" s="154" t="s">
        <v>202</v>
      </c>
      <c r="E21" s="154" t="s">
        <v>136</v>
      </c>
      <c r="F21" s="154" t="s">
        <v>136</v>
      </c>
      <c r="G21" s="154" t="s">
        <v>221</v>
      </c>
      <c r="H21" s="155"/>
      <c r="I21" s="154" t="s">
        <v>136</v>
      </c>
      <c r="J21" s="154" t="s">
        <v>1881</v>
      </c>
      <c r="K21" s="154" t="s">
        <v>139</v>
      </c>
      <c r="L21" s="156" t="s">
        <v>71</v>
      </c>
      <c r="O21" s="83" t="s">
        <v>228</v>
      </c>
      <c r="P21" s="54">
        <f t="shared" si="1"/>
        <v>1</v>
      </c>
      <c r="Q21" s="142" t="str">
        <f t="array" ref="Q21">XLOOKUP(O21,Countries!A$2:A$98,Countries!B$2:B$98,"tbd",0)</f>
        <v>widening countries</v>
      </c>
    </row>
    <row r="22">
      <c r="A22" s="153">
        <v>58.0</v>
      </c>
      <c r="B22" s="154" t="s">
        <v>6</v>
      </c>
      <c r="C22" s="154" t="s">
        <v>1882</v>
      </c>
      <c r="D22" s="154" t="s">
        <v>134</v>
      </c>
      <c r="E22" s="154" t="s">
        <v>135</v>
      </c>
      <c r="F22" s="154" t="s">
        <v>135</v>
      </c>
      <c r="G22" s="154" t="s">
        <v>1789</v>
      </c>
      <c r="H22" s="155"/>
      <c r="I22" s="154" t="s">
        <v>136</v>
      </c>
      <c r="J22" s="154" t="s">
        <v>1883</v>
      </c>
      <c r="K22" s="154" t="s">
        <v>139</v>
      </c>
      <c r="L22" s="156" t="s">
        <v>71</v>
      </c>
      <c r="O22" s="216" t="s">
        <v>243</v>
      </c>
      <c r="P22" s="217">
        <f t="shared" si="1"/>
        <v>3</v>
      </c>
      <c r="Q22" s="218" t="str">
        <f t="array" ref="Q22">XLOOKUP(O22,Countries!A$2:A$98,Countries!B$2:B$98,"tbd",0)</f>
        <v>Middle East</v>
      </c>
    </row>
    <row r="23">
      <c r="A23" s="153">
        <v>1.0</v>
      </c>
      <c r="B23" s="154" t="s">
        <v>7</v>
      </c>
      <c r="C23" s="154" t="s">
        <v>195</v>
      </c>
      <c r="D23" s="154" t="s">
        <v>164</v>
      </c>
      <c r="E23" s="154" t="s">
        <v>136</v>
      </c>
      <c r="F23" s="154" t="s">
        <v>136</v>
      </c>
      <c r="G23" s="259" t="s">
        <v>174</v>
      </c>
      <c r="H23" s="155"/>
      <c r="I23" s="154" t="s">
        <v>135</v>
      </c>
      <c r="J23" s="154" t="s">
        <v>1884</v>
      </c>
      <c r="K23" s="154" t="s">
        <v>139</v>
      </c>
      <c r="L23" s="156" t="s">
        <v>71</v>
      </c>
      <c r="O23" s="216" t="s">
        <v>255</v>
      </c>
      <c r="P23" s="217">
        <f t="shared" si="1"/>
        <v>1</v>
      </c>
      <c r="Q23" s="218" t="str">
        <f t="array" ref="Q23">XLOOKUP(O23,Countries!A$2:A$98,Countries!B$2:B$98,"tbd",0)</f>
        <v>Asia</v>
      </c>
    </row>
    <row r="24">
      <c r="A24" s="153">
        <v>73.0</v>
      </c>
      <c r="B24" s="154" t="s">
        <v>7</v>
      </c>
      <c r="C24" s="154" t="s">
        <v>668</v>
      </c>
      <c r="D24" s="154" t="s">
        <v>143</v>
      </c>
      <c r="E24" s="154" t="s">
        <v>136</v>
      </c>
      <c r="F24" s="154" t="s">
        <v>136</v>
      </c>
      <c r="G24" s="154" t="s">
        <v>137</v>
      </c>
      <c r="H24" s="154" t="s">
        <v>1885</v>
      </c>
      <c r="I24" s="154" t="s">
        <v>135</v>
      </c>
      <c r="J24" s="154" t="s">
        <v>1886</v>
      </c>
      <c r="K24" s="154" t="s">
        <v>139</v>
      </c>
      <c r="L24" s="156" t="s">
        <v>71</v>
      </c>
    </row>
    <row r="25">
      <c r="A25" s="153">
        <v>56.0</v>
      </c>
      <c r="B25" s="154" t="s">
        <v>6</v>
      </c>
      <c r="C25" s="154" t="s">
        <v>1887</v>
      </c>
      <c r="D25" s="154" t="s">
        <v>143</v>
      </c>
      <c r="E25" s="154" t="s">
        <v>135</v>
      </c>
      <c r="F25" s="154" t="s">
        <v>135</v>
      </c>
      <c r="G25" s="154" t="s">
        <v>1888</v>
      </c>
      <c r="H25" s="155"/>
      <c r="I25" s="154" t="s">
        <v>136</v>
      </c>
      <c r="J25" s="154" t="s">
        <v>1889</v>
      </c>
      <c r="K25" s="154" t="s">
        <v>139</v>
      </c>
      <c r="L25" s="156" t="s">
        <v>71</v>
      </c>
    </row>
    <row r="26">
      <c r="A26" s="153">
        <v>77.0</v>
      </c>
      <c r="B26" s="154" t="s">
        <v>6</v>
      </c>
      <c r="C26" s="154" t="s">
        <v>280</v>
      </c>
      <c r="D26" s="154" t="s">
        <v>202</v>
      </c>
      <c r="E26" s="154" t="s">
        <v>136</v>
      </c>
      <c r="F26" s="154" t="s">
        <v>136</v>
      </c>
      <c r="G26" s="154" t="s">
        <v>1042</v>
      </c>
      <c r="H26" s="155"/>
      <c r="I26" s="154" t="s">
        <v>136</v>
      </c>
      <c r="J26" s="157">
        <v>45597.59930555556</v>
      </c>
      <c r="K26" s="154" t="s">
        <v>139</v>
      </c>
      <c r="L26" s="156" t="s">
        <v>71</v>
      </c>
      <c r="P26" s="17">
        <v>17.0</v>
      </c>
      <c r="Q26" s="17" t="s">
        <v>3818</v>
      </c>
    </row>
    <row r="27">
      <c r="A27" s="153">
        <v>33.0</v>
      </c>
      <c r="B27" s="154" t="s">
        <v>7</v>
      </c>
      <c r="C27" s="154" t="s">
        <v>1890</v>
      </c>
      <c r="D27" s="154" t="s">
        <v>143</v>
      </c>
      <c r="E27" s="154" t="s">
        <v>135</v>
      </c>
      <c r="F27" s="154" t="s">
        <v>136</v>
      </c>
      <c r="G27" s="154" t="s">
        <v>401</v>
      </c>
      <c r="H27" s="155"/>
      <c r="I27" s="154" t="s">
        <v>136</v>
      </c>
      <c r="J27" s="154" t="s">
        <v>1891</v>
      </c>
      <c r="K27" s="154" t="s">
        <v>139</v>
      </c>
      <c r="L27" s="156" t="s">
        <v>71</v>
      </c>
      <c r="P27" s="17">
        <v>19.0</v>
      </c>
      <c r="Q27" s="17" t="s">
        <v>22</v>
      </c>
    </row>
    <row r="28">
      <c r="A28" s="153">
        <v>49.0</v>
      </c>
      <c r="B28" s="154" t="s">
        <v>6</v>
      </c>
      <c r="C28" s="154" t="s">
        <v>1892</v>
      </c>
      <c r="D28" s="154" t="s">
        <v>143</v>
      </c>
      <c r="E28" s="154" t="s">
        <v>135</v>
      </c>
      <c r="F28" s="154" t="s">
        <v>136</v>
      </c>
      <c r="G28" s="154" t="s">
        <v>150</v>
      </c>
      <c r="H28" s="155"/>
      <c r="I28" s="154" t="s">
        <v>136</v>
      </c>
      <c r="J28" s="154" t="s">
        <v>1893</v>
      </c>
      <c r="K28" s="154" t="s">
        <v>139</v>
      </c>
      <c r="L28" s="156" t="s">
        <v>71</v>
      </c>
      <c r="P28" s="17">
        <v>22.0</v>
      </c>
      <c r="Q28" s="17" t="s">
        <v>3821</v>
      </c>
    </row>
    <row r="29">
      <c r="A29" s="153">
        <v>78.0</v>
      </c>
      <c r="B29" s="154" t="s">
        <v>6</v>
      </c>
      <c r="C29" s="154" t="s">
        <v>668</v>
      </c>
      <c r="D29" s="154" t="s">
        <v>143</v>
      </c>
      <c r="E29" s="154" t="s">
        <v>135</v>
      </c>
      <c r="F29" s="154" t="s">
        <v>136</v>
      </c>
      <c r="G29" s="154" t="s">
        <v>594</v>
      </c>
      <c r="H29" s="155"/>
      <c r="I29" s="154" t="s">
        <v>135</v>
      </c>
      <c r="J29" s="157">
        <v>45598.69861111111</v>
      </c>
      <c r="K29" s="154" t="s">
        <v>139</v>
      </c>
      <c r="L29" s="156" t="s">
        <v>71</v>
      </c>
      <c r="P29" s="17">
        <v>11.0</v>
      </c>
      <c r="Q29" s="17" t="s">
        <v>3822</v>
      </c>
    </row>
    <row r="30">
      <c r="A30" s="153">
        <v>70.0</v>
      </c>
      <c r="B30" s="154" t="s">
        <v>7</v>
      </c>
      <c r="C30" s="154" t="s">
        <v>1894</v>
      </c>
      <c r="D30" s="154" t="s">
        <v>327</v>
      </c>
      <c r="E30" s="154" t="s">
        <v>136</v>
      </c>
      <c r="F30" s="154" t="s">
        <v>135</v>
      </c>
      <c r="G30" s="154" t="s">
        <v>150</v>
      </c>
      <c r="H30" s="155"/>
      <c r="I30" s="154" t="s">
        <v>136</v>
      </c>
      <c r="J30" s="154" t="s">
        <v>1895</v>
      </c>
      <c r="K30" s="154" t="s">
        <v>139</v>
      </c>
      <c r="L30" s="156" t="s">
        <v>71</v>
      </c>
    </row>
    <row r="31">
      <c r="A31" s="153">
        <v>31.0</v>
      </c>
      <c r="B31" s="154" t="s">
        <v>6</v>
      </c>
      <c r="C31" s="154" t="s">
        <v>1896</v>
      </c>
      <c r="D31" s="154" t="s">
        <v>177</v>
      </c>
      <c r="E31" s="154" t="s">
        <v>135</v>
      </c>
      <c r="F31" s="154" t="s">
        <v>135</v>
      </c>
      <c r="G31" s="154" t="s">
        <v>221</v>
      </c>
      <c r="H31" s="155"/>
      <c r="I31" s="154" t="s">
        <v>135</v>
      </c>
      <c r="J31" s="154" t="s">
        <v>1897</v>
      </c>
      <c r="K31" s="154" t="s">
        <v>139</v>
      </c>
      <c r="L31" s="156" t="s">
        <v>71</v>
      </c>
    </row>
    <row r="32">
      <c r="A32" s="153">
        <v>18.0</v>
      </c>
      <c r="B32" s="154" t="s">
        <v>6</v>
      </c>
      <c r="C32" s="154" t="s">
        <v>1398</v>
      </c>
      <c r="D32" s="154" t="s">
        <v>213</v>
      </c>
      <c r="E32" s="154" t="s">
        <v>136</v>
      </c>
      <c r="F32" s="154" t="s">
        <v>136</v>
      </c>
      <c r="G32" s="154" t="s">
        <v>335</v>
      </c>
      <c r="H32" s="155"/>
      <c r="I32" s="154" t="s">
        <v>135</v>
      </c>
      <c r="J32" s="154" t="s">
        <v>1898</v>
      </c>
      <c r="K32" s="154" t="s">
        <v>139</v>
      </c>
      <c r="L32" s="156" t="s">
        <v>71</v>
      </c>
    </row>
    <row r="33">
      <c r="A33" s="153">
        <v>41.0</v>
      </c>
      <c r="B33" s="154" t="s">
        <v>7</v>
      </c>
      <c r="C33" s="154" t="s">
        <v>153</v>
      </c>
      <c r="D33" s="154" t="s">
        <v>153</v>
      </c>
      <c r="E33" s="154" t="s">
        <v>135</v>
      </c>
      <c r="F33" s="154" t="s">
        <v>135</v>
      </c>
      <c r="G33" s="154" t="s">
        <v>472</v>
      </c>
      <c r="H33" s="154" t="s">
        <v>1899</v>
      </c>
      <c r="I33" s="154" t="s">
        <v>136</v>
      </c>
      <c r="J33" s="154" t="s">
        <v>1900</v>
      </c>
      <c r="K33" s="154" t="s">
        <v>139</v>
      </c>
      <c r="L33" s="156" t="s">
        <v>71</v>
      </c>
    </row>
    <row r="34">
      <c r="A34" s="153">
        <v>22.0</v>
      </c>
      <c r="B34" s="154" t="s">
        <v>6</v>
      </c>
      <c r="C34" s="154" t="s">
        <v>1901</v>
      </c>
      <c r="D34" s="154" t="s">
        <v>143</v>
      </c>
      <c r="E34" s="154" t="s">
        <v>135</v>
      </c>
      <c r="F34" s="154" t="s">
        <v>136</v>
      </c>
      <c r="G34" s="259" t="s">
        <v>401</v>
      </c>
      <c r="H34" s="155"/>
      <c r="I34" s="154" t="s">
        <v>136</v>
      </c>
      <c r="J34" s="154" t="s">
        <v>1902</v>
      </c>
      <c r="K34" s="154" t="s">
        <v>139</v>
      </c>
      <c r="L34" s="156" t="s">
        <v>71</v>
      </c>
    </row>
    <row r="35">
      <c r="A35" s="153">
        <v>5.0</v>
      </c>
      <c r="B35" s="154" t="s">
        <v>7</v>
      </c>
      <c r="C35" s="154" t="s">
        <v>315</v>
      </c>
      <c r="D35" s="154" t="s">
        <v>164</v>
      </c>
      <c r="E35" s="154" t="s">
        <v>136</v>
      </c>
      <c r="F35" s="154" t="s">
        <v>136</v>
      </c>
      <c r="G35" s="154" t="s">
        <v>335</v>
      </c>
      <c r="H35" s="155"/>
      <c r="I35" s="154" t="s">
        <v>136</v>
      </c>
      <c r="J35" s="154" t="s">
        <v>1903</v>
      </c>
      <c r="K35" s="154" t="s">
        <v>139</v>
      </c>
      <c r="L35" s="156" t="s">
        <v>71</v>
      </c>
    </row>
    <row r="36">
      <c r="A36" s="153">
        <v>39.0</v>
      </c>
      <c r="B36" s="154" t="s">
        <v>7</v>
      </c>
      <c r="C36" s="154" t="s">
        <v>1398</v>
      </c>
      <c r="D36" s="154" t="s">
        <v>213</v>
      </c>
      <c r="E36" s="154" t="s">
        <v>135</v>
      </c>
      <c r="F36" s="154" t="s">
        <v>136</v>
      </c>
      <c r="G36" s="154" t="s">
        <v>137</v>
      </c>
      <c r="H36" s="155"/>
      <c r="I36" s="154" t="s">
        <v>135</v>
      </c>
      <c r="J36" s="154" t="s">
        <v>1904</v>
      </c>
      <c r="K36" s="154" t="s">
        <v>139</v>
      </c>
      <c r="L36" s="156" t="s">
        <v>71</v>
      </c>
    </row>
    <row r="37">
      <c r="A37" s="153">
        <v>65.0</v>
      </c>
      <c r="B37" s="154" t="s">
        <v>7</v>
      </c>
      <c r="C37" s="154" t="s">
        <v>1087</v>
      </c>
      <c r="D37" s="154" t="s">
        <v>202</v>
      </c>
      <c r="E37" s="154" t="s">
        <v>136</v>
      </c>
      <c r="F37" s="154" t="s">
        <v>136</v>
      </c>
      <c r="G37" s="154" t="s">
        <v>180</v>
      </c>
      <c r="H37" s="155"/>
      <c r="I37" s="154" t="s">
        <v>135</v>
      </c>
      <c r="J37" s="154" t="s">
        <v>1905</v>
      </c>
      <c r="K37" s="154" t="s">
        <v>139</v>
      </c>
      <c r="L37" s="156" t="s">
        <v>71</v>
      </c>
    </row>
    <row r="38">
      <c r="A38" s="153">
        <v>40.0</v>
      </c>
      <c r="B38" s="154" t="s">
        <v>6</v>
      </c>
      <c r="C38" s="154" t="s">
        <v>1906</v>
      </c>
      <c r="D38" s="154" t="s">
        <v>143</v>
      </c>
      <c r="E38" s="154" t="s">
        <v>135</v>
      </c>
      <c r="F38" s="154" t="s">
        <v>135</v>
      </c>
      <c r="G38" s="154" t="s">
        <v>1907</v>
      </c>
      <c r="H38" s="154" t="s">
        <v>1908</v>
      </c>
      <c r="I38" s="154" t="s">
        <v>136</v>
      </c>
      <c r="J38" s="154" t="s">
        <v>1909</v>
      </c>
      <c r="K38" s="154" t="s">
        <v>139</v>
      </c>
      <c r="L38" s="156" t="s">
        <v>71</v>
      </c>
    </row>
    <row r="39">
      <c r="A39" s="153">
        <v>68.0</v>
      </c>
      <c r="B39" s="154" t="s">
        <v>6</v>
      </c>
      <c r="C39" s="154" t="s">
        <v>1910</v>
      </c>
      <c r="D39" s="154" t="s">
        <v>143</v>
      </c>
      <c r="E39" s="154" t="s">
        <v>135</v>
      </c>
      <c r="F39" s="154" t="s">
        <v>136</v>
      </c>
      <c r="G39" s="154" t="s">
        <v>457</v>
      </c>
      <c r="H39" s="155"/>
      <c r="I39" s="154" t="s">
        <v>136</v>
      </c>
      <c r="J39" s="154" t="s">
        <v>1911</v>
      </c>
      <c r="K39" s="154" t="s">
        <v>139</v>
      </c>
      <c r="L39" s="156" t="s">
        <v>71</v>
      </c>
    </row>
    <row r="40">
      <c r="A40" s="153">
        <v>9.0</v>
      </c>
      <c r="B40" s="154" t="s">
        <v>6</v>
      </c>
      <c r="C40" s="154" t="s">
        <v>1398</v>
      </c>
      <c r="D40" s="154" t="s">
        <v>213</v>
      </c>
      <c r="E40" s="154" t="s">
        <v>136</v>
      </c>
      <c r="F40" s="154" t="s">
        <v>136</v>
      </c>
      <c r="G40" s="154" t="s">
        <v>367</v>
      </c>
      <c r="H40" s="154" t="s">
        <v>1912</v>
      </c>
      <c r="I40" s="154" t="s">
        <v>136</v>
      </c>
      <c r="J40" s="154" t="s">
        <v>1913</v>
      </c>
      <c r="K40" s="154" t="s">
        <v>139</v>
      </c>
      <c r="L40" s="156" t="s">
        <v>71</v>
      </c>
    </row>
    <row r="41">
      <c r="A41" s="153">
        <v>84.0</v>
      </c>
      <c r="B41" s="154" t="s">
        <v>6</v>
      </c>
      <c r="C41" s="154" t="s">
        <v>1087</v>
      </c>
      <c r="D41" s="154" t="s">
        <v>202</v>
      </c>
      <c r="E41" s="154" t="s">
        <v>136</v>
      </c>
      <c r="F41" s="154" t="s">
        <v>135</v>
      </c>
      <c r="G41" s="154" t="s">
        <v>271</v>
      </c>
      <c r="H41" s="155"/>
      <c r="I41" s="154" t="s">
        <v>136</v>
      </c>
      <c r="J41" s="157">
        <v>45600.381944444445</v>
      </c>
      <c r="K41" s="154" t="s">
        <v>139</v>
      </c>
      <c r="L41" s="156" t="s">
        <v>71</v>
      </c>
    </row>
    <row r="42">
      <c r="A42" s="153">
        <v>19.0</v>
      </c>
      <c r="B42" s="154" t="s">
        <v>6</v>
      </c>
      <c r="C42" s="154" t="s">
        <v>1914</v>
      </c>
      <c r="D42" s="154" t="s">
        <v>143</v>
      </c>
      <c r="E42" s="154" t="s">
        <v>136</v>
      </c>
      <c r="F42" s="154" t="s">
        <v>135</v>
      </c>
      <c r="G42" s="154" t="s">
        <v>1915</v>
      </c>
      <c r="H42" s="154" t="s">
        <v>1916</v>
      </c>
      <c r="I42" s="154" t="s">
        <v>136</v>
      </c>
      <c r="J42" s="154" t="s">
        <v>1917</v>
      </c>
      <c r="K42" s="154" t="s">
        <v>139</v>
      </c>
      <c r="L42" s="156" t="s">
        <v>71</v>
      </c>
    </row>
    <row r="43">
      <c r="A43" s="153">
        <v>28.0</v>
      </c>
      <c r="B43" s="154" t="s">
        <v>6</v>
      </c>
      <c r="C43" s="154" t="s">
        <v>342</v>
      </c>
      <c r="D43" s="154" t="s">
        <v>218</v>
      </c>
      <c r="E43" s="154" t="s">
        <v>136</v>
      </c>
      <c r="F43" s="154" t="s">
        <v>136</v>
      </c>
      <c r="G43" s="154" t="s">
        <v>650</v>
      </c>
      <c r="H43" s="155"/>
      <c r="I43" s="154" t="s">
        <v>135</v>
      </c>
      <c r="J43" s="154" t="s">
        <v>1918</v>
      </c>
      <c r="K43" s="154" t="s">
        <v>139</v>
      </c>
      <c r="L43" s="156" t="s">
        <v>71</v>
      </c>
    </row>
    <row r="44">
      <c r="A44" s="153">
        <v>4.0</v>
      </c>
      <c r="B44" s="154" t="s">
        <v>6</v>
      </c>
      <c r="C44" s="154" t="s">
        <v>1819</v>
      </c>
      <c r="D44" s="154" t="s">
        <v>268</v>
      </c>
      <c r="E44" s="154" t="s">
        <v>135</v>
      </c>
      <c r="F44" s="154" t="s">
        <v>136</v>
      </c>
      <c r="G44" s="154" t="s">
        <v>271</v>
      </c>
      <c r="H44" s="155"/>
      <c r="I44" s="154" t="s">
        <v>135</v>
      </c>
      <c r="J44" s="154" t="s">
        <v>1919</v>
      </c>
      <c r="K44" s="154" t="s">
        <v>139</v>
      </c>
      <c r="L44" s="156" t="s">
        <v>71</v>
      </c>
    </row>
    <row r="45">
      <c r="A45" s="153">
        <v>46.0</v>
      </c>
      <c r="B45" s="154" t="s">
        <v>6</v>
      </c>
      <c r="C45" s="154" t="s">
        <v>564</v>
      </c>
      <c r="D45" s="154" t="s">
        <v>268</v>
      </c>
      <c r="E45" s="154" t="s">
        <v>135</v>
      </c>
      <c r="F45" s="154" t="s">
        <v>136</v>
      </c>
      <c r="G45" s="154" t="s">
        <v>271</v>
      </c>
      <c r="H45" s="155"/>
      <c r="I45" s="154" t="s">
        <v>135</v>
      </c>
      <c r="J45" s="154" t="s">
        <v>1920</v>
      </c>
      <c r="K45" s="154" t="s">
        <v>139</v>
      </c>
      <c r="L45" s="156" t="s">
        <v>71</v>
      </c>
    </row>
    <row r="46">
      <c r="A46" s="153">
        <v>79.0</v>
      </c>
      <c r="B46" s="154" t="s">
        <v>7</v>
      </c>
      <c r="C46" s="154" t="s">
        <v>1921</v>
      </c>
      <c r="D46" s="154" t="s">
        <v>213</v>
      </c>
      <c r="E46" s="154" t="s">
        <v>135</v>
      </c>
      <c r="F46" s="154" t="s">
        <v>136</v>
      </c>
      <c r="G46" s="154" t="s">
        <v>137</v>
      </c>
      <c r="H46" s="155"/>
      <c r="I46" s="154" t="s">
        <v>136</v>
      </c>
      <c r="J46" s="157">
        <v>45598.72083333333</v>
      </c>
      <c r="K46" s="154" t="s">
        <v>139</v>
      </c>
      <c r="L46" s="156" t="s">
        <v>71</v>
      </c>
    </row>
    <row r="47">
      <c r="A47" s="153">
        <v>21.0</v>
      </c>
      <c r="B47" s="154" t="s">
        <v>6</v>
      </c>
      <c r="C47" s="154" t="s">
        <v>539</v>
      </c>
      <c r="D47" s="154" t="s">
        <v>290</v>
      </c>
      <c r="E47" s="154" t="s">
        <v>136</v>
      </c>
      <c r="F47" s="154" t="s">
        <v>136</v>
      </c>
      <c r="G47" s="154" t="s">
        <v>137</v>
      </c>
      <c r="H47" s="154" t="s">
        <v>1922</v>
      </c>
      <c r="I47" s="154" t="s">
        <v>136</v>
      </c>
      <c r="J47" s="154" t="s">
        <v>1923</v>
      </c>
      <c r="K47" s="154" t="s">
        <v>139</v>
      </c>
      <c r="L47" s="156" t="s">
        <v>71</v>
      </c>
    </row>
    <row r="48">
      <c r="A48" s="153">
        <v>16.0</v>
      </c>
      <c r="B48" s="154" t="s">
        <v>6</v>
      </c>
      <c r="C48" s="154" t="s">
        <v>1007</v>
      </c>
      <c r="D48" s="154" t="s">
        <v>369</v>
      </c>
      <c r="E48" s="154" t="s">
        <v>135</v>
      </c>
      <c r="F48" s="154" t="s">
        <v>136</v>
      </c>
      <c r="G48" s="154" t="s">
        <v>1924</v>
      </c>
      <c r="H48" s="155"/>
      <c r="I48" s="154" t="s">
        <v>136</v>
      </c>
      <c r="J48" s="154" t="s">
        <v>1925</v>
      </c>
      <c r="K48" s="154" t="s">
        <v>139</v>
      </c>
      <c r="L48" s="156" t="s">
        <v>71</v>
      </c>
    </row>
    <row r="49">
      <c r="A49" s="153">
        <v>71.0</v>
      </c>
      <c r="B49" s="154" t="s">
        <v>6</v>
      </c>
      <c r="C49" s="154" t="s">
        <v>1926</v>
      </c>
      <c r="D49" s="154" t="s">
        <v>400</v>
      </c>
      <c r="E49" s="154" t="s">
        <v>135</v>
      </c>
      <c r="F49" s="154" t="s">
        <v>135</v>
      </c>
      <c r="G49" s="154" t="s">
        <v>157</v>
      </c>
      <c r="H49" s="155"/>
      <c r="I49" s="154" t="s">
        <v>136</v>
      </c>
      <c r="J49" s="154" t="s">
        <v>1927</v>
      </c>
      <c r="K49" s="154" t="s">
        <v>139</v>
      </c>
      <c r="L49" s="156" t="s">
        <v>71</v>
      </c>
    </row>
    <row r="50">
      <c r="A50" s="153">
        <v>69.0</v>
      </c>
      <c r="B50" s="154" t="s">
        <v>7</v>
      </c>
      <c r="C50" s="154" t="s">
        <v>1448</v>
      </c>
      <c r="D50" s="154" t="s">
        <v>202</v>
      </c>
      <c r="E50" s="154" t="s">
        <v>135</v>
      </c>
      <c r="F50" s="154" t="s">
        <v>136</v>
      </c>
      <c r="G50" s="154" t="s">
        <v>367</v>
      </c>
      <c r="H50" s="155"/>
      <c r="I50" s="154" t="s">
        <v>135</v>
      </c>
      <c r="J50" s="154" t="s">
        <v>1928</v>
      </c>
      <c r="K50" s="154" t="s">
        <v>139</v>
      </c>
      <c r="L50" s="156" t="s">
        <v>71</v>
      </c>
    </row>
    <row r="51">
      <c r="A51" s="153">
        <v>85.0</v>
      </c>
      <c r="B51" s="154" t="s">
        <v>6</v>
      </c>
      <c r="C51" s="154" t="s">
        <v>1929</v>
      </c>
      <c r="D51" s="154" t="s">
        <v>143</v>
      </c>
      <c r="E51" s="154" t="s">
        <v>135</v>
      </c>
      <c r="F51" s="154" t="s">
        <v>136</v>
      </c>
      <c r="G51" s="154" t="s">
        <v>137</v>
      </c>
      <c r="H51" s="155"/>
      <c r="I51" s="154" t="s">
        <v>135</v>
      </c>
      <c r="J51" s="157">
        <v>45600.42361111111</v>
      </c>
      <c r="K51" s="154" t="s">
        <v>139</v>
      </c>
      <c r="L51" s="156" t="s">
        <v>71</v>
      </c>
    </row>
    <row r="52">
      <c r="A52" s="153">
        <v>11.0</v>
      </c>
      <c r="B52" s="154" t="s">
        <v>6</v>
      </c>
      <c r="C52" s="154" t="s">
        <v>1033</v>
      </c>
      <c r="D52" s="154" t="s">
        <v>143</v>
      </c>
      <c r="E52" s="154" t="s">
        <v>135</v>
      </c>
      <c r="F52" s="154" t="s">
        <v>136</v>
      </c>
      <c r="G52" s="154" t="s">
        <v>606</v>
      </c>
      <c r="H52" s="155"/>
      <c r="I52" s="154" t="s">
        <v>135</v>
      </c>
      <c r="J52" s="154" t="s">
        <v>1930</v>
      </c>
      <c r="K52" s="154" t="s">
        <v>139</v>
      </c>
      <c r="L52" s="156" t="s">
        <v>71</v>
      </c>
    </row>
    <row r="53">
      <c r="A53" s="153">
        <v>29.0</v>
      </c>
      <c r="B53" s="154" t="s">
        <v>6</v>
      </c>
      <c r="C53" s="154" t="s">
        <v>1931</v>
      </c>
      <c r="D53" s="154" t="s">
        <v>352</v>
      </c>
      <c r="E53" s="154" t="s">
        <v>135</v>
      </c>
      <c r="F53" s="154" t="s">
        <v>136</v>
      </c>
      <c r="G53" s="154" t="s">
        <v>460</v>
      </c>
      <c r="H53" s="155"/>
      <c r="I53" s="154" t="s">
        <v>135</v>
      </c>
      <c r="J53" s="154" t="s">
        <v>1932</v>
      </c>
      <c r="K53" s="154" t="s">
        <v>139</v>
      </c>
      <c r="L53" s="156" t="s">
        <v>71</v>
      </c>
    </row>
    <row r="54">
      <c r="A54" s="153">
        <v>15.0</v>
      </c>
      <c r="B54" s="154" t="s">
        <v>6</v>
      </c>
      <c r="C54" s="154" t="s">
        <v>1933</v>
      </c>
      <c r="D54" s="154" t="s">
        <v>290</v>
      </c>
      <c r="E54" s="154" t="s">
        <v>135</v>
      </c>
      <c r="F54" s="154" t="s">
        <v>136</v>
      </c>
      <c r="G54" s="154" t="s">
        <v>191</v>
      </c>
      <c r="H54" s="155"/>
      <c r="I54" s="154" t="s">
        <v>135</v>
      </c>
      <c r="J54" s="154" t="s">
        <v>1934</v>
      </c>
      <c r="K54" s="154" t="s">
        <v>139</v>
      </c>
      <c r="L54" s="156" t="s">
        <v>71</v>
      </c>
    </row>
    <row r="55">
      <c r="A55" s="153">
        <v>48.0</v>
      </c>
      <c r="B55" s="154" t="s">
        <v>7</v>
      </c>
      <c r="C55" s="154" t="s">
        <v>1935</v>
      </c>
      <c r="D55" s="154" t="s">
        <v>159</v>
      </c>
      <c r="E55" s="154" t="s">
        <v>135</v>
      </c>
      <c r="F55" s="154" t="s">
        <v>136</v>
      </c>
      <c r="G55" s="154" t="s">
        <v>401</v>
      </c>
      <c r="H55" s="154" t="s">
        <v>1936</v>
      </c>
      <c r="I55" s="154" t="s">
        <v>135</v>
      </c>
      <c r="J55" s="154" t="s">
        <v>1937</v>
      </c>
      <c r="K55" s="154" t="s">
        <v>139</v>
      </c>
      <c r="L55" s="156" t="s">
        <v>71</v>
      </c>
    </row>
    <row r="56">
      <c r="A56" s="153">
        <v>2.0</v>
      </c>
      <c r="B56" s="154" t="s">
        <v>6</v>
      </c>
      <c r="C56" s="154" t="s">
        <v>1938</v>
      </c>
      <c r="D56" s="154" t="s">
        <v>164</v>
      </c>
      <c r="E56" s="154" t="s">
        <v>135</v>
      </c>
      <c r="F56" s="154" t="s">
        <v>136</v>
      </c>
      <c r="G56" s="154" t="s">
        <v>1939</v>
      </c>
      <c r="H56" s="155"/>
      <c r="I56" s="154" t="s">
        <v>136</v>
      </c>
      <c r="J56" s="154" t="s">
        <v>1940</v>
      </c>
      <c r="K56" s="154" t="s">
        <v>139</v>
      </c>
      <c r="L56" s="156" t="s">
        <v>71</v>
      </c>
    </row>
    <row r="57">
      <c r="A57" s="153">
        <v>54.0</v>
      </c>
      <c r="B57" s="154" t="s">
        <v>7</v>
      </c>
      <c r="C57" s="154" t="s">
        <v>1941</v>
      </c>
      <c r="D57" s="154" t="s">
        <v>143</v>
      </c>
      <c r="E57" s="154" t="s">
        <v>135</v>
      </c>
      <c r="F57" s="154" t="s">
        <v>136</v>
      </c>
      <c r="G57" s="154" t="s">
        <v>367</v>
      </c>
      <c r="H57" s="155"/>
      <c r="I57" s="154" t="s">
        <v>136</v>
      </c>
      <c r="J57" s="154" t="s">
        <v>1942</v>
      </c>
      <c r="K57" s="154" t="s">
        <v>139</v>
      </c>
      <c r="L57" s="156" t="s">
        <v>71</v>
      </c>
    </row>
    <row r="58">
      <c r="A58" s="153">
        <v>64.0</v>
      </c>
      <c r="B58" s="154" t="s">
        <v>6</v>
      </c>
      <c r="C58" s="154" t="s">
        <v>334</v>
      </c>
      <c r="D58" s="154" t="s">
        <v>228</v>
      </c>
      <c r="E58" s="154" t="s">
        <v>136</v>
      </c>
      <c r="F58" s="154" t="s">
        <v>136</v>
      </c>
      <c r="G58" s="154" t="s">
        <v>320</v>
      </c>
      <c r="H58" s="155"/>
      <c r="I58" s="154" t="s">
        <v>135</v>
      </c>
      <c r="J58" s="154" t="s">
        <v>1943</v>
      </c>
      <c r="K58" s="154" t="s">
        <v>139</v>
      </c>
      <c r="L58" s="156" t="s">
        <v>71</v>
      </c>
    </row>
    <row r="59">
      <c r="A59" s="153">
        <v>62.0</v>
      </c>
      <c r="B59" s="154" t="s">
        <v>6</v>
      </c>
      <c r="C59" s="154" t="s">
        <v>471</v>
      </c>
      <c r="D59" s="154" t="s">
        <v>243</v>
      </c>
      <c r="E59" s="154" t="s">
        <v>135</v>
      </c>
      <c r="F59" s="154" t="s">
        <v>135</v>
      </c>
      <c r="G59" s="154" t="s">
        <v>191</v>
      </c>
      <c r="H59" s="155"/>
      <c r="I59" s="154" t="s">
        <v>135</v>
      </c>
      <c r="J59" s="154" t="s">
        <v>1944</v>
      </c>
      <c r="K59" s="154" t="s">
        <v>139</v>
      </c>
      <c r="L59" s="156" t="s">
        <v>71</v>
      </c>
    </row>
    <row r="60">
      <c r="A60" s="153">
        <v>24.0</v>
      </c>
      <c r="B60" s="154" t="s">
        <v>7</v>
      </c>
      <c r="C60" s="154" t="s">
        <v>469</v>
      </c>
      <c r="D60" s="154" t="s">
        <v>202</v>
      </c>
      <c r="E60" s="154" t="s">
        <v>136</v>
      </c>
      <c r="F60" s="154" t="s">
        <v>136</v>
      </c>
      <c r="G60" s="154" t="s">
        <v>320</v>
      </c>
      <c r="H60" s="155"/>
      <c r="I60" s="154" t="s">
        <v>135</v>
      </c>
      <c r="J60" s="154" t="s">
        <v>1945</v>
      </c>
      <c r="K60" s="154" t="s">
        <v>139</v>
      </c>
      <c r="L60" s="156" t="s">
        <v>71</v>
      </c>
    </row>
    <row r="61">
      <c r="A61" s="153">
        <v>74.0</v>
      </c>
      <c r="B61" s="154" t="s">
        <v>7</v>
      </c>
      <c r="C61" s="154" t="s">
        <v>1946</v>
      </c>
      <c r="D61" s="154" t="s">
        <v>143</v>
      </c>
      <c r="E61" s="154" t="s">
        <v>136</v>
      </c>
      <c r="F61" s="154" t="s">
        <v>136</v>
      </c>
      <c r="G61" s="154" t="s">
        <v>1225</v>
      </c>
      <c r="H61" s="155"/>
      <c r="I61" s="154" t="s">
        <v>136</v>
      </c>
      <c r="J61" s="154" t="s">
        <v>1947</v>
      </c>
      <c r="K61" s="154" t="s">
        <v>139</v>
      </c>
      <c r="L61" s="156" t="s">
        <v>71</v>
      </c>
    </row>
    <row r="62">
      <c r="A62" s="153">
        <v>57.0</v>
      </c>
      <c r="B62" s="154" t="s">
        <v>7</v>
      </c>
      <c r="C62" s="154" t="s">
        <v>387</v>
      </c>
      <c r="D62" s="154" t="s">
        <v>143</v>
      </c>
      <c r="E62" s="154" t="s">
        <v>135</v>
      </c>
      <c r="F62" s="154" t="s">
        <v>136</v>
      </c>
      <c r="G62" s="154" t="s">
        <v>137</v>
      </c>
      <c r="H62" s="155"/>
      <c r="I62" s="154" t="s">
        <v>136</v>
      </c>
      <c r="J62" s="154" t="s">
        <v>1948</v>
      </c>
      <c r="K62" s="154" t="s">
        <v>139</v>
      </c>
      <c r="L62" s="156" t="s">
        <v>71</v>
      </c>
    </row>
    <row r="63">
      <c r="A63" s="153">
        <v>87.0</v>
      </c>
      <c r="B63" s="154" t="s">
        <v>6</v>
      </c>
      <c r="C63" s="154" t="s">
        <v>1949</v>
      </c>
      <c r="D63" s="154" t="s">
        <v>218</v>
      </c>
      <c r="E63" s="154" t="s">
        <v>136</v>
      </c>
      <c r="F63" s="154" t="s">
        <v>136</v>
      </c>
      <c r="G63" s="154" t="s">
        <v>401</v>
      </c>
      <c r="H63" s="155"/>
      <c r="I63" s="154" t="s">
        <v>135</v>
      </c>
      <c r="J63" s="157">
        <v>45600.43125</v>
      </c>
      <c r="K63" s="154" t="s">
        <v>139</v>
      </c>
      <c r="L63" s="156" t="s">
        <v>71</v>
      </c>
    </row>
    <row r="64">
      <c r="A64" s="153">
        <v>17.0</v>
      </c>
      <c r="B64" s="154" t="s">
        <v>7</v>
      </c>
      <c r="C64" s="154" t="s">
        <v>946</v>
      </c>
      <c r="D64" s="154" t="s">
        <v>290</v>
      </c>
      <c r="E64" s="154" t="s">
        <v>135</v>
      </c>
      <c r="F64" s="154" t="s">
        <v>136</v>
      </c>
      <c r="G64" s="154" t="s">
        <v>185</v>
      </c>
      <c r="H64" s="154" t="s">
        <v>1950</v>
      </c>
      <c r="I64" s="154" t="s">
        <v>136</v>
      </c>
      <c r="J64" s="154" t="s">
        <v>1951</v>
      </c>
      <c r="K64" s="154" t="s">
        <v>139</v>
      </c>
      <c r="L64" s="156" t="s">
        <v>71</v>
      </c>
    </row>
    <row r="65">
      <c r="A65" s="153">
        <v>32.0</v>
      </c>
      <c r="B65" s="154" t="s">
        <v>6</v>
      </c>
      <c r="C65" s="154" t="s">
        <v>1952</v>
      </c>
      <c r="D65" s="154" t="s">
        <v>177</v>
      </c>
      <c r="E65" s="154" t="s">
        <v>135</v>
      </c>
      <c r="F65" s="154" t="s">
        <v>136</v>
      </c>
      <c r="G65" s="154" t="s">
        <v>310</v>
      </c>
      <c r="H65" s="154" t="s">
        <v>1953</v>
      </c>
      <c r="I65" s="154" t="s">
        <v>136</v>
      </c>
      <c r="J65" s="154" t="s">
        <v>1954</v>
      </c>
      <c r="K65" s="154" t="s">
        <v>139</v>
      </c>
      <c r="L65" s="156" t="s">
        <v>71</v>
      </c>
    </row>
    <row r="66">
      <c r="A66" s="153">
        <v>27.0</v>
      </c>
      <c r="B66" s="154" t="s">
        <v>6</v>
      </c>
      <c r="C66" s="154" t="s">
        <v>1955</v>
      </c>
      <c r="D66" s="154" t="s">
        <v>290</v>
      </c>
      <c r="E66" s="154" t="s">
        <v>135</v>
      </c>
      <c r="F66" s="154" t="s">
        <v>136</v>
      </c>
      <c r="G66" s="154" t="s">
        <v>137</v>
      </c>
      <c r="H66" s="155"/>
      <c r="I66" s="154" t="s">
        <v>136</v>
      </c>
      <c r="J66" s="154" t="s">
        <v>1956</v>
      </c>
      <c r="K66" s="154" t="s">
        <v>139</v>
      </c>
      <c r="L66" s="156" t="s">
        <v>71</v>
      </c>
    </row>
    <row r="67">
      <c r="A67" s="153">
        <v>25.0</v>
      </c>
      <c r="B67" s="154" t="s">
        <v>6</v>
      </c>
      <c r="C67" s="154" t="s">
        <v>1957</v>
      </c>
      <c r="D67" s="154" t="s">
        <v>187</v>
      </c>
      <c r="E67" s="154" t="s">
        <v>135</v>
      </c>
      <c r="F67" s="154" t="s">
        <v>135</v>
      </c>
      <c r="G67" s="154" t="s">
        <v>191</v>
      </c>
      <c r="H67" s="155"/>
      <c r="I67" s="154" t="s">
        <v>136</v>
      </c>
      <c r="J67" s="154" t="s">
        <v>1958</v>
      </c>
      <c r="K67" s="154" t="s">
        <v>139</v>
      </c>
      <c r="L67" s="156" t="s">
        <v>71</v>
      </c>
    </row>
    <row r="68">
      <c r="A68" s="153">
        <v>38.0</v>
      </c>
      <c r="B68" s="154" t="s">
        <v>7</v>
      </c>
      <c r="C68" s="154" t="s">
        <v>513</v>
      </c>
      <c r="D68" s="154" t="s">
        <v>213</v>
      </c>
      <c r="E68" s="154" t="s">
        <v>135</v>
      </c>
      <c r="F68" s="154" t="s">
        <v>136</v>
      </c>
      <c r="G68" s="154" t="s">
        <v>1959</v>
      </c>
      <c r="H68" s="155"/>
      <c r="I68" s="154" t="s">
        <v>135</v>
      </c>
      <c r="J68" s="154" t="s">
        <v>1960</v>
      </c>
      <c r="K68" s="154" t="s">
        <v>139</v>
      </c>
      <c r="L68" s="156" t="s">
        <v>71</v>
      </c>
    </row>
    <row r="69">
      <c r="A69" s="153">
        <v>30.0</v>
      </c>
      <c r="B69" s="154" t="s">
        <v>6</v>
      </c>
      <c r="C69" s="154" t="s">
        <v>1828</v>
      </c>
      <c r="D69" s="154" t="s">
        <v>143</v>
      </c>
      <c r="E69" s="154" t="s">
        <v>135</v>
      </c>
      <c r="F69" s="154" t="s">
        <v>136</v>
      </c>
      <c r="G69" s="154" t="s">
        <v>1961</v>
      </c>
      <c r="H69" s="155"/>
      <c r="I69" s="154" t="s">
        <v>135</v>
      </c>
      <c r="J69" s="154" t="s">
        <v>1962</v>
      </c>
      <c r="K69" s="154" t="s">
        <v>139</v>
      </c>
      <c r="L69" s="156" t="s">
        <v>71</v>
      </c>
    </row>
    <row r="70">
      <c r="A70" s="153">
        <v>67.0</v>
      </c>
      <c r="B70" s="154" t="s">
        <v>6</v>
      </c>
      <c r="C70" s="154" t="s">
        <v>1963</v>
      </c>
      <c r="D70" s="154" t="s">
        <v>202</v>
      </c>
      <c r="E70" s="154" t="s">
        <v>136</v>
      </c>
      <c r="F70" s="154" t="s">
        <v>136</v>
      </c>
      <c r="G70" s="154" t="s">
        <v>1964</v>
      </c>
      <c r="H70" s="155"/>
      <c r="I70" s="154" t="s">
        <v>135</v>
      </c>
      <c r="J70" s="154" t="s">
        <v>1965</v>
      </c>
      <c r="K70" s="154" t="s">
        <v>139</v>
      </c>
      <c r="L70" s="156" t="s">
        <v>71</v>
      </c>
    </row>
    <row r="71">
      <c r="A71" s="153">
        <v>53.0</v>
      </c>
      <c r="B71" s="154" t="s">
        <v>6</v>
      </c>
      <c r="C71" s="154" t="s">
        <v>1966</v>
      </c>
      <c r="D71" s="154" t="s">
        <v>143</v>
      </c>
      <c r="E71" s="154" t="s">
        <v>135</v>
      </c>
      <c r="F71" s="154" t="s">
        <v>136</v>
      </c>
      <c r="G71" s="154" t="s">
        <v>137</v>
      </c>
      <c r="H71" s="155"/>
      <c r="I71" s="154" t="s">
        <v>136</v>
      </c>
      <c r="J71" s="154" t="s">
        <v>1967</v>
      </c>
      <c r="K71" s="154" t="s">
        <v>139</v>
      </c>
      <c r="L71" s="156" t="s">
        <v>71</v>
      </c>
    </row>
    <row r="72">
      <c r="A72" s="153">
        <v>42.0</v>
      </c>
      <c r="B72" s="154" t="s">
        <v>6</v>
      </c>
      <c r="C72" s="154" t="s">
        <v>243</v>
      </c>
      <c r="D72" s="154" t="s">
        <v>243</v>
      </c>
      <c r="E72" s="154" t="s">
        <v>135</v>
      </c>
      <c r="F72" s="154" t="s">
        <v>135</v>
      </c>
      <c r="G72" s="154" t="s">
        <v>1968</v>
      </c>
      <c r="H72" s="154" t="s">
        <v>1969</v>
      </c>
      <c r="I72" s="154" t="s">
        <v>136</v>
      </c>
      <c r="J72" s="154" t="s">
        <v>1970</v>
      </c>
      <c r="K72" s="154" t="s">
        <v>139</v>
      </c>
      <c r="L72" s="156" t="s">
        <v>71</v>
      </c>
    </row>
    <row r="73">
      <c r="A73" s="153">
        <v>10.0</v>
      </c>
      <c r="B73" s="154" t="s">
        <v>6</v>
      </c>
      <c r="C73" s="154" t="s">
        <v>1411</v>
      </c>
      <c r="D73" s="154" t="s">
        <v>202</v>
      </c>
      <c r="E73" s="154" t="s">
        <v>136</v>
      </c>
      <c r="F73" s="154" t="s">
        <v>136</v>
      </c>
      <c r="G73" s="154" t="s">
        <v>297</v>
      </c>
      <c r="H73" s="155"/>
      <c r="I73" s="154" t="s">
        <v>135</v>
      </c>
      <c r="J73" s="154" t="s">
        <v>1971</v>
      </c>
      <c r="K73" s="154" t="s">
        <v>139</v>
      </c>
      <c r="L73" s="156" t="s">
        <v>71</v>
      </c>
    </row>
    <row r="74">
      <c r="A74" s="153">
        <v>66.0</v>
      </c>
      <c r="B74" s="154" t="s">
        <v>6</v>
      </c>
      <c r="C74" s="154" t="s">
        <v>1411</v>
      </c>
      <c r="D74" s="154" t="s">
        <v>202</v>
      </c>
      <c r="E74" s="154" t="s">
        <v>136</v>
      </c>
      <c r="F74" s="154" t="s">
        <v>136</v>
      </c>
      <c r="G74" s="154" t="s">
        <v>1412</v>
      </c>
      <c r="H74" s="154" t="s">
        <v>1413</v>
      </c>
      <c r="I74" s="154" t="s">
        <v>136</v>
      </c>
      <c r="J74" s="154" t="s">
        <v>1972</v>
      </c>
      <c r="K74" s="154" t="s">
        <v>139</v>
      </c>
      <c r="L74" s="156" t="s">
        <v>71</v>
      </c>
    </row>
    <row r="75">
      <c r="A75" s="153">
        <v>34.0</v>
      </c>
      <c r="B75" s="154" t="s">
        <v>7</v>
      </c>
      <c r="C75" s="154" t="s">
        <v>1973</v>
      </c>
      <c r="D75" s="154" t="s">
        <v>177</v>
      </c>
      <c r="E75" s="154" t="s">
        <v>135</v>
      </c>
      <c r="F75" s="154" t="s">
        <v>136</v>
      </c>
      <c r="G75" s="154" t="s">
        <v>185</v>
      </c>
      <c r="H75" s="155"/>
      <c r="I75" s="154" t="s">
        <v>136</v>
      </c>
      <c r="J75" s="154" t="s">
        <v>1974</v>
      </c>
      <c r="K75" s="154" t="s">
        <v>139</v>
      </c>
      <c r="L75" s="156" t="s">
        <v>71</v>
      </c>
    </row>
    <row r="76">
      <c r="A76" s="153">
        <v>59.0</v>
      </c>
      <c r="B76" s="154" t="s">
        <v>6</v>
      </c>
      <c r="C76" s="154" t="s">
        <v>1975</v>
      </c>
      <c r="D76" s="154" t="s">
        <v>243</v>
      </c>
      <c r="E76" s="154" t="s">
        <v>136</v>
      </c>
      <c r="F76" s="154" t="s">
        <v>135</v>
      </c>
      <c r="G76" s="154" t="s">
        <v>1976</v>
      </c>
      <c r="H76" s="155"/>
      <c r="I76" s="154" t="s">
        <v>135</v>
      </c>
      <c r="J76" s="154" t="s">
        <v>1977</v>
      </c>
      <c r="K76" s="154" t="s">
        <v>139</v>
      </c>
      <c r="L76" s="156" t="s">
        <v>71</v>
      </c>
    </row>
    <row r="77">
      <c r="A77" s="153">
        <v>88.0</v>
      </c>
      <c r="B77" s="154" t="s">
        <v>6</v>
      </c>
      <c r="C77" s="154" t="s">
        <v>1978</v>
      </c>
      <c r="D77" s="154" t="s">
        <v>143</v>
      </c>
      <c r="E77" s="154" t="s">
        <v>135</v>
      </c>
      <c r="F77" s="154" t="s">
        <v>136</v>
      </c>
      <c r="G77" s="154" t="s">
        <v>137</v>
      </c>
      <c r="H77" s="155"/>
      <c r="I77" s="154" t="s">
        <v>135</v>
      </c>
      <c r="J77" s="157">
        <v>45600.45277777778</v>
      </c>
      <c r="K77" s="154" t="s">
        <v>139</v>
      </c>
      <c r="L77" s="156" t="s">
        <v>71</v>
      </c>
    </row>
    <row r="78">
      <c r="A78" s="153">
        <v>44.0</v>
      </c>
      <c r="B78" s="154" t="s">
        <v>6</v>
      </c>
      <c r="C78" s="154" t="s">
        <v>1979</v>
      </c>
      <c r="D78" s="154" t="s">
        <v>290</v>
      </c>
      <c r="E78" s="154" t="s">
        <v>136</v>
      </c>
      <c r="F78" s="154" t="s">
        <v>136</v>
      </c>
      <c r="G78" s="154" t="s">
        <v>457</v>
      </c>
      <c r="H78" s="155"/>
      <c r="I78" s="154" t="s">
        <v>135</v>
      </c>
      <c r="J78" s="154" t="s">
        <v>1980</v>
      </c>
      <c r="K78" s="154" t="s">
        <v>139</v>
      </c>
      <c r="L78" s="156" t="s">
        <v>71</v>
      </c>
    </row>
    <row r="79">
      <c r="A79" s="153">
        <v>86.0</v>
      </c>
      <c r="B79" s="154" t="s">
        <v>7</v>
      </c>
      <c r="C79" s="154" t="s">
        <v>1978</v>
      </c>
      <c r="D79" s="154" t="s">
        <v>143</v>
      </c>
      <c r="E79" s="154" t="s">
        <v>136</v>
      </c>
      <c r="F79" s="154" t="s">
        <v>136</v>
      </c>
      <c r="G79" s="154" t="s">
        <v>185</v>
      </c>
      <c r="H79" s="155"/>
      <c r="I79" s="154" t="s">
        <v>135</v>
      </c>
      <c r="J79" s="157">
        <v>45600.424305555556</v>
      </c>
      <c r="K79" s="154" t="s">
        <v>139</v>
      </c>
      <c r="L79" s="156" t="s">
        <v>71</v>
      </c>
    </row>
    <row r="80">
      <c r="A80" s="153">
        <v>89.0</v>
      </c>
      <c r="B80" s="154" t="s">
        <v>6</v>
      </c>
      <c r="C80" s="154" t="s">
        <v>1981</v>
      </c>
      <c r="D80" s="154" t="s">
        <v>143</v>
      </c>
      <c r="E80" s="154" t="s">
        <v>135</v>
      </c>
      <c r="F80" s="154" t="s">
        <v>136</v>
      </c>
      <c r="G80" s="154" t="s">
        <v>137</v>
      </c>
      <c r="H80" s="155"/>
      <c r="I80" s="154" t="s">
        <v>135</v>
      </c>
      <c r="J80" s="157">
        <v>45600.46527777778</v>
      </c>
      <c r="K80" s="154" t="s">
        <v>139</v>
      </c>
      <c r="L80" s="156" t="s">
        <v>71</v>
      </c>
    </row>
    <row r="81">
      <c r="A81" s="153">
        <v>14.0</v>
      </c>
      <c r="B81" s="154" t="s">
        <v>6</v>
      </c>
      <c r="C81" s="154" t="s">
        <v>1563</v>
      </c>
      <c r="D81" s="154" t="s">
        <v>134</v>
      </c>
      <c r="E81" s="154" t="s">
        <v>135</v>
      </c>
      <c r="F81" s="154" t="s">
        <v>136</v>
      </c>
      <c r="G81" s="154" t="s">
        <v>367</v>
      </c>
      <c r="H81" s="155"/>
      <c r="I81" s="154" t="s">
        <v>135</v>
      </c>
      <c r="J81" s="154" t="s">
        <v>1982</v>
      </c>
      <c r="K81" s="154" t="s">
        <v>139</v>
      </c>
      <c r="L81" s="156" t="s">
        <v>71</v>
      </c>
    </row>
    <row r="82">
      <c r="A82" s="153">
        <v>47.0</v>
      </c>
      <c r="B82" s="154" t="s">
        <v>6</v>
      </c>
      <c r="C82" s="154" t="s">
        <v>338</v>
      </c>
      <c r="D82" s="154" t="s">
        <v>143</v>
      </c>
      <c r="E82" s="154" t="s">
        <v>135</v>
      </c>
      <c r="F82" s="154" t="s">
        <v>136</v>
      </c>
      <c r="G82" s="154" t="s">
        <v>221</v>
      </c>
      <c r="H82" s="155"/>
      <c r="I82" s="154" t="s">
        <v>135</v>
      </c>
      <c r="J82" s="154" t="s">
        <v>1983</v>
      </c>
      <c r="K82" s="154" t="s">
        <v>139</v>
      </c>
      <c r="L82" s="156" t="s">
        <v>71</v>
      </c>
    </row>
    <row r="83">
      <c r="A83" s="153">
        <v>81.0</v>
      </c>
      <c r="B83" s="154" t="s">
        <v>7</v>
      </c>
      <c r="C83" s="154" t="s">
        <v>1984</v>
      </c>
      <c r="D83" s="154" t="s">
        <v>213</v>
      </c>
      <c r="E83" s="154" t="s">
        <v>135</v>
      </c>
      <c r="F83" s="154" t="s">
        <v>136</v>
      </c>
      <c r="G83" s="154" t="s">
        <v>137</v>
      </c>
      <c r="H83" s="155"/>
      <c r="I83" s="154" t="s">
        <v>136</v>
      </c>
      <c r="J83" s="157">
        <v>45599.9875</v>
      </c>
      <c r="K83" s="154" t="s">
        <v>139</v>
      </c>
      <c r="L83" s="156" t="s">
        <v>71</v>
      </c>
    </row>
    <row r="84">
      <c r="A84" s="153">
        <v>12.0</v>
      </c>
      <c r="B84" s="154" t="s">
        <v>6</v>
      </c>
      <c r="C84" s="154" t="s">
        <v>1096</v>
      </c>
      <c r="D84" s="154" t="s">
        <v>153</v>
      </c>
      <c r="E84" s="154" t="s">
        <v>135</v>
      </c>
      <c r="F84" s="154" t="s">
        <v>136</v>
      </c>
      <c r="G84" s="154" t="s">
        <v>180</v>
      </c>
      <c r="H84" s="155"/>
      <c r="I84" s="154" t="s">
        <v>136</v>
      </c>
      <c r="J84" s="154" t="s">
        <v>1985</v>
      </c>
      <c r="K84" s="154" t="s">
        <v>139</v>
      </c>
      <c r="L84" s="156" t="s">
        <v>71</v>
      </c>
    </row>
    <row r="85">
      <c r="A85" s="153">
        <v>82.0</v>
      </c>
      <c r="B85" s="154" t="s">
        <v>6</v>
      </c>
      <c r="C85" s="154" t="s">
        <v>338</v>
      </c>
      <c r="D85" s="154" t="s">
        <v>143</v>
      </c>
      <c r="E85" s="154" t="s">
        <v>136</v>
      </c>
      <c r="F85" s="154" t="s">
        <v>136</v>
      </c>
      <c r="G85" s="154" t="s">
        <v>150</v>
      </c>
      <c r="H85" s="155"/>
      <c r="I85" s="154" t="s">
        <v>136</v>
      </c>
      <c r="J85" s="157">
        <v>45600.33541666667</v>
      </c>
      <c r="K85" s="154" t="s">
        <v>139</v>
      </c>
      <c r="L85" s="156" t="s">
        <v>71</v>
      </c>
    </row>
    <row r="86">
      <c r="A86" s="153">
        <v>83.0</v>
      </c>
      <c r="B86" s="154" t="s">
        <v>6</v>
      </c>
      <c r="C86" s="154" t="s">
        <v>787</v>
      </c>
      <c r="D86" s="154" t="s">
        <v>164</v>
      </c>
      <c r="E86" s="154" t="s">
        <v>136</v>
      </c>
      <c r="F86" s="154" t="s">
        <v>136</v>
      </c>
      <c r="G86" s="154" t="s">
        <v>221</v>
      </c>
      <c r="H86" s="155"/>
      <c r="I86" s="154" t="s">
        <v>135</v>
      </c>
      <c r="J86" s="157">
        <v>45600.33888888889</v>
      </c>
      <c r="K86" s="154" t="s">
        <v>139</v>
      </c>
      <c r="L86" s="156" t="s">
        <v>71</v>
      </c>
    </row>
    <row r="87">
      <c r="A87" s="153">
        <v>20.0</v>
      </c>
      <c r="B87" s="154" t="s">
        <v>6</v>
      </c>
      <c r="C87" s="154" t="s">
        <v>1986</v>
      </c>
      <c r="D87" s="154" t="s">
        <v>187</v>
      </c>
      <c r="E87" s="154" t="s">
        <v>136</v>
      </c>
      <c r="F87" s="154" t="s">
        <v>135</v>
      </c>
      <c r="G87" s="154" t="s">
        <v>1789</v>
      </c>
      <c r="H87" s="155"/>
      <c r="I87" s="154" t="s">
        <v>135</v>
      </c>
      <c r="J87" s="154" t="s">
        <v>1987</v>
      </c>
      <c r="K87" s="154" t="s">
        <v>139</v>
      </c>
      <c r="L87" s="156" t="s">
        <v>71</v>
      </c>
    </row>
    <row r="88">
      <c r="A88" s="153">
        <v>7.0</v>
      </c>
      <c r="B88" s="154" t="s">
        <v>7</v>
      </c>
      <c r="C88" s="154" t="s">
        <v>1988</v>
      </c>
      <c r="D88" s="154" t="s">
        <v>255</v>
      </c>
      <c r="E88" s="154" t="s">
        <v>135</v>
      </c>
      <c r="F88" s="154" t="s">
        <v>136</v>
      </c>
      <c r="G88" s="154" t="s">
        <v>1108</v>
      </c>
      <c r="H88" s="155"/>
      <c r="I88" s="154" t="s">
        <v>135</v>
      </c>
      <c r="J88" s="154" t="s">
        <v>1989</v>
      </c>
      <c r="K88" s="154" t="s">
        <v>139</v>
      </c>
      <c r="L88" s="156" t="s">
        <v>71</v>
      </c>
    </row>
    <row r="89">
      <c r="A89" s="153">
        <v>80.0</v>
      </c>
      <c r="B89" s="154" t="s">
        <v>6</v>
      </c>
      <c r="C89" s="154" t="s">
        <v>315</v>
      </c>
      <c r="D89" s="154" t="s">
        <v>164</v>
      </c>
      <c r="E89" s="154" t="s">
        <v>135</v>
      </c>
      <c r="F89" s="154" t="s">
        <v>136</v>
      </c>
      <c r="G89" s="154" t="s">
        <v>157</v>
      </c>
      <c r="H89" s="155"/>
      <c r="I89" s="154" t="s">
        <v>136</v>
      </c>
      <c r="J89" s="157">
        <v>45599.84652777778</v>
      </c>
      <c r="K89" s="154" t="s">
        <v>139</v>
      </c>
      <c r="L89" s="156" t="s">
        <v>71</v>
      </c>
    </row>
    <row r="90">
      <c r="A90" s="153">
        <v>76.0</v>
      </c>
      <c r="B90" s="154" t="s">
        <v>7</v>
      </c>
      <c r="C90" s="154" t="s">
        <v>379</v>
      </c>
      <c r="D90" s="154" t="s">
        <v>202</v>
      </c>
      <c r="E90" s="154" t="s">
        <v>136</v>
      </c>
      <c r="F90" s="154" t="s">
        <v>136</v>
      </c>
      <c r="G90" s="154" t="s">
        <v>606</v>
      </c>
      <c r="H90" s="155"/>
      <c r="I90" s="154" t="s">
        <v>135</v>
      </c>
      <c r="J90" s="157">
        <v>45597.32430555556</v>
      </c>
      <c r="K90" s="154" t="s">
        <v>139</v>
      </c>
      <c r="L90" s="156" t="s">
        <v>71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86"/>
    <col customWidth="1" min="3" max="3" width="9.14"/>
    <col customWidth="1" min="4" max="4" width="12.0"/>
    <col customWidth="1" min="5" max="5" width="13.0"/>
    <col customWidth="1" min="6" max="6" width="12.0"/>
    <col customWidth="1" min="7" max="7" width="78.86"/>
    <col customWidth="1" min="8" max="8" width="124.71"/>
    <col customWidth="1" min="9" max="9" width="27.29"/>
    <col customWidth="1" min="10" max="10" width="20.43"/>
  </cols>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
        <v>1.0</v>
      </c>
      <c r="E2" s="17" t="s">
        <v>136</v>
      </c>
      <c r="F2" s="17" t="s">
        <v>136</v>
      </c>
      <c r="G2" s="261" t="s">
        <v>3929</v>
      </c>
      <c r="H2" s="261" t="s">
        <v>3930</v>
      </c>
      <c r="I2" s="261" t="s">
        <v>136</v>
      </c>
      <c r="J2" s="262">
        <v>45316.447604166664</v>
      </c>
      <c r="K2" s="17" t="s">
        <v>139</v>
      </c>
    </row>
    <row r="3">
      <c r="A3" s="17">
        <v>2.0</v>
      </c>
      <c r="E3" s="17" t="s">
        <v>135</v>
      </c>
      <c r="F3" s="17" t="s">
        <v>136</v>
      </c>
      <c r="G3" s="261" t="s">
        <v>2179</v>
      </c>
      <c r="H3" s="261" t="s">
        <v>3930</v>
      </c>
      <c r="I3" s="261" t="s">
        <v>136</v>
      </c>
      <c r="J3" s="262">
        <v>45316.45618055556</v>
      </c>
      <c r="K3" s="17" t="s">
        <v>139</v>
      </c>
    </row>
    <row r="4">
      <c r="A4" s="17">
        <v>3.0</v>
      </c>
      <c r="E4" s="17" t="s">
        <v>135</v>
      </c>
      <c r="F4" s="17" t="s">
        <v>136</v>
      </c>
      <c r="G4" s="261" t="s">
        <v>137</v>
      </c>
      <c r="H4" s="261" t="s">
        <v>3931</v>
      </c>
      <c r="I4" s="261" t="s">
        <v>136</v>
      </c>
      <c r="J4" s="262">
        <v>45316.45638888889</v>
      </c>
      <c r="K4" s="17" t="s">
        <v>139</v>
      </c>
    </row>
    <row r="5">
      <c r="A5" s="17">
        <v>4.0</v>
      </c>
      <c r="E5" s="17" t="s">
        <v>135</v>
      </c>
      <c r="F5" s="17" t="s">
        <v>136</v>
      </c>
      <c r="G5" s="261" t="s">
        <v>3932</v>
      </c>
      <c r="H5" s="261" t="s">
        <v>3931</v>
      </c>
      <c r="I5" s="261" t="s">
        <v>136</v>
      </c>
      <c r="J5" s="262">
        <v>45316.46221064815</v>
      </c>
      <c r="K5" s="17" t="s">
        <v>139</v>
      </c>
    </row>
    <row r="6">
      <c r="A6" s="17">
        <v>5.0</v>
      </c>
      <c r="E6" s="263" t="s">
        <v>136</v>
      </c>
      <c r="F6" s="17" t="s">
        <v>136</v>
      </c>
      <c r="G6" s="261" t="s">
        <v>1053</v>
      </c>
      <c r="H6" s="261" t="s">
        <v>3931</v>
      </c>
      <c r="I6" s="261" t="s">
        <v>136</v>
      </c>
      <c r="J6" s="262">
        <v>45316.462789351855</v>
      </c>
      <c r="K6" s="17" t="s">
        <v>139</v>
      </c>
    </row>
    <row r="7">
      <c r="A7" s="17">
        <v>6.0</v>
      </c>
      <c r="E7" s="263" t="s">
        <v>136</v>
      </c>
      <c r="F7" s="17" t="s">
        <v>136</v>
      </c>
      <c r="G7" s="261" t="s">
        <v>3933</v>
      </c>
      <c r="H7" s="261" t="s">
        <v>3931</v>
      </c>
      <c r="I7" s="261" t="s">
        <v>135</v>
      </c>
      <c r="J7" s="262">
        <v>45316.46297453704</v>
      </c>
      <c r="K7" s="17" t="s">
        <v>139</v>
      </c>
    </row>
    <row r="8">
      <c r="A8" s="17">
        <v>7.0</v>
      </c>
      <c r="E8" s="263" t="s">
        <v>136</v>
      </c>
      <c r="F8" s="17" t="s">
        <v>136</v>
      </c>
      <c r="G8" s="261" t="s">
        <v>3934</v>
      </c>
      <c r="H8" s="261" t="s">
        <v>3931</v>
      </c>
      <c r="I8" s="261" t="s">
        <v>136</v>
      </c>
      <c r="J8" s="262">
        <v>45316.46372685185</v>
      </c>
      <c r="K8" s="17" t="s">
        <v>139</v>
      </c>
    </row>
    <row r="9">
      <c r="A9" s="17">
        <v>8.0</v>
      </c>
      <c r="E9" s="263" t="s">
        <v>136</v>
      </c>
      <c r="F9" s="17" t="s">
        <v>136</v>
      </c>
      <c r="G9" s="261" t="s">
        <v>3585</v>
      </c>
      <c r="H9" s="261" t="s">
        <v>3931</v>
      </c>
      <c r="I9" s="261" t="s">
        <v>135</v>
      </c>
      <c r="J9" s="262">
        <v>45316.46386574074</v>
      </c>
      <c r="K9" s="17" t="s">
        <v>139</v>
      </c>
    </row>
    <row r="10">
      <c r="A10" s="17">
        <v>9.0</v>
      </c>
      <c r="E10" s="263" t="s">
        <v>136</v>
      </c>
      <c r="F10" s="17" t="s">
        <v>136</v>
      </c>
      <c r="G10" s="261" t="s">
        <v>3100</v>
      </c>
      <c r="H10" s="261" t="s">
        <v>3931</v>
      </c>
      <c r="I10" s="261" t="s">
        <v>136</v>
      </c>
      <c r="J10" s="262">
        <v>45316.46394675926</v>
      </c>
      <c r="K10" s="17" t="s">
        <v>139</v>
      </c>
    </row>
    <row r="11">
      <c r="A11" s="17">
        <v>10.0</v>
      </c>
      <c r="E11" s="263" t="s">
        <v>136</v>
      </c>
      <c r="F11" s="17" t="s">
        <v>135</v>
      </c>
      <c r="G11" s="261" t="s">
        <v>3935</v>
      </c>
      <c r="H11" s="261" t="s">
        <v>3931</v>
      </c>
      <c r="I11" s="261" t="s">
        <v>136</v>
      </c>
      <c r="J11" s="262">
        <v>45316.464421296296</v>
      </c>
      <c r="K11" s="17" t="s">
        <v>139</v>
      </c>
    </row>
    <row r="12">
      <c r="A12" s="17">
        <v>11.0</v>
      </c>
      <c r="E12" s="17" t="s">
        <v>135</v>
      </c>
      <c r="F12" s="17" t="s">
        <v>136</v>
      </c>
      <c r="G12" s="261" t="s">
        <v>3936</v>
      </c>
      <c r="H12" s="261" t="s">
        <v>3931</v>
      </c>
      <c r="I12" s="261" t="s">
        <v>135</v>
      </c>
      <c r="J12" s="262">
        <v>45316.46486111111</v>
      </c>
      <c r="K12" s="17" t="s">
        <v>139</v>
      </c>
    </row>
    <row r="13">
      <c r="A13" s="17">
        <v>12.0</v>
      </c>
      <c r="E13" s="263" t="s">
        <v>136</v>
      </c>
      <c r="F13" s="17" t="s">
        <v>136</v>
      </c>
      <c r="G13" s="261" t="s">
        <v>385</v>
      </c>
      <c r="H13" s="261" t="s">
        <v>3930</v>
      </c>
      <c r="I13" s="261" t="s">
        <v>136</v>
      </c>
      <c r="J13" s="262">
        <v>45316.464907407404</v>
      </c>
      <c r="K13" s="17" t="s">
        <v>139</v>
      </c>
    </row>
    <row r="14">
      <c r="A14" s="17">
        <v>13.0</v>
      </c>
      <c r="E14" s="17" t="s">
        <v>135</v>
      </c>
      <c r="F14" s="17" t="s">
        <v>136</v>
      </c>
      <c r="G14" s="261" t="s">
        <v>3596</v>
      </c>
      <c r="H14" s="261" t="s">
        <v>3930</v>
      </c>
      <c r="I14" s="261" t="s">
        <v>136</v>
      </c>
      <c r="J14" s="262">
        <v>45316.46543981481</v>
      </c>
      <c r="K14" s="17" t="s">
        <v>139</v>
      </c>
    </row>
    <row r="15">
      <c r="A15" s="17">
        <v>14.0</v>
      </c>
      <c r="E15" s="263" t="s">
        <v>136</v>
      </c>
      <c r="F15" s="17" t="s">
        <v>136</v>
      </c>
      <c r="G15" s="261" t="s">
        <v>411</v>
      </c>
      <c r="H15" s="261" t="s">
        <v>3931</v>
      </c>
      <c r="I15" s="261" t="s">
        <v>136</v>
      </c>
      <c r="J15" s="262">
        <v>45316.46545138889</v>
      </c>
      <c r="K15" s="17" t="s">
        <v>139</v>
      </c>
    </row>
    <row r="16">
      <c r="A16" s="17">
        <v>15.0</v>
      </c>
      <c r="E16" s="263" t="s">
        <v>136</v>
      </c>
      <c r="F16" s="17" t="s">
        <v>136</v>
      </c>
      <c r="G16" s="261" t="s">
        <v>3937</v>
      </c>
      <c r="H16" s="261" t="s">
        <v>3931</v>
      </c>
      <c r="I16" s="261" t="s">
        <v>136</v>
      </c>
      <c r="J16" s="262">
        <v>45316.465729166666</v>
      </c>
      <c r="K16" s="17" t="s">
        <v>139</v>
      </c>
    </row>
    <row r="17">
      <c r="A17" s="17">
        <v>16.0</v>
      </c>
      <c r="E17" s="263" t="s">
        <v>136</v>
      </c>
      <c r="F17" s="17" t="s">
        <v>136</v>
      </c>
      <c r="G17" s="261" t="s">
        <v>137</v>
      </c>
      <c r="H17" s="261" t="s">
        <v>3938</v>
      </c>
      <c r="I17" s="261" t="s">
        <v>135</v>
      </c>
      <c r="J17" s="262">
        <v>45316.46576388889</v>
      </c>
      <c r="K17" s="17" t="s">
        <v>139</v>
      </c>
    </row>
    <row r="18">
      <c r="A18" s="17">
        <v>17.0</v>
      </c>
      <c r="E18" s="263" t="s">
        <v>136</v>
      </c>
      <c r="F18" s="17" t="s">
        <v>136</v>
      </c>
      <c r="G18" s="261" t="s">
        <v>1053</v>
      </c>
      <c r="H18" s="261" t="s">
        <v>3930</v>
      </c>
      <c r="I18" s="261" t="s">
        <v>135</v>
      </c>
      <c r="J18" s="262">
        <v>45316.46587962963</v>
      </c>
      <c r="K18" s="17" t="s">
        <v>139</v>
      </c>
    </row>
    <row r="19">
      <c r="A19" s="17">
        <v>18.0</v>
      </c>
      <c r="E19" s="17" t="s">
        <v>135</v>
      </c>
      <c r="F19" s="17" t="s">
        <v>135</v>
      </c>
      <c r="G19" s="261" t="s">
        <v>1675</v>
      </c>
      <c r="H19" s="261" t="s">
        <v>3938</v>
      </c>
      <c r="I19" s="261" t="s">
        <v>136</v>
      </c>
      <c r="J19" s="262">
        <v>45316.465891203705</v>
      </c>
      <c r="K19" s="17" t="s">
        <v>139</v>
      </c>
    </row>
    <row r="20">
      <c r="A20" s="17">
        <v>19.0</v>
      </c>
      <c r="E20" s="263" t="s">
        <v>136</v>
      </c>
      <c r="F20" s="17" t="s">
        <v>136</v>
      </c>
      <c r="G20" s="261" t="s">
        <v>3939</v>
      </c>
      <c r="H20" s="261" t="s">
        <v>3931</v>
      </c>
      <c r="I20" s="261" t="s">
        <v>136</v>
      </c>
      <c r="J20" s="262">
        <v>45316.46592592593</v>
      </c>
      <c r="K20" s="17" t="s">
        <v>139</v>
      </c>
    </row>
    <row r="21">
      <c r="A21" s="17">
        <v>20.0</v>
      </c>
      <c r="E21" s="263" t="s">
        <v>136</v>
      </c>
      <c r="F21" s="17" t="s">
        <v>136</v>
      </c>
      <c r="G21" s="261" t="s">
        <v>3940</v>
      </c>
      <c r="H21" s="261" t="s">
        <v>3930</v>
      </c>
      <c r="I21" s="261" t="s">
        <v>136</v>
      </c>
      <c r="J21" s="262">
        <v>45316.4659837963</v>
      </c>
      <c r="K21" s="17" t="s">
        <v>139</v>
      </c>
    </row>
    <row r="22">
      <c r="A22" s="17">
        <v>21.0</v>
      </c>
      <c r="E22" s="263" t="s">
        <v>136</v>
      </c>
      <c r="F22" s="17" t="s">
        <v>136</v>
      </c>
      <c r="G22" s="261" t="s">
        <v>3647</v>
      </c>
      <c r="H22" s="261" t="s">
        <v>3931</v>
      </c>
      <c r="I22" s="261" t="s">
        <v>136</v>
      </c>
      <c r="J22" s="262">
        <v>45316.46638888889</v>
      </c>
      <c r="K22" s="17" t="s">
        <v>139</v>
      </c>
    </row>
    <row r="23">
      <c r="A23" s="17">
        <v>22.0</v>
      </c>
      <c r="E23" s="263" t="s">
        <v>136</v>
      </c>
      <c r="F23" s="17" t="s">
        <v>136</v>
      </c>
      <c r="G23" s="261" t="s">
        <v>385</v>
      </c>
      <c r="H23" s="261" t="s">
        <v>3930</v>
      </c>
      <c r="I23" s="261" t="s">
        <v>136</v>
      </c>
      <c r="J23" s="262">
        <v>45316.46653935185</v>
      </c>
      <c r="K23" s="17" t="s">
        <v>139</v>
      </c>
    </row>
    <row r="24">
      <c r="A24" s="17">
        <v>23.0</v>
      </c>
      <c r="E24" s="17" t="s">
        <v>135</v>
      </c>
      <c r="F24" s="17" t="s">
        <v>136</v>
      </c>
      <c r="G24" s="261" t="s">
        <v>3941</v>
      </c>
      <c r="H24" s="261" t="s">
        <v>3930</v>
      </c>
      <c r="I24" s="261" t="s">
        <v>136</v>
      </c>
      <c r="J24" s="262">
        <v>45316.46712962963</v>
      </c>
      <c r="K24" s="17" t="s">
        <v>139</v>
      </c>
    </row>
    <row r="25">
      <c r="A25" s="17">
        <v>24.0</v>
      </c>
      <c r="E25" s="263" t="s">
        <v>136</v>
      </c>
      <c r="F25" s="17" t="s">
        <v>136</v>
      </c>
      <c r="G25" s="261" t="s">
        <v>1053</v>
      </c>
      <c r="H25" s="261" t="s">
        <v>3930</v>
      </c>
      <c r="I25" s="261" t="s">
        <v>135</v>
      </c>
      <c r="J25" s="262">
        <v>45316.467141203706</v>
      </c>
      <c r="K25" s="17" t="s">
        <v>139</v>
      </c>
    </row>
    <row r="26">
      <c r="A26" s="17">
        <v>25.0</v>
      </c>
      <c r="E26" s="17" t="s">
        <v>135</v>
      </c>
      <c r="F26" s="17" t="s">
        <v>136</v>
      </c>
      <c r="G26" s="261" t="s">
        <v>3600</v>
      </c>
      <c r="H26" s="261" t="s">
        <v>3931</v>
      </c>
      <c r="I26" s="261" t="s">
        <v>136</v>
      </c>
      <c r="J26" s="262">
        <v>45316.467627314814</v>
      </c>
      <c r="K26" s="17" t="s">
        <v>139</v>
      </c>
    </row>
    <row r="27">
      <c r="A27" s="17">
        <v>26.0</v>
      </c>
      <c r="E27" s="263" t="s">
        <v>136</v>
      </c>
      <c r="F27" s="17" t="s">
        <v>136</v>
      </c>
      <c r="G27" s="261" t="s">
        <v>3942</v>
      </c>
      <c r="H27" s="261" t="s">
        <v>3931</v>
      </c>
      <c r="I27" s="261" t="s">
        <v>136</v>
      </c>
      <c r="J27" s="262">
        <v>45316.467673611114</v>
      </c>
      <c r="K27" s="17" t="s">
        <v>139</v>
      </c>
    </row>
    <row r="28">
      <c r="A28" s="17">
        <v>27.0</v>
      </c>
      <c r="E28" s="263" t="s">
        <v>136</v>
      </c>
      <c r="F28" s="17" t="s">
        <v>136</v>
      </c>
      <c r="G28" s="261" t="s">
        <v>3943</v>
      </c>
      <c r="H28" s="261" t="s">
        <v>3931</v>
      </c>
      <c r="I28" s="261" t="s">
        <v>136</v>
      </c>
      <c r="J28" s="262">
        <v>45316.46802083333</v>
      </c>
      <c r="K28" s="17" t="s">
        <v>139</v>
      </c>
    </row>
    <row r="29">
      <c r="A29" s="17">
        <v>28.0</v>
      </c>
      <c r="E29" s="263" t="s">
        <v>136</v>
      </c>
      <c r="F29" s="17" t="s">
        <v>136</v>
      </c>
      <c r="G29" s="261" t="s">
        <v>3944</v>
      </c>
      <c r="H29" s="261" t="s">
        <v>3931</v>
      </c>
      <c r="I29" s="261" t="s">
        <v>135</v>
      </c>
      <c r="J29" s="262">
        <v>45316.468194444446</v>
      </c>
      <c r="K29" s="17" t="s">
        <v>139</v>
      </c>
    </row>
    <row r="30">
      <c r="A30" s="17">
        <v>29.0</v>
      </c>
      <c r="E30" s="263" t="s">
        <v>136</v>
      </c>
      <c r="F30" s="17" t="s">
        <v>136</v>
      </c>
      <c r="G30" s="261" t="s">
        <v>411</v>
      </c>
      <c r="H30" s="261" t="s">
        <v>3930</v>
      </c>
      <c r="I30" s="261" t="s">
        <v>135</v>
      </c>
      <c r="J30" s="262">
        <v>45316.47046296296</v>
      </c>
      <c r="K30" s="17" t="s">
        <v>139</v>
      </c>
    </row>
    <row r="31">
      <c r="A31" s="17">
        <v>30.0</v>
      </c>
      <c r="E31" s="17" t="s">
        <v>135</v>
      </c>
      <c r="F31" s="17" t="s">
        <v>136</v>
      </c>
      <c r="G31" s="261" t="s">
        <v>3945</v>
      </c>
      <c r="H31" s="261" t="s">
        <v>3931</v>
      </c>
      <c r="I31" s="261" t="s">
        <v>136</v>
      </c>
      <c r="J31" s="262">
        <v>45316.470659722225</v>
      </c>
      <c r="K31" s="17" t="s">
        <v>139</v>
      </c>
    </row>
    <row r="32">
      <c r="A32" s="17">
        <v>31.0</v>
      </c>
      <c r="E32" s="263" t="s">
        <v>136</v>
      </c>
      <c r="F32" s="17" t="s">
        <v>136</v>
      </c>
      <c r="G32" s="261" t="s">
        <v>3946</v>
      </c>
      <c r="H32" s="261" t="s">
        <v>3931</v>
      </c>
      <c r="I32" s="261" t="s">
        <v>136</v>
      </c>
      <c r="J32" s="262">
        <v>45316.47101851852</v>
      </c>
      <c r="K32" s="17" t="s">
        <v>139</v>
      </c>
    </row>
    <row r="33">
      <c r="A33" s="17">
        <v>32.0</v>
      </c>
      <c r="E33" s="17" t="s">
        <v>135</v>
      </c>
      <c r="F33" s="17" t="s">
        <v>136</v>
      </c>
      <c r="G33" s="261" t="s">
        <v>137</v>
      </c>
      <c r="H33" s="261" t="s">
        <v>3938</v>
      </c>
      <c r="I33" s="261" t="s">
        <v>135</v>
      </c>
      <c r="J33" s="262">
        <v>45316.4712037037</v>
      </c>
      <c r="K33" s="17" t="s">
        <v>139</v>
      </c>
    </row>
    <row r="34">
      <c r="A34" s="17">
        <v>33.0</v>
      </c>
      <c r="E34" s="17" t="s">
        <v>135</v>
      </c>
      <c r="F34" s="17" t="s">
        <v>136</v>
      </c>
      <c r="G34" s="261" t="s">
        <v>3600</v>
      </c>
      <c r="H34" s="261" t="s">
        <v>3930</v>
      </c>
      <c r="I34" s="261" t="s">
        <v>136</v>
      </c>
      <c r="J34" s="262">
        <v>45316.47149305556</v>
      </c>
      <c r="K34" s="17" t="s">
        <v>139</v>
      </c>
    </row>
    <row r="35">
      <c r="A35" s="17">
        <v>34.0</v>
      </c>
      <c r="E35" s="263" t="s">
        <v>136</v>
      </c>
      <c r="F35" s="17" t="s">
        <v>136</v>
      </c>
      <c r="G35" s="261" t="s">
        <v>3947</v>
      </c>
      <c r="H35" s="261" t="s">
        <v>3931</v>
      </c>
      <c r="I35" s="261" t="s">
        <v>136</v>
      </c>
      <c r="J35" s="262">
        <v>45316.472083333334</v>
      </c>
      <c r="K35" s="17" t="s">
        <v>139</v>
      </c>
    </row>
    <row r="36">
      <c r="A36" s="17">
        <v>35.0</v>
      </c>
      <c r="E36" s="263" t="s">
        <v>136</v>
      </c>
      <c r="F36" s="17" t="s">
        <v>136</v>
      </c>
      <c r="G36" s="261" t="s">
        <v>3944</v>
      </c>
      <c r="H36" s="261" t="s">
        <v>3930</v>
      </c>
      <c r="I36" s="261" t="s">
        <v>136</v>
      </c>
      <c r="J36" s="262">
        <v>45316.472592592596</v>
      </c>
      <c r="K36" s="17" t="s">
        <v>139</v>
      </c>
    </row>
    <row r="37">
      <c r="A37" s="17">
        <v>36.0</v>
      </c>
      <c r="E37" s="263" t="s">
        <v>136</v>
      </c>
      <c r="F37" s="17" t="s">
        <v>136</v>
      </c>
      <c r="G37" s="261" t="s">
        <v>411</v>
      </c>
      <c r="H37" s="261" t="s">
        <v>3931</v>
      </c>
      <c r="I37" s="261" t="s">
        <v>136</v>
      </c>
      <c r="J37" s="262">
        <v>45316.47304398148</v>
      </c>
      <c r="K37" s="17" t="s">
        <v>139</v>
      </c>
    </row>
    <row r="38">
      <c r="A38" s="17">
        <v>37.0</v>
      </c>
      <c r="E38" s="263" t="s">
        <v>136</v>
      </c>
      <c r="F38" s="17" t="s">
        <v>136</v>
      </c>
      <c r="G38" s="261" t="s">
        <v>3948</v>
      </c>
      <c r="H38" s="261" t="s">
        <v>3938</v>
      </c>
      <c r="I38" s="261" t="s">
        <v>136</v>
      </c>
      <c r="J38" s="262">
        <v>45316.473807870374</v>
      </c>
      <c r="K38" s="17" t="s">
        <v>139</v>
      </c>
    </row>
    <row r="39">
      <c r="A39" s="17">
        <v>38.0</v>
      </c>
      <c r="E39" s="263" t="s">
        <v>136</v>
      </c>
      <c r="F39" s="17" t="s">
        <v>136</v>
      </c>
      <c r="G39" s="261" t="s">
        <v>411</v>
      </c>
      <c r="H39" s="261" t="s">
        <v>3931</v>
      </c>
      <c r="I39" s="261" t="s">
        <v>136</v>
      </c>
      <c r="J39" s="262">
        <v>45316.47414351852</v>
      </c>
      <c r="K39" s="17" t="s">
        <v>139</v>
      </c>
    </row>
    <row r="40">
      <c r="A40" s="17">
        <v>39.0</v>
      </c>
      <c r="E40" s="263" t="s">
        <v>136</v>
      </c>
      <c r="F40" s="17" t="s">
        <v>136</v>
      </c>
      <c r="G40" s="261" t="s">
        <v>3949</v>
      </c>
      <c r="H40" s="261" t="s">
        <v>3931</v>
      </c>
      <c r="I40" s="261" t="s">
        <v>136</v>
      </c>
      <c r="J40" s="262">
        <v>45316.47439814815</v>
      </c>
      <c r="K40" s="17" t="s">
        <v>139</v>
      </c>
    </row>
    <row r="41">
      <c r="A41" s="17">
        <v>40.0</v>
      </c>
      <c r="E41" s="17" t="s">
        <v>135</v>
      </c>
      <c r="F41" s="17" t="s">
        <v>136</v>
      </c>
      <c r="G41" s="261" t="s">
        <v>3950</v>
      </c>
      <c r="H41" s="261" t="s">
        <v>3931</v>
      </c>
      <c r="I41" s="261" t="s">
        <v>135</v>
      </c>
      <c r="J41" s="262">
        <v>45316.4747337963</v>
      </c>
      <c r="K41" s="17" t="s">
        <v>139</v>
      </c>
    </row>
    <row r="42">
      <c r="A42" s="17">
        <v>41.0</v>
      </c>
      <c r="E42" s="263" t="s">
        <v>136</v>
      </c>
      <c r="F42" s="17" t="s">
        <v>136</v>
      </c>
      <c r="G42" s="261" t="s">
        <v>3951</v>
      </c>
      <c r="H42" s="261" t="s">
        <v>3930</v>
      </c>
      <c r="I42" s="261" t="s">
        <v>136</v>
      </c>
      <c r="J42" s="262">
        <v>45316.474814814814</v>
      </c>
      <c r="K42" s="17" t="s">
        <v>139</v>
      </c>
    </row>
    <row r="43">
      <c r="A43" s="17">
        <v>42.0</v>
      </c>
      <c r="E43" s="263" t="s">
        <v>136</v>
      </c>
      <c r="F43" s="17" t="s">
        <v>136</v>
      </c>
      <c r="G43" s="261" t="s">
        <v>3619</v>
      </c>
      <c r="H43" s="261" t="s">
        <v>3930</v>
      </c>
      <c r="I43" s="261" t="s">
        <v>135</v>
      </c>
      <c r="J43" s="262">
        <v>45316.477002314816</v>
      </c>
      <c r="K43" s="17" t="s">
        <v>139</v>
      </c>
    </row>
    <row r="44">
      <c r="A44" s="17">
        <v>43.0</v>
      </c>
      <c r="E44" s="263" t="s">
        <v>136</v>
      </c>
      <c r="F44" s="17" t="s">
        <v>136</v>
      </c>
      <c r="G44" s="261" t="s">
        <v>137</v>
      </c>
      <c r="H44" s="261" t="s">
        <v>3931</v>
      </c>
      <c r="I44" s="261" t="s">
        <v>136</v>
      </c>
      <c r="J44" s="262">
        <v>45316.477627314816</v>
      </c>
      <c r="K44" s="17" t="s">
        <v>139</v>
      </c>
    </row>
    <row r="45">
      <c r="A45" s="17">
        <v>44.0</v>
      </c>
      <c r="E45" s="263" t="s">
        <v>136</v>
      </c>
      <c r="F45" s="17" t="s">
        <v>136</v>
      </c>
      <c r="G45" s="261" t="s">
        <v>3952</v>
      </c>
      <c r="H45" s="261" t="s">
        <v>3930</v>
      </c>
      <c r="I45" s="261" t="s">
        <v>136</v>
      </c>
      <c r="J45" s="262">
        <v>45316.48011574074</v>
      </c>
      <c r="K45" s="17" t="s">
        <v>139</v>
      </c>
    </row>
    <row r="46">
      <c r="A46" s="17">
        <v>45.0</v>
      </c>
      <c r="E46" s="263" t="s">
        <v>136</v>
      </c>
      <c r="F46" s="17" t="s">
        <v>136</v>
      </c>
      <c r="G46" s="261" t="s">
        <v>3953</v>
      </c>
      <c r="H46" s="261" t="s">
        <v>3930</v>
      </c>
      <c r="I46" s="261" t="s">
        <v>135</v>
      </c>
      <c r="J46" s="262">
        <v>45316.48038194444</v>
      </c>
      <c r="K46" s="17" t="s">
        <v>139</v>
      </c>
    </row>
    <row r="47">
      <c r="A47" s="17">
        <v>46.0</v>
      </c>
      <c r="E47" s="17" t="s">
        <v>135</v>
      </c>
      <c r="F47" s="17" t="s">
        <v>135</v>
      </c>
      <c r="G47" s="261" t="s">
        <v>1675</v>
      </c>
      <c r="H47" s="261" t="s">
        <v>3930</v>
      </c>
      <c r="I47" s="261" t="s">
        <v>135</v>
      </c>
      <c r="J47" s="262">
        <v>45316.480462962965</v>
      </c>
      <c r="K47" s="17" t="s">
        <v>139</v>
      </c>
    </row>
    <row r="48">
      <c r="A48" s="17">
        <v>47.0</v>
      </c>
      <c r="E48" s="17" t="s">
        <v>135</v>
      </c>
      <c r="F48" s="17" t="s">
        <v>135</v>
      </c>
      <c r="G48" s="261" t="s">
        <v>1675</v>
      </c>
      <c r="H48" s="261" t="s">
        <v>3931</v>
      </c>
      <c r="I48" s="261" t="s">
        <v>136</v>
      </c>
      <c r="J48" s="262">
        <v>45316.480833333335</v>
      </c>
      <c r="K48" s="17" t="s">
        <v>139</v>
      </c>
    </row>
    <row r="49">
      <c r="A49" s="17">
        <v>48.0</v>
      </c>
      <c r="E49" s="263" t="s">
        <v>136</v>
      </c>
      <c r="F49" s="17" t="s">
        <v>136</v>
      </c>
      <c r="G49" s="261" t="s">
        <v>3597</v>
      </c>
      <c r="H49" s="261" t="s">
        <v>3938</v>
      </c>
      <c r="I49" s="261" t="s">
        <v>136</v>
      </c>
      <c r="J49" s="262">
        <v>45316.480844907404</v>
      </c>
      <c r="K49" s="17" t="s">
        <v>139</v>
      </c>
    </row>
    <row r="50">
      <c r="A50" s="17">
        <v>49.0</v>
      </c>
      <c r="E50" s="263" t="s">
        <v>136</v>
      </c>
      <c r="F50" s="17" t="s">
        <v>136</v>
      </c>
      <c r="G50" s="261" t="s">
        <v>3954</v>
      </c>
      <c r="H50" s="261" t="s">
        <v>3931</v>
      </c>
      <c r="I50" s="261" t="s">
        <v>135</v>
      </c>
      <c r="J50" s="262">
        <v>45316.48097222222</v>
      </c>
      <c r="K50" s="17" t="s">
        <v>139</v>
      </c>
    </row>
    <row r="51">
      <c r="A51" s="17">
        <v>50.0</v>
      </c>
      <c r="E51" s="263" t="s">
        <v>136</v>
      </c>
      <c r="F51" s="17" t="s">
        <v>136</v>
      </c>
      <c r="G51" s="261" t="s">
        <v>3955</v>
      </c>
      <c r="H51" s="261" t="s">
        <v>3931</v>
      </c>
      <c r="I51" s="261" t="s">
        <v>136</v>
      </c>
      <c r="J51" s="262">
        <v>45316.481203703705</v>
      </c>
      <c r="K51" s="17" t="s">
        <v>139</v>
      </c>
    </row>
    <row r="52">
      <c r="A52" s="17">
        <v>51.0</v>
      </c>
      <c r="E52" s="263" t="s">
        <v>136</v>
      </c>
      <c r="F52" s="17" t="s">
        <v>136</v>
      </c>
      <c r="G52" s="261" t="s">
        <v>3956</v>
      </c>
      <c r="H52" s="261" t="s">
        <v>3931</v>
      </c>
      <c r="I52" s="261" t="s">
        <v>136</v>
      </c>
      <c r="J52" s="262">
        <v>45316.481527777774</v>
      </c>
      <c r="K52" s="17" t="s">
        <v>139</v>
      </c>
    </row>
    <row r="53">
      <c r="A53" s="17">
        <v>52.0</v>
      </c>
      <c r="E53" s="17" t="s">
        <v>135</v>
      </c>
      <c r="F53" s="17" t="s">
        <v>136</v>
      </c>
      <c r="G53" s="261" t="s">
        <v>3666</v>
      </c>
      <c r="H53" s="261" t="s">
        <v>3931</v>
      </c>
      <c r="I53" s="261" t="s">
        <v>135</v>
      </c>
      <c r="J53" s="262">
        <v>45316.48175925926</v>
      </c>
      <c r="K53" s="17" t="s">
        <v>139</v>
      </c>
    </row>
    <row r="54">
      <c r="A54" s="17">
        <v>53.0</v>
      </c>
      <c r="E54" s="263" t="s">
        <v>136</v>
      </c>
      <c r="F54" s="17" t="s">
        <v>136</v>
      </c>
      <c r="G54" s="261" t="s">
        <v>3957</v>
      </c>
      <c r="H54" s="261" t="s">
        <v>3958</v>
      </c>
      <c r="I54" s="261" t="s">
        <v>136</v>
      </c>
      <c r="J54" s="262">
        <v>45316.48224537037</v>
      </c>
      <c r="K54" s="17" t="s">
        <v>139</v>
      </c>
    </row>
    <row r="55">
      <c r="A55" s="17">
        <v>54.0</v>
      </c>
      <c r="E55" s="263" t="s">
        <v>136</v>
      </c>
      <c r="F55" s="17" t="s">
        <v>136</v>
      </c>
      <c r="G55" s="261" t="s">
        <v>3959</v>
      </c>
      <c r="H55" s="261" t="s">
        <v>3930</v>
      </c>
      <c r="I55" s="261" t="s">
        <v>136</v>
      </c>
      <c r="J55" s="262">
        <v>45316.48226851852</v>
      </c>
      <c r="K55" s="17" t="s">
        <v>139</v>
      </c>
    </row>
    <row r="56">
      <c r="A56" s="17">
        <v>55.0</v>
      </c>
      <c r="E56" s="263" t="s">
        <v>136</v>
      </c>
      <c r="F56" s="17" t="s">
        <v>136</v>
      </c>
      <c r="G56" s="261" t="s">
        <v>3960</v>
      </c>
      <c r="H56" s="261" t="s">
        <v>3930</v>
      </c>
      <c r="I56" s="261" t="s">
        <v>135</v>
      </c>
      <c r="J56" s="262">
        <v>45316.4825462963</v>
      </c>
      <c r="K56" s="17" t="s">
        <v>139</v>
      </c>
    </row>
    <row r="57">
      <c r="A57" s="17">
        <v>56.0</v>
      </c>
      <c r="E57" s="17" t="s">
        <v>135</v>
      </c>
      <c r="F57" s="17" t="s">
        <v>136</v>
      </c>
      <c r="G57" s="261" t="s">
        <v>411</v>
      </c>
      <c r="H57" s="261" t="s">
        <v>3938</v>
      </c>
      <c r="I57" s="261" t="s">
        <v>135</v>
      </c>
      <c r="J57" s="262">
        <v>45316.483090277776</v>
      </c>
      <c r="K57" s="17" t="s">
        <v>139</v>
      </c>
    </row>
    <row r="58">
      <c r="A58" s="17">
        <v>57.0</v>
      </c>
      <c r="E58" s="263" t="s">
        <v>136</v>
      </c>
      <c r="F58" s="17" t="s">
        <v>136</v>
      </c>
      <c r="G58" s="261" t="s">
        <v>3932</v>
      </c>
      <c r="H58" s="261" t="s">
        <v>3931</v>
      </c>
      <c r="I58" s="261" t="s">
        <v>136</v>
      </c>
      <c r="J58" s="262">
        <v>45316.484189814815</v>
      </c>
      <c r="K58" s="17" t="s">
        <v>139</v>
      </c>
    </row>
    <row r="59">
      <c r="A59" s="17">
        <v>58.0</v>
      </c>
      <c r="E59" s="17" t="s">
        <v>135</v>
      </c>
      <c r="F59" s="17" t="s">
        <v>136</v>
      </c>
      <c r="G59" s="261" t="s">
        <v>137</v>
      </c>
      <c r="H59" s="261" t="s">
        <v>3930</v>
      </c>
      <c r="I59" s="261" t="s">
        <v>136</v>
      </c>
      <c r="J59" s="262">
        <v>45316.484976851854</v>
      </c>
      <c r="K59" s="17" t="s">
        <v>139</v>
      </c>
    </row>
    <row r="60">
      <c r="A60" s="17">
        <v>59.0</v>
      </c>
      <c r="E60" s="17" t="s">
        <v>135</v>
      </c>
      <c r="F60" s="17" t="s">
        <v>136</v>
      </c>
      <c r="G60" s="261" t="s">
        <v>411</v>
      </c>
      <c r="H60" s="261" t="s">
        <v>3931</v>
      </c>
      <c r="I60" s="261" t="s">
        <v>136</v>
      </c>
      <c r="J60" s="262">
        <v>45316.48517361111</v>
      </c>
      <c r="K60" s="17" t="s">
        <v>139</v>
      </c>
    </row>
    <row r="61">
      <c r="A61" s="17">
        <v>60.0</v>
      </c>
      <c r="E61" s="263" t="s">
        <v>136</v>
      </c>
      <c r="F61" s="17" t="s">
        <v>136</v>
      </c>
      <c r="G61" s="261" t="s">
        <v>137</v>
      </c>
      <c r="H61" s="261" t="s">
        <v>3930</v>
      </c>
      <c r="I61" s="261" t="s">
        <v>136</v>
      </c>
      <c r="J61" s="262">
        <v>45316.485439814816</v>
      </c>
      <c r="K61" s="17" t="s">
        <v>139</v>
      </c>
    </row>
    <row r="62">
      <c r="A62" s="17">
        <v>61.0</v>
      </c>
      <c r="E62" s="263" t="s">
        <v>136</v>
      </c>
      <c r="F62" s="17" t="s">
        <v>136</v>
      </c>
      <c r="G62" s="261" t="s">
        <v>137</v>
      </c>
      <c r="H62" s="261" t="s">
        <v>3931</v>
      </c>
      <c r="I62" s="261" t="s">
        <v>136</v>
      </c>
      <c r="J62" s="262">
        <v>45316.48670138889</v>
      </c>
      <c r="K62" s="17" t="s">
        <v>139</v>
      </c>
    </row>
    <row r="63">
      <c r="A63" s="17">
        <v>62.0</v>
      </c>
      <c r="E63" s="17" t="s">
        <v>135</v>
      </c>
      <c r="F63" s="17" t="s">
        <v>136</v>
      </c>
      <c r="G63" s="261" t="s">
        <v>3951</v>
      </c>
      <c r="H63" s="261" t="s">
        <v>3938</v>
      </c>
      <c r="I63" s="261" t="s">
        <v>136</v>
      </c>
      <c r="J63" s="262">
        <v>45316.48701388889</v>
      </c>
      <c r="K63" s="17" t="s">
        <v>139</v>
      </c>
    </row>
    <row r="64">
      <c r="A64" s="17">
        <v>63.0</v>
      </c>
      <c r="E64" s="263" t="s">
        <v>136</v>
      </c>
      <c r="F64" s="17" t="s">
        <v>136</v>
      </c>
      <c r="G64" s="261" t="s">
        <v>3961</v>
      </c>
      <c r="H64" s="261" t="s">
        <v>3931</v>
      </c>
      <c r="I64" s="261" t="s">
        <v>136</v>
      </c>
      <c r="J64" s="262">
        <v>45316.48878472222</v>
      </c>
      <c r="K64" s="17" t="s">
        <v>139</v>
      </c>
    </row>
    <row r="65">
      <c r="A65" s="17">
        <v>64.0</v>
      </c>
      <c r="E65" s="263" t="s">
        <v>136</v>
      </c>
      <c r="F65" s="17" t="s">
        <v>136</v>
      </c>
      <c r="G65" s="261" t="s">
        <v>137</v>
      </c>
      <c r="H65" s="261" t="s">
        <v>3931</v>
      </c>
      <c r="I65" s="261" t="s">
        <v>135</v>
      </c>
      <c r="J65" s="262">
        <v>45316.49145833333</v>
      </c>
      <c r="K65" s="17" t="s">
        <v>139</v>
      </c>
    </row>
    <row r="66">
      <c r="A66" s="17">
        <v>65.0</v>
      </c>
      <c r="E66" s="263" t="s">
        <v>136</v>
      </c>
      <c r="F66" s="17" t="s">
        <v>136</v>
      </c>
      <c r="G66" s="261" t="s">
        <v>3962</v>
      </c>
      <c r="H66" s="261" t="s">
        <v>3930</v>
      </c>
      <c r="I66" s="261" t="s">
        <v>136</v>
      </c>
      <c r="J66" s="262">
        <v>45316.49329861111</v>
      </c>
      <c r="K66" s="17" t="s">
        <v>139</v>
      </c>
    </row>
    <row r="67">
      <c r="A67" s="17">
        <v>66.0</v>
      </c>
      <c r="E67" s="17" t="s">
        <v>135</v>
      </c>
      <c r="F67" s="17" t="s">
        <v>135</v>
      </c>
      <c r="G67" s="261" t="s">
        <v>1675</v>
      </c>
      <c r="H67" s="261" t="s">
        <v>3938</v>
      </c>
      <c r="I67" s="261" t="s">
        <v>136</v>
      </c>
      <c r="J67" s="262">
        <v>45316.49538194444</v>
      </c>
      <c r="K67" s="17" t="s">
        <v>139</v>
      </c>
    </row>
    <row r="68">
      <c r="A68" s="17">
        <v>67.0</v>
      </c>
      <c r="E68" s="263" t="s">
        <v>136</v>
      </c>
      <c r="F68" s="17" t="s">
        <v>136</v>
      </c>
      <c r="G68" s="261" t="s">
        <v>3963</v>
      </c>
      <c r="H68" s="261" t="s">
        <v>3931</v>
      </c>
      <c r="I68" s="261" t="s">
        <v>136</v>
      </c>
      <c r="J68" s="262">
        <v>45316.4996875</v>
      </c>
      <c r="K68" s="17" t="s">
        <v>139</v>
      </c>
    </row>
    <row r="69">
      <c r="A69" s="17">
        <v>68.0</v>
      </c>
      <c r="E69" s="17" t="s">
        <v>135</v>
      </c>
      <c r="F69" s="17" t="s">
        <v>136</v>
      </c>
      <c r="G69" s="261" t="s">
        <v>3964</v>
      </c>
      <c r="H69" s="261" t="s">
        <v>3938</v>
      </c>
      <c r="I69" s="261" t="s">
        <v>135</v>
      </c>
      <c r="J69" s="262">
        <v>45316.50069444445</v>
      </c>
      <c r="K69" s="17" t="s">
        <v>139</v>
      </c>
    </row>
    <row r="70">
      <c r="A70" s="17">
        <v>69.0</v>
      </c>
      <c r="E70" s="263" t="s">
        <v>136</v>
      </c>
      <c r="F70" s="17" t="s">
        <v>136</v>
      </c>
      <c r="G70" s="261" t="s">
        <v>3965</v>
      </c>
      <c r="H70" s="261" t="s">
        <v>3930</v>
      </c>
      <c r="I70" s="261" t="s">
        <v>136</v>
      </c>
      <c r="J70" s="262">
        <v>45316.57659722222</v>
      </c>
      <c r="K70" s="17" t="s">
        <v>139</v>
      </c>
    </row>
    <row r="71">
      <c r="G71" s="261"/>
      <c r="H71" s="261"/>
      <c r="I71" s="261"/>
      <c r="J71" s="264"/>
    </row>
    <row r="72">
      <c r="G72" s="261"/>
      <c r="H72" s="261"/>
      <c r="I72" s="261"/>
      <c r="J72" s="264"/>
    </row>
    <row r="129">
      <c r="D129" s="265"/>
    </row>
    <row r="130">
      <c r="D130" s="266"/>
    </row>
    <row r="131">
      <c r="D131" s="265"/>
    </row>
    <row r="132">
      <c r="D132" s="266"/>
    </row>
    <row r="133">
      <c r="D133" s="265"/>
    </row>
    <row r="166">
      <c r="D166" s="266"/>
    </row>
    <row r="167">
      <c r="D167" s="265"/>
    </row>
    <row r="168">
      <c r="D168" s="266"/>
    </row>
    <row r="169">
      <c r="D169" s="265"/>
    </row>
    <row r="170">
      <c r="D170" s="266"/>
    </row>
    <row r="171">
      <c r="D171" s="265"/>
    </row>
    <row r="172">
      <c r="D172" s="266"/>
    </row>
    <row r="173">
      <c r="D173" s="265"/>
    </row>
    <row r="174">
      <c r="D174" s="266"/>
    </row>
    <row r="175">
      <c r="D175" s="265"/>
    </row>
    <row r="176">
      <c r="D176" s="266"/>
    </row>
    <row r="177">
      <c r="D177" s="265"/>
    </row>
    <row r="178">
      <c r="D178" s="266"/>
    </row>
    <row r="179">
      <c r="D179" s="265"/>
    </row>
    <row r="180">
      <c r="D180" s="266"/>
    </row>
    <row r="181">
      <c r="D181" s="265"/>
    </row>
    <row r="182">
      <c r="D182" s="266"/>
    </row>
    <row r="183">
      <c r="D183" s="265"/>
    </row>
    <row r="184">
      <c r="D184" s="266"/>
    </row>
    <row r="185">
      <c r="D185" s="265"/>
    </row>
    <row r="186">
      <c r="D186" s="266"/>
    </row>
    <row r="187">
      <c r="D187" s="265"/>
    </row>
    <row r="188">
      <c r="D188" s="266"/>
    </row>
    <row r="189">
      <c r="D189" s="265"/>
    </row>
    <row r="190">
      <c r="D190" s="266"/>
    </row>
    <row r="191">
      <c r="D191" s="265"/>
    </row>
    <row r="192">
      <c r="D192" s="266"/>
    </row>
    <row r="193">
      <c r="D193" s="265"/>
    </row>
    <row r="194">
      <c r="D194" s="266"/>
    </row>
    <row r="195">
      <c r="D195" s="265"/>
    </row>
    <row r="196">
      <c r="D196" s="266"/>
    </row>
    <row r="306">
      <c r="J306" s="267"/>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8.43"/>
  </cols>
  <sheetData>
    <row r="1" ht="22.5" customHeight="1">
      <c r="A1" s="268" t="s">
        <v>3966</v>
      </c>
      <c r="B1" s="268" t="s">
        <v>3967</v>
      </c>
      <c r="C1" s="268" t="s">
        <v>3968</v>
      </c>
      <c r="D1" s="268" t="s">
        <v>3969</v>
      </c>
      <c r="E1" s="268" t="s">
        <v>3970</v>
      </c>
      <c r="F1" s="268" t="s">
        <v>3971</v>
      </c>
      <c r="G1" s="268" t="s">
        <v>3972</v>
      </c>
      <c r="H1" s="268" t="s">
        <v>3973</v>
      </c>
      <c r="I1" s="268" t="s">
        <v>3974</v>
      </c>
      <c r="J1" s="268" t="s">
        <v>3975</v>
      </c>
      <c r="K1" s="268" t="s">
        <v>3976</v>
      </c>
      <c r="L1" s="268" t="s">
        <v>3977</v>
      </c>
      <c r="M1" s="268" t="s">
        <v>3978</v>
      </c>
      <c r="N1" s="268" t="s">
        <v>3979</v>
      </c>
      <c r="O1" s="268" t="s">
        <v>3980</v>
      </c>
      <c r="P1" s="268" t="s">
        <v>3981</v>
      </c>
      <c r="Q1" s="268" t="s">
        <v>3982</v>
      </c>
      <c r="R1" s="268" t="s">
        <v>3983</v>
      </c>
      <c r="S1" s="268" t="s">
        <v>3984</v>
      </c>
      <c r="T1" s="268" t="s">
        <v>3985</v>
      </c>
      <c r="U1" s="268" t="s">
        <v>3986</v>
      </c>
      <c r="V1" s="268" t="s">
        <v>3987</v>
      </c>
      <c r="W1" s="268" t="s">
        <v>3988</v>
      </c>
      <c r="X1" s="268" t="s">
        <v>3989</v>
      </c>
      <c r="Y1" s="268" t="s">
        <v>3990</v>
      </c>
      <c r="Z1" s="268" t="s">
        <v>3991</v>
      </c>
      <c r="AA1" s="268" t="s">
        <v>3992</v>
      </c>
      <c r="AB1" s="268" t="s">
        <v>3993</v>
      </c>
      <c r="AC1" s="268" t="s">
        <v>3994</v>
      </c>
      <c r="AD1" s="268" t="s">
        <v>3995</v>
      </c>
      <c r="AE1" s="268" t="s">
        <v>3996</v>
      </c>
      <c r="AF1" s="268" t="s">
        <v>3997</v>
      </c>
    </row>
    <row r="2" ht="22.5" customHeight="1">
      <c r="A2" s="269">
        <v>46167.57413684028</v>
      </c>
      <c r="B2" s="270" t="s">
        <v>3998</v>
      </c>
      <c r="C2" s="270" t="s">
        <v>3580</v>
      </c>
      <c r="D2" s="271" t="s">
        <v>3999</v>
      </c>
      <c r="E2" s="270" t="s">
        <v>4000</v>
      </c>
      <c r="F2" s="270" t="s">
        <v>1488</v>
      </c>
      <c r="G2" s="270" t="s">
        <v>4001</v>
      </c>
      <c r="H2" s="270" t="s">
        <v>3931</v>
      </c>
      <c r="I2" s="270" t="s">
        <v>136</v>
      </c>
      <c r="J2" s="272"/>
      <c r="K2" s="272"/>
      <c r="L2" s="273">
        <v>10.0</v>
      </c>
      <c r="M2" s="273">
        <v>9.0</v>
      </c>
      <c r="N2" s="270" t="s">
        <v>4002</v>
      </c>
      <c r="O2" s="270" t="s">
        <v>4003</v>
      </c>
      <c r="P2" s="270" t="s">
        <v>4002</v>
      </c>
      <c r="Q2" s="270" t="s">
        <v>4003</v>
      </c>
      <c r="R2" s="270" t="s">
        <v>4002</v>
      </c>
      <c r="S2" s="273">
        <v>8.0</v>
      </c>
      <c r="T2" s="273">
        <v>10.0</v>
      </c>
      <c r="U2" s="272"/>
      <c r="V2" s="273">
        <v>9.0</v>
      </c>
      <c r="W2" s="273">
        <v>10.0</v>
      </c>
      <c r="X2" s="272"/>
      <c r="Y2" s="273">
        <v>10.0</v>
      </c>
      <c r="Z2" s="273">
        <v>10.0</v>
      </c>
      <c r="AA2" s="270" t="s">
        <v>4004</v>
      </c>
      <c r="AB2" s="270" t="s">
        <v>4005</v>
      </c>
      <c r="AC2" s="270" t="s">
        <v>4006</v>
      </c>
      <c r="AD2" s="270" t="s">
        <v>4006</v>
      </c>
      <c r="AE2" s="270" t="s">
        <v>4006</v>
      </c>
      <c r="AF2" s="270" t="s">
        <v>4007</v>
      </c>
    </row>
    <row r="3" ht="22.5" customHeight="1">
      <c r="A3" s="274">
        <v>46167.58349449074</v>
      </c>
      <c r="B3" s="275" t="s">
        <v>4008</v>
      </c>
      <c r="C3" s="270" t="s">
        <v>3580</v>
      </c>
      <c r="D3" s="271" t="s">
        <v>3999</v>
      </c>
      <c r="E3" s="275" t="s">
        <v>4000</v>
      </c>
      <c r="F3" s="275" t="s">
        <v>1488</v>
      </c>
      <c r="G3" s="275" t="s">
        <v>4009</v>
      </c>
      <c r="H3" s="275" t="s">
        <v>3938</v>
      </c>
      <c r="I3" s="275" t="s">
        <v>136</v>
      </c>
      <c r="J3" s="276"/>
      <c r="K3" s="276"/>
      <c r="L3" s="277">
        <v>8.0</v>
      </c>
      <c r="M3" s="277">
        <v>7.0</v>
      </c>
      <c r="N3" s="275" t="s">
        <v>4010</v>
      </c>
      <c r="O3" s="275" t="s">
        <v>4002</v>
      </c>
      <c r="P3" s="275" t="s">
        <v>4002</v>
      </c>
      <c r="Q3" s="275" t="s">
        <v>4002</v>
      </c>
      <c r="R3" s="275" t="s">
        <v>4002</v>
      </c>
      <c r="S3" s="277">
        <v>9.0</v>
      </c>
      <c r="T3" s="277">
        <v>10.0</v>
      </c>
      <c r="U3" s="276"/>
      <c r="V3" s="277">
        <v>8.0</v>
      </c>
      <c r="W3" s="277">
        <v>8.0</v>
      </c>
      <c r="X3" s="276"/>
      <c r="Y3" s="277">
        <v>9.0</v>
      </c>
      <c r="Z3" s="277">
        <v>8.0</v>
      </c>
      <c r="AA3" s="275" t="s">
        <v>4004</v>
      </c>
      <c r="AB3" s="275" t="s">
        <v>4006</v>
      </c>
      <c r="AC3" s="275" t="s">
        <v>4006</v>
      </c>
      <c r="AD3" s="275" t="s">
        <v>4006</v>
      </c>
      <c r="AE3" s="275" t="s">
        <v>4011</v>
      </c>
      <c r="AF3" s="275" t="s">
        <v>4012</v>
      </c>
    </row>
    <row r="4" ht="22.5" customHeight="1">
      <c r="A4" s="269">
        <v>46167.58565790509</v>
      </c>
      <c r="B4" s="270" t="s">
        <v>4013</v>
      </c>
      <c r="C4" s="270" t="s">
        <v>3580</v>
      </c>
      <c r="D4" s="271" t="s">
        <v>3999</v>
      </c>
      <c r="E4" s="270" t="s">
        <v>4000</v>
      </c>
      <c r="F4" s="270" t="s">
        <v>1491</v>
      </c>
      <c r="G4" s="270" t="s">
        <v>4014</v>
      </c>
      <c r="H4" s="270" t="s">
        <v>3931</v>
      </c>
      <c r="I4" s="270" t="s">
        <v>135</v>
      </c>
      <c r="J4" s="270" t="s">
        <v>4015</v>
      </c>
      <c r="K4" s="270" t="s">
        <v>4016</v>
      </c>
      <c r="L4" s="273">
        <v>8.0</v>
      </c>
      <c r="M4" s="273">
        <v>8.0</v>
      </c>
      <c r="N4" s="270" t="s">
        <v>4010</v>
      </c>
      <c r="O4" s="270" t="s">
        <v>4002</v>
      </c>
      <c r="P4" s="270" t="s">
        <v>4002</v>
      </c>
      <c r="Q4" s="270" t="s">
        <v>4002</v>
      </c>
      <c r="R4" s="270" t="s">
        <v>4002</v>
      </c>
      <c r="S4" s="273">
        <v>7.0</v>
      </c>
      <c r="T4" s="273">
        <v>6.0</v>
      </c>
      <c r="U4" s="270" t="s">
        <v>4017</v>
      </c>
      <c r="V4" s="273">
        <v>4.0</v>
      </c>
      <c r="W4" s="273">
        <v>7.0</v>
      </c>
      <c r="X4" s="272"/>
      <c r="Y4" s="273">
        <v>10.0</v>
      </c>
      <c r="Z4" s="273">
        <v>10.0</v>
      </c>
      <c r="AA4" s="270" t="s">
        <v>4018</v>
      </c>
      <c r="AB4" s="270" t="s">
        <v>4006</v>
      </c>
      <c r="AC4" s="270" t="s">
        <v>4006</v>
      </c>
      <c r="AD4" s="270" t="s">
        <v>4006</v>
      </c>
      <c r="AE4" s="270" t="s">
        <v>4006</v>
      </c>
      <c r="AF4" s="270" t="s">
        <v>4019</v>
      </c>
    </row>
    <row r="5" ht="22.5" customHeight="1">
      <c r="A5" s="274">
        <v>46167.59104140046</v>
      </c>
      <c r="B5" s="275" t="s">
        <v>3998</v>
      </c>
      <c r="C5" s="270" t="s">
        <v>3580</v>
      </c>
      <c r="D5" s="271" t="s">
        <v>3999</v>
      </c>
      <c r="E5" s="275" t="s">
        <v>4000</v>
      </c>
      <c r="F5" s="275" t="s">
        <v>1488</v>
      </c>
      <c r="G5" s="275" t="s">
        <v>3962</v>
      </c>
      <c r="H5" s="275" t="s">
        <v>3931</v>
      </c>
      <c r="I5" s="275" t="s">
        <v>136</v>
      </c>
      <c r="J5" s="276"/>
      <c r="K5" s="276"/>
      <c r="L5" s="277">
        <v>7.0</v>
      </c>
      <c r="M5" s="277">
        <v>6.0</v>
      </c>
      <c r="N5" s="275" t="s">
        <v>4010</v>
      </c>
      <c r="O5" s="275" t="s">
        <v>4010</v>
      </c>
      <c r="P5" s="275" t="s">
        <v>4003</v>
      </c>
      <c r="Q5" s="275" t="s">
        <v>4010</v>
      </c>
      <c r="R5" s="275" t="s">
        <v>4003</v>
      </c>
      <c r="S5" s="277">
        <v>9.0</v>
      </c>
      <c r="T5" s="277">
        <v>10.0</v>
      </c>
      <c r="U5" s="275" t="s">
        <v>4020</v>
      </c>
      <c r="V5" s="277">
        <v>2.0</v>
      </c>
      <c r="W5" s="277">
        <v>5.0</v>
      </c>
      <c r="X5" s="275" t="s">
        <v>4021</v>
      </c>
      <c r="Y5" s="277">
        <v>9.0</v>
      </c>
      <c r="Z5" s="277">
        <v>10.0</v>
      </c>
      <c r="AA5" s="275" t="s">
        <v>4004</v>
      </c>
      <c r="AB5" s="275" t="s">
        <v>4006</v>
      </c>
      <c r="AC5" s="275" t="s">
        <v>4006</v>
      </c>
      <c r="AD5" s="275" t="s">
        <v>4006</v>
      </c>
      <c r="AE5" s="275" t="s">
        <v>4006</v>
      </c>
      <c r="AF5" s="275" t="s">
        <v>4022</v>
      </c>
    </row>
    <row r="6" ht="22.5" customHeight="1">
      <c r="A6" s="269">
        <v>46167.596266747685</v>
      </c>
      <c r="B6" s="270" t="s">
        <v>4023</v>
      </c>
      <c r="C6" s="270" t="s">
        <v>3580</v>
      </c>
      <c r="D6" s="271" t="s">
        <v>3999</v>
      </c>
      <c r="E6" s="270" t="s">
        <v>4024</v>
      </c>
      <c r="F6" s="270" t="s">
        <v>4025</v>
      </c>
      <c r="G6" s="270" t="s">
        <v>4026</v>
      </c>
      <c r="H6" s="270" t="s">
        <v>3938</v>
      </c>
      <c r="I6" s="270" t="s">
        <v>136</v>
      </c>
      <c r="J6" s="272"/>
      <c r="K6" s="272"/>
      <c r="L6" s="273">
        <v>5.0</v>
      </c>
      <c r="M6" s="273">
        <v>5.0</v>
      </c>
      <c r="N6" s="270" t="s">
        <v>4027</v>
      </c>
      <c r="O6" s="270" t="s">
        <v>4010</v>
      </c>
      <c r="P6" s="270" t="s">
        <v>4010</v>
      </c>
      <c r="Q6" s="270" t="s">
        <v>4010</v>
      </c>
      <c r="R6" s="270" t="s">
        <v>4010</v>
      </c>
      <c r="S6" s="273">
        <v>7.0</v>
      </c>
      <c r="T6" s="273">
        <v>5.0</v>
      </c>
      <c r="U6" s="270" t="s">
        <v>4028</v>
      </c>
      <c r="V6" s="273">
        <v>8.0</v>
      </c>
      <c r="W6" s="273">
        <v>5.0</v>
      </c>
      <c r="X6" s="270" t="s">
        <v>4029</v>
      </c>
      <c r="Y6" s="273">
        <v>8.0</v>
      </c>
      <c r="Z6" s="273">
        <v>8.0</v>
      </c>
      <c r="AA6" s="270" t="s">
        <v>4004</v>
      </c>
      <c r="AB6" s="270" t="s">
        <v>4006</v>
      </c>
      <c r="AC6" s="270" t="s">
        <v>4006</v>
      </c>
      <c r="AD6" s="270" t="s">
        <v>4011</v>
      </c>
      <c r="AE6" s="270" t="s">
        <v>4006</v>
      </c>
      <c r="AF6" s="270" t="s">
        <v>4022</v>
      </c>
    </row>
    <row r="7" ht="22.5" customHeight="1">
      <c r="A7" s="274">
        <v>46167.60459539352</v>
      </c>
      <c r="B7" s="275" t="s">
        <v>3998</v>
      </c>
      <c r="C7" s="270" t="s">
        <v>3580</v>
      </c>
      <c r="D7" s="271" t="s">
        <v>3999</v>
      </c>
      <c r="E7" s="275" t="s">
        <v>4024</v>
      </c>
      <c r="F7" s="275" t="s">
        <v>1491</v>
      </c>
      <c r="G7" s="275" t="s">
        <v>4030</v>
      </c>
      <c r="H7" s="275" t="s">
        <v>3930</v>
      </c>
      <c r="I7" s="275" t="s">
        <v>136</v>
      </c>
      <c r="J7" s="276"/>
      <c r="K7" s="276"/>
      <c r="L7" s="277">
        <v>5.0</v>
      </c>
      <c r="M7" s="277">
        <v>5.0</v>
      </c>
      <c r="N7" s="275" t="s">
        <v>4010</v>
      </c>
      <c r="O7" s="275" t="s">
        <v>4002</v>
      </c>
      <c r="P7" s="275" t="s">
        <v>4010</v>
      </c>
      <c r="Q7" s="275" t="s">
        <v>4003</v>
      </c>
      <c r="R7" s="275" t="s">
        <v>4010</v>
      </c>
      <c r="S7" s="277">
        <v>7.0</v>
      </c>
      <c r="T7" s="277">
        <v>10.0</v>
      </c>
      <c r="U7" s="275" t="s">
        <v>4031</v>
      </c>
      <c r="V7" s="277">
        <v>7.0</v>
      </c>
      <c r="W7" s="277">
        <v>7.0</v>
      </c>
      <c r="X7" s="275" t="s">
        <v>4032</v>
      </c>
      <c r="Y7" s="277">
        <v>10.0</v>
      </c>
      <c r="Z7" s="277">
        <v>10.0</v>
      </c>
      <c r="AA7" s="275" t="s">
        <v>4033</v>
      </c>
      <c r="AB7" s="275" t="s">
        <v>4006</v>
      </c>
      <c r="AC7" s="275" t="s">
        <v>4006</v>
      </c>
      <c r="AD7" s="275" t="s">
        <v>4006</v>
      </c>
      <c r="AE7" s="275" t="s">
        <v>4006</v>
      </c>
      <c r="AF7" s="275" t="s">
        <v>4034</v>
      </c>
    </row>
    <row r="8" ht="22.5" customHeight="1">
      <c r="A8" s="278">
        <v>46167.643462210646</v>
      </c>
      <c r="B8" s="279" t="s">
        <v>3998</v>
      </c>
      <c r="C8" s="270" t="s">
        <v>3580</v>
      </c>
      <c r="D8" s="271" t="s">
        <v>3999</v>
      </c>
      <c r="E8" s="279" t="s">
        <v>4024</v>
      </c>
      <c r="F8" s="279" t="s">
        <v>4035</v>
      </c>
      <c r="G8" s="279" t="s">
        <v>4036</v>
      </c>
      <c r="H8" s="279" t="s">
        <v>3930</v>
      </c>
      <c r="I8" s="279" t="s">
        <v>135</v>
      </c>
      <c r="J8" s="279" t="s">
        <v>4015</v>
      </c>
      <c r="K8" s="279" t="s">
        <v>4037</v>
      </c>
      <c r="L8" s="280">
        <v>6.0</v>
      </c>
      <c r="M8" s="280">
        <v>6.0</v>
      </c>
      <c r="N8" s="279" t="s">
        <v>4010</v>
      </c>
      <c r="O8" s="279" t="s">
        <v>4002</v>
      </c>
      <c r="P8" s="279" t="s">
        <v>4003</v>
      </c>
      <c r="Q8" s="279" t="s">
        <v>4003</v>
      </c>
      <c r="R8" s="279" t="s">
        <v>4010</v>
      </c>
      <c r="S8" s="280">
        <v>7.0</v>
      </c>
      <c r="T8" s="280">
        <v>9.0</v>
      </c>
      <c r="U8" s="281"/>
      <c r="V8" s="280">
        <v>9.0</v>
      </c>
      <c r="W8" s="280">
        <v>7.0</v>
      </c>
      <c r="X8" s="281"/>
      <c r="Y8" s="280">
        <v>9.0</v>
      </c>
      <c r="Z8" s="280">
        <v>9.0</v>
      </c>
      <c r="AA8" s="279" t="s">
        <v>4004</v>
      </c>
      <c r="AB8" s="279" t="s">
        <v>4006</v>
      </c>
      <c r="AC8" s="279" t="s">
        <v>4006</v>
      </c>
      <c r="AD8" s="279" t="s">
        <v>4006</v>
      </c>
      <c r="AE8" s="279" t="s">
        <v>4005</v>
      </c>
      <c r="AF8" s="279" t="s">
        <v>4034</v>
      </c>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9.29"/>
    <col customWidth="1" min="3" max="3" width="9.71"/>
    <col customWidth="1" min="4" max="4" width="19.43"/>
    <col customWidth="1" min="5" max="5" width="30.14"/>
    <col customWidth="1" min="6" max="6" width="60.86"/>
    <col customWidth="1" min="7" max="7" width="146.57"/>
    <col customWidth="1" min="8" max="8" width="124.71"/>
    <col customWidth="1" min="9" max="9" width="41.14"/>
    <col customWidth="1" min="10" max="10" width="19.14"/>
    <col customWidth="1" min="11" max="11" width="16.29"/>
    <col customWidth="1" min="13" max="13" width="9.43"/>
    <col customWidth="1" min="14" max="14" width="13.0"/>
    <col customWidth="1" min="15" max="15" width="8.86"/>
    <col customWidth="1" min="16" max="16" width="5.71"/>
  </cols>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0">
        <v>1.0</v>
      </c>
      <c r="B2" s="173" t="s">
        <v>4038</v>
      </c>
      <c r="C2" s="173" t="s">
        <v>4038</v>
      </c>
      <c r="D2" s="173" t="s">
        <v>4038</v>
      </c>
      <c r="E2" s="282" t="s">
        <v>135</v>
      </c>
      <c r="F2" s="173" t="s">
        <v>136</v>
      </c>
      <c r="G2" s="283" t="s">
        <v>3666</v>
      </c>
      <c r="H2" s="283" t="s">
        <v>3958</v>
      </c>
      <c r="I2" s="283" t="s">
        <v>135</v>
      </c>
      <c r="J2" s="283" t="s">
        <v>4039</v>
      </c>
      <c r="K2" s="173" t="s">
        <v>139</v>
      </c>
      <c r="L2" s="226"/>
      <c r="M2" s="173" t="s">
        <v>4038</v>
      </c>
      <c r="N2" s="284"/>
      <c r="O2" s="282" t="s">
        <v>328</v>
      </c>
      <c r="P2" s="226"/>
    </row>
    <row r="3">
      <c r="A3" s="170">
        <v>2.0</v>
      </c>
      <c r="B3" s="173" t="s">
        <v>4038</v>
      </c>
      <c r="C3" s="173" t="s">
        <v>4038</v>
      </c>
      <c r="D3" s="173" t="s">
        <v>4038</v>
      </c>
      <c r="E3" s="282" t="s">
        <v>135</v>
      </c>
      <c r="F3" s="173" t="s">
        <v>136</v>
      </c>
      <c r="G3" s="283" t="s">
        <v>3932</v>
      </c>
      <c r="H3" s="283" t="s">
        <v>3931</v>
      </c>
      <c r="I3" s="283" t="s">
        <v>135</v>
      </c>
      <c r="J3" s="283" t="s">
        <v>4040</v>
      </c>
      <c r="K3" s="173" t="s">
        <v>139</v>
      </c>
      <c r="L3" s="226"/>
      <c r="M3" s="173" t="s">
        <v>4038</v>
      </c>
      <c r="N3" s="284"/>
      <c r="O3" s="282" t="s">
        <v>328</v>
      </c>
      <c r="P3" s="226"/>
    </row>
    <row r="4">
      <c r="A4" s="170">
        <v>3.0</v>
      </c>
      <c r="B4" s="173" t="s">
        <v>4038</v>
      </c>
      <c r="C4" s="173" t="s">
        <v>4038</v>
      </c>
      <c r="D4" s="173" t="s">
        <v>4038</v>
      </c>
      <c r="E4" s="282" t="s">
        <v>135</v>
      </c>
      <c r="F4" s="173" t="s">
        <v>136</v>
      </c>
      <c r="G4" s="283" t="s">
        <v>4041</v>
      </c>
      <c r="H4" s="283" t="s">
        <v>3930</v>
      </c>
      <c r="I4" s="283" t="s">
        <v>136</v>
      </c>
      <c r="J4" s="283" t="s">
        <v>4042</v>
      </c>
      <c r="K4" s="173" t="s">
        <v>139</v>
      </c>
      <c r="L4" s="226"/>
      <c r="M4" s="173" t="s">
        <v>4038</v>
      </c>
      <c r="N4" s="284"/>
      <c r="O4" s="282" t="s">
        <v>328</v>
      </c>
      <c r="P4" s="226"/>
    </row>
    <row r="5">
      <c r="A5" s="170">
        <v>4.0</v>
      </c>
      <c r="B5" s="173" t="s">
        <v>4038</v>
      </c>
      <c r="C5" s="173" t="s">
        <v>4038</v>
      </c>
      <c r="D5" s="173" t="s">
        <v>4038</v>
      </c>
      <c r="E5" s="282" t="s">
        <v>136</v>
      </c>
      <c r="F5" s="173" t="s">
        <v>136</v>
      </c>
      <c r="G5" s="283" t="s">
        <v>4043</v>
      </c>
      <c r="H5" s="283" t="s">
        <v>3931</v>
      </c>
      <c r="I5" s="283" t="s">
        <v>136</v>
      </c>
      <c r="J5" s="283" t="s">
        <v>4044</v>
      </c>
      <c r="K5" s="173" t="s">
        <v>139</v>
      </c>
      <c r="L5" s="226"/>
      <c r="M5" s="173" t="s">
        <v>4038</v>
      </c>
      <c r="N5" s="284"/>
      <c r="O5" s="282" t="s">
        <v>328</v>
      </c>
      <c r="P5" s="226"/>
    </row>
    <row r="6">
      <c r="A6" s="170">
        <v>5.0</v>
      </c>
      <c r="B6" s="173" t="s">
        <v>4038</v>
      </c>
      <c r="C6" s="173" t="s">
        <v>4038</v>
      </c>
      <c r="D6" s="173" t="s">
        <v>4038</v>
      </c>
      <c r="E6" s="282" t="s">
        <v>136</v>
      </c>
      <c r="F6" s="173" t="s">
        <v>136</v>
      </c>
      <c r="G6" s="283" t="s">
        <v>3585</v>
      </c>
      <c r="H6" s="283" t="s">
        <v>3931</v>
      </c>
      <c r="I6" s="283" t="s">
        <v>135</v>
      </c>
      <c r="J6" s="283" t="s">
        <v>4045</v>
      </c>
      <c r="K6" s="173" t="s">
        <v>139</v>
      </c>
      <c r="L6" s="226"/>
      <c r="M6" s="173" t="s">
        <v>4038</v>
      </c>
      <c r="N6" s="284"/>
      <c r="O6" s="282" t="s">
        <v>328</v>
      </c>
      <c r="P6" s="226"/>
    </row>
    <row r="7">
      <c r="A7" s="170">
        <v>6.0</v>
      </c>
      <c r="B7" s="173" t="s">
        <v>4038</v>
      </c>
      <c r="C7" s="173" t="s">
        <v>4038</v>
      </c>
      <c r="D7" s="173" t="s">
        <v>4038</v>
      </c>
      <c r="E7" s="282" t="s">
        <v>136</v>
      </c>
      <c r="F7" s="173" t="s">
        <v>136</v>
      </c>
      <c r="G7" s="283" t="s">
        <v>1053</v>
      </c>
      <c r="H7" s="283" t="s">
        <v>3931</v>
      </c>
      <c r="I7" s="283" t="s">
        <v>136</v>
      </c>
      <c r="J7" s="283" t="s">
        <v>4046</v>
      </c>
      <c r="K7" s="173" t="s">
        <v>139</v>
      </c>
      <c r="L7" s="226"/>
      <c r="M7" s="173" t="s">
        <v>4038</v>
      </c>
      <c r="N7" s="284"/>
      <c r="O7" s="282" t="s">
        <v>328</v>
      </c>
      <c r="P7" s="226"/>
    </row>
    <row r="8">
      <c r="A8" s="170">
        <v>7.0</v>
      </c>
      <c r="B8" s="173" t="s">
        <v>4038</v>
      </c>
      <c r="C8" s="173" t="s">
        <v>4038</v>
      </c>
      <c r="D8" s="173" t="s">
        <v>4038</v>
      </c>
      <c r="E8" s="282" t="s">
        <v>136</v>
      </c>
      <c r="F8" s="173" t="s">
        <v>136</v>
      </c>
      <c r="G8" s="283" t="s">
        <v>4047</v>
      </c>
      <c r="H8" s="283" t="s">
        <v>3958</v>
      </c>
      <c r="I8" s="283" t="s">
        <v>136</v>
      </c>
      <c r="J8" s="283" t="s">
        <v>4046</v>
      </c>
      <c r="K8" s="173" t="s">
        <v>139</v>
      </c>
      <c r="L8" s="226"/>
      <c r="M8" s="173" t="s">
        <v>4038</v>
      </c>
      <c r="N8" s="284"/>
      <c r="O8" s="282" t="s">
        <v>328</v>
      </c>
      <c r="P8" s="226"/>
    </row>
    <row r="9">
      <c r="A9" s="170">
        <v>8.0</v>
      </c>
      <c r="B9" s="173" t="s">
        <v>4038</v>
      </c>
      <c r="C9" s="173" t="s">
        <v>4038</v>
      </c>
      <c r="D9" s="173" t="s">
        <v>4038</v>
      </c>
      <c r="E9" s="282" t="s">
        <v>136</v>
      </c>
      <c r="F9" s="173" t="s">
        <v>136</v>
      </c>
      <c r="G9" s="283" t="s">
        <v>4048</v>
      </c>
      <c r="H9" s="283" t="s">
        <v>3931</v>
      </c>
      <c r="I9" s="283" t="s">
        <v>135</v>
      </c>
      <c r="J9" s="283" t="s">
        <v>4049</v>
      </c>
      <c r="K9" s="173" t="s">
        <v>139</v>
      </c>
      <c r="L9" s="226"/>
      <c r="M9" s="173" t="s">
        <v>4038</v>
      </c>
      <c r="N9" s="284"/>
      <c r="O9" s="282" t="s">
        <v>328</v>
      </c>
      <c r="P9" s="226"/>
    </row>
    <row r="10">
      <c r="A10" s="170">
        <v>9.0</v>
      </c>
      <c r="B10" s="173" t="s">
        <v>4038</v>
      </c>
      <c r="C10" s="173" t="s">
        <v>4038</v>
      </c>
      <c r="D10" s="173" t="s">
        <v>4038</v>
      </c>
      <c r="E10" s="282" t="s">
        <v>136</v>
      </c>
      <c r="F10" s="173" t="s">
        <v>136</v>
      </c>
      <c r="G10" s="283" t="s">
        <v>1053</v>
      </c>
      <c r="H10" s="283" t="s">
        <v>3931</v>
      </c>
      <c r="I10" s="283" t="s">
        <v>135</v>
      </c>
      <c r="J10" s="283" t="s">
        <v>4050</v>
      </c>
      <c r="K10" s="173" t="s">
        <v>139</v>
      </c>
      <c r="L10" s="226"/>
      <c r="M10" s="173" t="s">
        <v>4038</v>
      </c>
      <c r="N10" s="284"/>
      <c r="O10" s="282" t="s">
        <v>328</v>
      </c>
      <c r="P10" s="226"/>
    </row>
    <row r="11">
      <c r="A11" s="170">
        <v>10.0</v>
      </c>
      <c r="B11" s="173" t="s">
        <v>4038</v>
      </c>
      <c r="C11" s="173" t="s">
        <v>4038</v>
      </c>
      <c r="D11" s="173" t="s">
        <v>4038</v>
      </c>
      <c r="E11" s="282" t="s">
        <v>135</v>
      </c>
      <c r="F11" s="173" t="s">
        <v>136</v>
      </c>
      <c r="G11" s="283" t="s">
        <v>1053</v>
      </c>
      <c r="H11" s="283" t="s">
        <v>3930</v>
      </c>
      <c r="I11" s="283" t="s">
        <v>136</v>
      </c>
      <c r="J11" s="283" t="s">
        <v>4050</v>
      </c>
      <c r="K11" s="173" t="s">
        <v>139</v>
      </c>
      <c r="L11" s="226"/>
      <c r="M11" s="173" t="s">
        <v>4038</v>
      </c>
      <c r="N11" s="284"/>
      <c r="O11" s="282" t="s">
        <v>328</v>
      </c>
      <c r="P11" s="226"/>
    </row>
    <row r="12">
      <c r="A12" s="170">
        <v>11.0</v>
      </c>
      <c r="B12" s="173" t="s">
        <v>4038</v>
      </c>
      <c r="C12" s="173" t="s">
        <v>4038</v>
      </c>
      <c r="D12" s="173" t="s">
        <v>4038</v>
      </c>
      <c r="E12" s="282" t="s">
        <v>136</v>
      </c>
      <c r="F12" s="173" t="s">
        <v>136</v>
      </c>
      <c r="G12" s="283" t="s">
        <v>4051</v>
      </c>
      <c r="H12" s="283" t="s">
        <v>3930</v>
      </c>
      <c r="I12" s="283" t="s">
        <v>135</v>
      </c>
      <c r="J12" s="283" t="s">
        <v>4050</v>
      </c>
      <c r="K12" s="173" t="s">
        <v>139</v>
      </c>
      <c r="L12" s="226"/>
      <c r="M12" s="173" t="s">
        <v>4038</v>
      </c>
      <c r="N12" s="284"/>
      <c r="O12" s="282" t="s">
        <v>328</v>
      </c>
      <c r="P12" s="226"/>
    </row>
    <row r="13">
      <c r="A13" s="170">
        <v>12.0</v>
      </c>
      <c r="B13" s="173" t="s">
        <v>4038</v>
      </c>
      <c r="C13" s="173" t="s">
        <v>4038</v>
      </c>
      <c r="D13" s="173" t="s">
        <v>4038</v>
      </c>
      <c r="E13" s="282" t="s">
        <v>135</v>
      </c>
      <c r="F13" s="173" t="s">
        <v>136</v>
      </c>
      <c r="G13" s="283" t="s">
        <v>4052</v>
      </c>
      <c r="H13" s="283" t="s">
        <v>3931</v>
      </c>
      <c r="I13" s="283" t="s">
        <v>136</v>
      </c>
      <c r="J13" s="283" t="s">
        <v>4053</v>
      </c>
      <c r="K13" s="173" t="s">
        <v>139</v>
      </c>
      <c r="L13" s="226"/>
      <c r="M13" s="173" t="s">
        <v>4038</v>
      </c>
      <c r="N13" s="284"/>
      <c r="O13" s="282" t="s">
        <v>328</v>
      </c>
      <c r="P13" s="226"/>
    </row>
    <row r="14">
      <c r="A14" s="170">
        <v>13.0</v>
      </c>
      <c r="B14" s="173" t="s">
        <v>4038</v>
      </c>
      <c r="C14" s="173" t="s">
        <v>4038</v>
      </c>
      <c r="D14" s="173" t="s">
        <v>4038</v>
      </c>
      <c r="E14" s="282" t="s">
        <v>136</v>
      </c>
      <c r="F14" s="173" t="s">
        <v>136</v>
      </c>
      <c r="G14" s="283" t="s">
        <v>4054</v>
      </c>
      <c r="H14" s="283" t="s">
        <v>3931</v>
      </c>
      <c r="I14" s="283" t="s">
        <v>136</v>
      </c>
      <c r="J14" s="283" t="s">
        <v>4053</v>
      </c>
      <c r="K14" s="173" t="s">
        <v>139</v>
      </c>
      <c r="L14" s="226"/>
      <c r="M14" s="173" t="s">
        <v>4038</v>
      </c>
      <c r="N14" s="284"/>
      <c r="O14" s="282" t="s">
        <v>328</v>
      </c>
      <c r="P14" s="226"/>
    </row>
    <row r="15">
      <c r="A15" s="170">
        <v>14.0</v>
      </c>
      <c r="B15" s="173" t="s">
        <v>4038</v>
      </c>
      <c r="C15" s="173" t="s">
        <v>4038</v>
      </c>
      <c r="D15" s="173" t="s">
        <v>4038</v>
      </c>
      <c r="E15" s="282" t="s">
        <v>136</v>
      </c>
      <c r="F15" s="173" t="s">
        <v>136</v>
      </c>
      <c r="G15" s="283" t="s">
        <v>4055</v>
      </c>
      <c r="H15" s="283" t="s">
        <v>3930</v>
      </c>
      <c r="I15" s="283" t="s">
        <v>136</v>
      </c>
      <c r="J15" s="283" t="s">
        <v>4056</v>
      </c>
      <c r="K15" s="173" t="s">
        <v>139</v>
      </c>
      <c r="L15" s="226"/>
      <c r="M15" s="173" t="s">
        <v>4038</v>
      </c>
      <c r="N15" s="284"/>
      <c r="O15" s="282" t="s">
        <v>328</v>
      </c>
      <c r="P15" s="226"/>
    </row>
    <row r="16">
      <c r="A16" s="170">
        <v>15.0</v>
      </c>
      <c r="B16" s="173" t="s">
        <v>4038</v>
      </c>
      <c r="C16" s="173" t="s">
        <v>4038</v>
      </c>
      <c r="D16" s="173" t="s">
        <v>4038</v>
      </c>
      <c r="E16" s="282" t="s">
        <v>136</v>
      </c>
      <c r="F16" s="173" t="s">
        <v>136</v>
      </c>
      <c r="G16" s="283" t="s">
        <v>4057</v>
      </c>
      <c r="H16" s="283" t="s">
        <v>3958</v>
      </c>
      <c r="I16" s="283" t="s">
        <v>135</v>
      </c>
      <c r="J16" s="283" t="s">
        <v>4056</v>
      </c>
      <c r="K16" s="173" t="s">
        <v>139</v>
      </c>
      <c r="L16" s="226"/>
      <c r="M16" s="173" t="s">
        <v>4038</v>
      </c>
      <c r="N16" s="284"/>
      <c r="O16" s="282" t="s">
        <v>328</v>
      </c>
      <c r="P16" s="226"/>
    </row>
    <row r="17">
      <c r="A17" s="170">
        <v>16.0</v>
      </c>
      <c r="B17" s="173" t="s">
        <v>4038</v>
      </c>
      <c r="C17" s="173" t="s">
        <v>4038</v>
      </c>
      <c r="D17" s="173" t="s">
        <v>4038</v>
      </c>
      <c r="E17" s="282" t="s">
        <v>135</v>
      </c>
      <c r="F17" s="173" t="s">
        <v>136</v>
      </c>
      <c r="G17" s="283" t="s">
        <v>3597</v>
      </c>
      <c r="H17" s="283" t="s">
        <v>3931</v>
      </c>
      <c r="I17" s="283" t="s">
        <v>136</v>
      </c>
      <c r="J17" s="283" t="s">
        <v>4058</v>
      </c>
      <c r="K17" s="173" t="s">
        <v>139</v>
      </c>
      <c r="L17" s="226"/>
      <c r="M17" s="173" t="s">
        <v>4038</v>
      </c>
      <c r="N17" s="284"/>
      <c r="O17" s="282" t="s">
        <v>328</v>
      </c>
      <c r="P17" s="226"/>
    </row>
    <row r="18">
      <c r="A18" s="170">
        <v>17.0</v>
      </c>
      <c r="B18" s="173" t="s">
        <v>4038</v>
      </c>
      <c r="C18" s="173" t="s">
        <v>4038</v>
      </c>
      <c r="D18" s="173" t="s">
        <v>4038</v>
      </c>
      <c r="E18" s="282" t="s">
        <v>135</v>
      </c>
      <c r="F18" s="173" t="s">
        <v>136</v>
      </c>
      <c r="G18" s="283" t="s">
        <v>1053</v>
      </c>
      <c r="H18" s="283" t="s">
        <v>3930</v>
      </c>
      <c r="I18" s="283" t="s">
        <v>136</v>
      </c>
      <c r="J18" s="283" t="s">
        <v>4059</v>
      </c>
      <c r="K18" s="173" t="s">
        <v>139</v>
      </c>
      <c r="L18" s="226"/>
      <c r="M18" s="173" t="s">
        <v>4038</v>
      </c>
      <c r="N18" s="284"/>
      <c r="O18" s="282" t="s">
        <v>328</v>
      </c>
      <c r="P18" s="226"/>
    </row>
    <row r="19">
      <c r="A19" s="170">
        <v>18.0</v>
      </c>
      <c r="B19" s="173" t="s">
        <v>4038</v>
      </c>
      <c r="C19" s="173" t="s">
        <v>4038</v>
      </c>
      <c r="D19" s="173" t="s">
        <v>4038</v>
      </c>
      <c r="E19" s="282" t="s">
        <v>136</v>
      </c>
      <c r="F19" s="173" t="s">
        <v>136</v>
      </c>
      <c r="G19" s="283" t="s">
        <v>4060</v>
      </c>
      <c r="H19" s="283" t="s">
        <v>3938</v>
      </c>
      <c r="I19" s="283" t="s">
        <v>135</v>
      </c>
      <c r="J19" s="283" t="s">
        <v>4059</v>
      </c>
      <c r="K19" s="173" t="s">
        <v>139</v>
      </c>
      <c r="L19" s="226"/>
      <c r="M19" s="173" t="s">
        <v>4038</v>
      </c>
      <c r="N19" s="284"/>
      <c r="O19" s="282" t="s">
        <v>328</v>
      </c>
      <c r="P19" s="226"/>
    </row>
    <row r="20">
      <c r="A20" s="170">
        <v>19.0</v>
      </c>
      <c r="B20" s="173" t="s">
        <v>4038</v>
      </c>
      <c r="C20" s="173" t="s">
        <v>4038</v>
      </c>
      <c r="D20" s="173" t="s">
        <v>4038</v>
      </c>
      <c r="E20" s="282" t="s">
        <v>135</v>
      </c>
      <c r="F20" s="173" t="s">
        <v>136</v>
      </c>
      <c r="G20" s="283" t="s">
        <v>4061</v>
      </c>
      <c r="H20" s="283" t="s">
        <v>3958</v>
      </c>
      <c r="I20" s="283" t="s">
        <v>136</v>
      </c>
      <c r="J20" s="283" t="s">
        <v>4062</v>
      </c>
      <c r="K20" s="173" t="s">
        <v>139</v>
      </c>
      <c r="L20" s="226"/>
      <c r="M20" s="173" t="s">
        <v>4038</v>
      </c>
      <c r="N20" s="284"/>
      <c r="O20" s="282" t="s">
        <v>328</v>
      </c>
      <c r="P20" s="226"/>
    </row>
    <row r="21">
      <c r="A21" s="170">
        <v>20.0</v>
      </c>
      <c r="B21" s="173" t="s">
        <v>4038</v>
      </c>
      <c r="C21" s="173" t="s">
        <v>4038</v>
      </c>
      <c r="D21" s="173" t="s">
        <v>4038</v>
      </c>
      <c r="E21" s="282" t="s">
        <v>136</v>
      </c>
      <c r="F21" s="173" t="s">
        <v>136</v>
      </c>
      <c r="G21" s="283" t="s">
        <v>4063</v>
      </c>
      <c r="H21" s="283" t="s">
        <v>3930</v>
      </c>
      <c r="I21" s="283" t="s">
        <v>136</v>
      </c>
      <c r="J21" s="283" t="s">
        <v>4064</v>
      </c>
      <c r="K21" s="173" t="s">
        <v>139</v>
      </c>
      <c r="L21" s="226"/>
      <c r="M21" s="173" t="s">
        <v>4038</v>
      </c>
      <c r="N21" s="284"/>
      <c r="O21" s="282" t="s">
        <v>328</v>
      </c>
      <c r="P21" s="226"/>
    </row>
    <row r="22">
      <c r="A22" s="170">
        <v>21.0</v>
      </c>
      <c r="B22" s="173" t="s">
        <v>4038</v>
      </c>
      <c r="C22" s="173" t="s">
        <v>4038</v>
      </c>
      <c r="D22" s="173" t="s">
        <v>4038</v>
      </c>
      <c r="E22" s="282" t="s">
        <v>136</v>
      </c>
      <c r="F22" s="173" t="s">
        <v>136</v>
      </c>
      <c r="G22" s="283" t="s">
        <v>4065</v>
      </c>
      <c r="H22" s="283" t="s">
        <v>3931</v>
      </c>
      <c r="I22" s="283" t="s">
        <v>136</v>
      </c>
      <c r="J22" s="283" t="s">
        <v>4064</v>
      </c>
      <c r="K22" s="173" t="s">
        <v>139</v>
      </c>
      <c r="L22" s="226"/>
      <c r="M22" s="173" t="s">
        <v>4038</v>
      </c>
      <c r="N22" s="284"/>
      <c r="O22" s="282" t="s">
        <v>328</v>
      </c>
      <c r="P22" s="226"/>
    </row>
    <row r="23">
      <c r="A23" s="170">
        <v>22.0</v>
      </c>
      <c r="B23" s="173" t="s">
        <v>4038</v>
      </c>
      <c r="C23" s="173" t="s">
        <v>4038</v>
      </c>
      <c r="D23" s="173" t="s">
        <v>4038</v>
      </c>
      <c r="E23" s="282" t="s">
        <v>136</v>
      </c>
      <c r="F23" s="173" t="s">
        <v>136</v>
      </c>
      <c r="G23" s="283" t="s">
        <v>4066</v>
      </c>
      <c r="H23" s="283" t="s">
        <v>3938</v>
      </c>
      <c r="I23" s="283" t="s">
        <v>136</v>
      </c>
      <c r="J23" s="283" t="s">
        <v>4067</v>
      </c>
      <c r="K23" s="173" t="s">
        <v>139</v>
      </c>
      <c r="L23" s="226"/>
      <c r="M23" s="173" t="s">
        <v>4038</v>
      </c>
      <c r="N23" s="284"/>
      <c r="O23" s="282" t="s">
        <v>328</v>
      </c>
      <c r="P23" s="226"/>
    </row>
    <row r="24">
      <c r="A24" s="170">
        <v>23.0</v>
      </c>
      <c r="B24" s="173" t="s">
        <v>4038</v>
      </c>
      <c r="C24" s="173" t="s">
        <v>4038</v>
      </c>
      <c r="D24" s="173" t="s">
        <v>4038</v>
      </c>
      <c r="E24" s="282" t="s">
        <v>136</v>
      </c>
      <c r="F24" s="173" t="s">
        <v>136</v>
      </c>
      <c r="G24" s="283" t="s">
        <v>411</v>
      </c>
      <c r="H24" s="283" t="s">
        <v>3931</v>
      </c>
      <c r="I24" s="283" t="s">
        <v>136</v>
      </c>
      <c r="J24" s="283" t="s">
        <v>4068</v>
      </c>
      <c r="K24" s="173" t="s">
        <v>139</v>
      </c>
      <c r="L24" s="226"/>
      <c r="M24" s="173" t="s">
        <v>4038</v>
      </c>
      <c r="N24" s="284"/>
      <c r="O24" s="282" t="s">
        <v>328</v>
      </c>
      <c r="P24" s="226"/>
    </row>
    <row r="25">
      <c r="A25" s="170">
        <v>24.0</v>
      </c>
      <c r="B25" s="173" t="s">
        <v>4038</v>
      </c>
      <c r="C25" s="173" t="s">
        <v>4038</v>
      </c>
      <c r="D25" s="173" t="s">
        <v>4038</v>
      </c>
      <c r="E25" s="282" t="s">
        <v>136</v>
      </c>
      <c r="F25" s="173" t="s">
        <v>136</v>
      </c>
      <c r="G25" s="283" t="s">
        <v>385</v>
      </c>
      <c r="H25" s="283" t="s">
        <v>3931</v>
      </c>
      <c r="I25" s="283" t="s">
        <v>136</v>
      </c>
      <c r="J25" s="283" t="s">
        <v>4068</v>
      </c>
      <c r="K25" s="173" t="s">
        <v>139</v>
      </c>
      <c r="L25" s="226"/>
      <c r="M25" s="173" t="s">
        <v>4038</v>
      </c>
      <c r="N25" s="284"/>
      <c r="O25" s="282" t="s">
        <v>328</v>
      </c>
      <c r="P25" s="226"/>
    </row>
    <row r="26">
      <c r="A26" s="170">
        <v>25.0</v>
      </c>
      <c r="B26" s="173" t="s">
        <v>4038</v>
      </c>
      <c r="C26" s="173" t="s">
        <v>4038</v>
      </c>
      <c r="D26" s="173" t="s">
        <v>4038</v>
      </c>
      <c r="E26" s="282" t="s">
        <v>136</v>
      </c>
      <c r="F26" s="173" t="s">
        <v>136</v>
      </c>
      <c r="G26" s="283" t="s">
        <v>137</v>
      </c>
      <c r="H26" s="283" t="s">
        <v>3938</v>
      </c>
      <c r="I26" s="283" t="s">
        <v>135</v>
      </c>
      <c r="J26" s="283" t="s">
        <v>4069</v>
      </c>
      <c r="K26" s="173" t="s">
        <v>139</v>
      </c>
      <c r="L26" s="226"/>
      <c r="M26" s="173" t="s">
        <v>4038</v>
      </c>
      <c r="N26" s="284"/>
      <c r="O26" s="282" t="s">
        <v>328</v>
      </c>
      <c r="P26" s="226"/>
    </row>
    <row r="27">
      <c r="A27" s="170">
        <v>26.0</v>
      </c>
      <c r="B27" s="173" t="s">
        <v>4038</v>
      </c>
      <c r="C27" s="173" t="s">
        <v>4038</v>
      </c>
      <c r="D27" s="173" t="s">
        <v>4038</v>
      </c>
      <c r="E27" s="282" t="s">
        <v>136</v>
      </c>
      <c r="F27" s="173" t="s">
        <v>136</v>
      </c>
      <c r="G27" s="283" t="s">
        <v>3585</v>
      </c>
      <c r="H27" s="283" t="s">
        <v>3931</v>
      </c>
      <c r="I27" s="283" t="s">
        <v>135</v>
      </c>
      <c r="J27" s="283" t="s">
        <v>4069</v>
      </c>
      <c r="K27" s="173" t="s">
        <v>139</v>
      </c>
      <c r="L27" s="226"/>
      <c r="M27" s="173" t="s">
        <v>4038</v>
      </c>
      <c r="N27" s="284"/>
      <c r="O27" s="282" t="s">
        <v>328</v>
      </c>
      <c r="P27" s="226"/>
    </row>
    <row r="28">
      <c r="A28" s="170">
        <v>27.0</v>
      </c>
      <c r="B28" s="173" t="s">
        <v>4038</v>
      </c>
      <c r="C28" s="173" t="s">
        <v>4038</v>
      </c>
      <c r="D28" s="173" t="s">
        <v>4038</v>
      </c>
      <c r="E28" s="282" t="s">
        <v>136</v>
      </c>
      <c r="F28" s="173" t="s">
        <v>136</v>
      </c>
      <c r="G28" s="283" t="s">
        <v>4070</v>
      </c>
      <c r="H28" s="283" t="s">
        <v>3931</v>
      </c>
      <c r="I28" s="283" t="s">
        <v>136</v>
      </c>
      <c r="J28" s="283" t="s">
        <v>4069</v>
      </c>
      <c r="K28" s="173" t="s">
        <v>139</v>
      </c>
      <c r="L28" s="226"/>
      <c r="M28" s="173" t="s">
        <v>4038</v>
      </c>
      <c r="N28" s="284"/>
      <c r="O28" s="282" t="s">
        <v>328</v>
      </c>
      <c r="P28" s="226"/>
    </row>
    <row r="29">
      <c r="A29" s="170">
        <v>28.0</v>
      </c>
      <c r="B29" s="173" t="s">
        <v>4038</v>
      </c>
      <c r="C29" s="173" t="s">
        <v>4038</v>
      </c>
      <c r="D29" s="173" t="s">
        <v>4038</v>
      </c>
      <c r="E29" s="282" t="s">
        <v>135</v>
      </c>
      <c r="F29" s="173" t="s">
        <v>136</v>
      </c>
      <c r="G29" s="283" t="s">
        <v>4071</v>
      </c>
      <c r="H29" s="283" t="s">
        <v>3931</v>
      </c>
      <c r="I29" s="283" t="s">
        <v>136</v>
      </c>
      <c r="J29" s="283" t="s">
        <v>4072</v>
      </c>
      <c r="K29" s="173" t="s">
        <v>139</v>
      </c>
      <c r="L29" s="226"/>
      <c r="M29" s="173" t="s">
        <v>4038</v>
      </c>
      <c r="N29" s="284"/>
      <c r="O29" s="282" t="s">
        <v>328</v>
      </c>
      <c r="P29" s="226"/>
    </row>
    <row r="30">
      <c r="A30" s="170">
        <v>29.0</v>
      </c>
      <c r="B30" s="173" t="s">
        <v>4038</v>
      </c>
      <c r="C30" s="173" t="s">
        <v>4038</v>
      </c>
      <c r="D30" s="173" t="s">
        <v>4038</v>
      </c>
      <c r="E30" s="282" t="s">
        <v>136</v>
      </c>
      <c r="F30" s="173" t="s">
        <v>136</v>
      </c>
      <c r="G30" s="283" t="s">
        <v>3585</v>
      </c>
      <c r="H30" s="283" t="s">
        <v>3931</v>
      </c>
      <c r="I30" s="283" t="s">
        <v>136</v>
      </c>
      <c r="J30" s="283" t="s">
        <v>4073</v>
      </c>
      <c r="K30" s="173" t="s">
        <v>139</v>
      </c>
      <c r="L30" s="226"/>
      <c r="M30" s="173" t="s">
        <v>4038</v>
      </c>
      <c r="N30" s="284"/>
      <c r="O30" s="282" t="s">
        <v>328</v>
      </c>
      <c r="P30" s="226"/>
    </row>
    <row r="31">
      <c r="A31" s="170">
        <v>30.0</v>
      </c>
      <c r="B31" s="173" t="s">
        <v>4038</v>
      </c>
      <c r="C31" s="173" t="s">
        <v>4038</v>
      </c>
      <c r="D31" s="173" t="s">
        <v>4038</v>
      </c>
      <c r="E31" s="282" t="s">
        <v>136</v>
      </c>
      <c r="F31" s="173" t="s">
        <v>136</v>
      </c>
      <c r="G31" s="283" t="s">
        <v>4074</v>
      </c>
      <c r="H31" s="283" t="s">
        <v>3931</v>
      </c>
      <c r="I31" s="283" t="s">
        <v>136</v>
      </c>
      <c r="J31" s="283" t="s">
        <v>4075</v>
      </c>
      <c r="K31" s="173" t="s">
        <v>139</v>
      </c>
      <c r="L31" s="226"/>
      <c r="M31" s="173" t="s">
        <v>4038</v>
      </c>
      <c r="N31" s="284"/>
      <c r="O31" s="282" t="s">
        <v>328</v>
      </c>
      <c r="P31" s="226"/>
    </row>
    <row r="32">
      <c r="A32" s="170">
        <v>31.0</v>
      </c>
      <c r="B32" s="173" t="s">
        <v>4038</v>
      </c>
      <c r="C32" s="173" t="s">
        <v>4038</v>
      </c>
      <c r="D32" s="173" t="s">
        <v>4038</v>
      </c>
      <c r="E32" s="282" t="s">
        <v>136</v>
      </c>
      <c r="F32" s="173" t="s">
        <v>136</v>
      </c>
      <c r="G32" s="283" t="s">
        <v>4076</v>
      </c>
      <c r="H32" s="283" t="s">
        <v>3938</v>
      </c>
      <c r="I32" s="283" t="s">
        <v>136</v>
      </c>
      <c r="J32" s="283" t="s">
        <v>4077</v>
      </c>
      <c r="K32" s="173" t="s">
        <v>139</v>
      </c>
      <c r="L32" s="226"/>
      <c r="M32" s="173" t="s">
        <v>4038</v>
      </c>
      <c r="N32" s="284"/>
      <c r="O32" s="282" t="s">
        <v>328</v>
      </c>
      <c r="P32" s="226"/>
    </row>
    <row r="33">
      <c r="A33" s="170">
        <v>32.0</v>
      </c>
      <c r="B33" s="173" t="s">
        <v>4038</v>
      </c>
      <c r="C33" s="173" t="s">
        <v>4038</v>
      </c>
      <c r="D33" s="173" t="s">
        <v>4038</v>
      </c>
      <c r="E33" s="282" t="s">
        <v>135</v>
      </c>
      <c r="F33" s="173" t="s">
        <v>136</v>
      </c>
      <c r="G33" s="283" t="s">
        <v>411</v>
      </c>
      <c r="H33" s="283" t="s">
        <v>3931</v>
      </c>
      <c r="I33" s="283" t="s">
        <v>136</v>
      </c>
      <c r="J33" s="283" t="s">
        <v>4078</v>
      </c>
      <c r="K33" s="173" t="s">
        <v>139</v>
      </c>
      <c r="L33" s="226"/>
      <c r="M33" s="173" t="s">
        <v>4038</v>
      </c>
      <c r="N33" s="284"/>
      <c r="O33" s="282" t="s">
        <v>328</v>
      </c>
      <c r="P33" s="226"/>
    </row>
    <row r="34">
      <c r="A34" s="170">
        <v>33.0</v>
      </c>
      <c r="B34" s="173" t="s">
        <v>4038</v>
      </c>
      <c r="C34" s="173" t="s">
        <v>4038</v>
      </c>
      <c r="D34" s="173" t="s">
        <v>4038</v>
      </c>
      <c r="E34" s="282" t="s">
        <v>136</v>
      </c>
      <c r="F34" s="173" t="s">
        <v>136</v>
      </c>
      <c r="G34" s="283" t="s">
        <v>3673</v>
      </c>
      <c r="H34" s="283" t="s">
        <v>3930</v>
      </c>
      <c r="I34" s="283" t="s">
        <v>135</v>
      </c>
      <c r="J34" s="283" t="s">
        <v>4079</v>
      </c>
      <c r="K34" s="173" t="s">
        <v>139</v>
      </c>
      <c r="L34" s="226"/>
      <c r="M34" s="173" t="s">
        <v>4038</v>
      </c>
      <c r="N34" s="284"/>
      <c r="O34" s="282" t="s">
        <v>328</v>
      </c>
      <c r="P34" s="226"/>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9.29"/>
    <col customWidth="1" min="3" max="3" width="33.57"/>
    <col customWidth="1" min="4" max="4" width="19.43"/>
    <col customWidth="1" min="5" max="5" width="10.71"/>
    <col customWidth="1" min="6" max="6" width="21.57"/>
    <col customWidth="1" min="7" max="7" width="16.86"/>
    <col customWidth="1" min="8" max="8" width="10.57"/>
    <col customWidth="1" min="9" max="9" width="23.43"/>
    <col customWidth="1" min="10" max="10" width="18.43"/>
    <col customWidth="1" min="11" max="11" width="16.29"/>
    <col customWidth="1" min="14" max="14" width="9.57"/>
    <col customWidth="1" min="16" max="16" width="8.86"/>
  </cols>
  <sheetData>
    <row r="1">
      <c r="A1" s="123" t="s">
        <v>116</v>
      </c>
      <c r="B1" s="123" t="s">
        <v>117</v>
      </c>
      <c r="C1" s="123" t="s">
        <v>118</v>
      </c>
      <c r="D1" s="123" t="s">
        <v>119</v>
      </c>
      <c r="E1" s="123" t="s">
        <v>120</v>
      </c>
      <c r="F1" s="123" t="s">
        <v>121</v>
      </c>
      <c r="G1" s="123" t="s">
        <v>122</v>
      </c>
      <c r="H1" s="123" t="s">
        <v>123</v>
      </c>
      <c r="I1" s="123" t="s">
        <v>3780</v>
      </c>
      <c r="J1" s="123" t="s">
        <v>125</v>
      </c>
      <c r="K1" s="123" t="s">
        <v>126</v>
      </c>
      <c r="L1" s="131" t="s">
        <v>3771</v>
      </c>
      <c r="M1" s="123"/>
      <c r="N1" s="123" t="s">
        <v>129</v>
      </c>
      <c r="O1" s="123" t="s">
        <v>130</v>
      </c>
      <c r="P1" s="123" t="s">
        <v>131</v>
      </c>
      <c r="Q1" s="123" t="s">
        <v>3880</v>
      </c>
      <c r="R1" s="123"/>
      <c r="S1" s="2"/>
      <c r="T1" s="2"/>
      <c r="U1" s="2"/>
    </row>
    <row r="2">
      <c r="A2" s="168">
        <v>72.0</v>
      </c>
      <c r="B2" s="169" t="s">
        <v>6</v>
      </c>
      <c r="C2" s="169" t="s">
        <v>2132</v>
      </c>
      <c r="D2" s="169" t="s">
        <v>143</v>
      </c>
      <c r="E2" s="170" t="s">
        <v>136</v>
      </c>
      <c r="F2" s="170" t="s">
        <v>136</v>
      </c>
      <c r="G2" s="171"/>
      <c r="H2" s="171"/>
      <c r="I2" s="171"/>
      <c r="J2" s="172">
        <v>45581.42150462963</v>
      </c>
      <c r="K2" s="173" t="s">
        <v>139</v>
      </c>
      <c r="L2" s="170" t="s">
        <v>237</v>
      </c>
      <c r="M2" s="226"/>
      <c r="N2" s="227" t="s">
        <v>134</v>
      </c>
      <c r="O2" s="169">
        <v>8.0</v>
      </c>
      <c r="P2" s="228" t="s">
        <v>328</v>
      </c>
      <c r="Q2" s="229"/>
      <c r="S2" s="285"/>
      <c r="T2" s="7"/>
    </row>
    <row r="3">
      <c r="A3" s="168">
        <v>71.0</v>
      </c>
      <c r="B3" s="169" t="s">
        <v>6</v>
      </c>
      <c r="C3" s="169" t="s">
        <v>2915</v>
      </c>
      <c r="D3" s="169" t="s">
        <v>143</v>
      </c>
      <c r="E3" s="170" t="s">
        <v>136</v>
      </c>
      <c r="F3" s="170" t="s">
        <v>136</v>
      </c>
      <c r="G3" s="174"/>
      <c r="H3" s="174"/>
      <c r="I3" s="174"/>
      <c r="J3" s="172">
        <v>45581.41800925926</v>
      </c>
      <c r="K3" s="173" t="s">
        <v>139</v>
      </c>
      <c r="L3" s="170" t="s">
        <v>237</v>
      </c>
      <c r="M3" s="226"/>
      <c r="N3" s="227" t="s">
        <v>143</v>
      </c>
      <c r="O3" s="169">
        <v>4.0</v>
      </c>
      <c r="P3" s="228" t="s">
        <v>328</v>
      </c>
      <c r="Q3" s="229"/>
      <c r="S3" s="7"/>
      <c r="T3" s="7"/>
    </row>
    <row r="4">
      <c r="A4" s="168">
        <v>70.0</v>
      </c>
      <c r="B4" s="169" t="s">
        <v>7</v>
      </c>
      <c r="C4" s="169" t="s">
        <v>564</v>
      </c>
      <c r="D4" s="169" t="s">
        <v>268</v>
      </c>
      <c r="E4" s="170" t="s">
        <v>136</v>
      </c>
      <c r="F4" s="170" t="s">
        <v>136</v>
      </c>
      <c r="G4" s="171"/>
      <c r="H4" s="171"/>
      <c r="I4" s="171"/>
      <c r="J4" s="172">
        <v>45581.403344907405</v>
      </c>
      <c r="K4" s="173" t="s">
        <v>139</v>
      </c>
      <c r="L4" s="170" t="s">
        <v>237</v>
      </c>
      <c r="M4" s="226"/>
      <c r="N4" s="227" t="s">
        <v>153</v>
      </c>
      <c r="O4" s="169">
        <v>4.0</v>
      </c>
      <c r="P4" s="7" t="s">
        <v>269</v>
      </c>
      <c r="Q4" s="229"/>
      <c r="S4" s="7"/>
      <c r="T4" s="7"/>
    </row>
    <row r="5">
      <c r="A5" s="168">
        <v>69.0</v>
      </c>
      <c r="B5" s="169" t="s">
        <v>7</v>
      </c>
      <c r="C5" s="169" t="s">
        <v>1687</v>
      </c>
      <c r="D5" s="169" t="s">
        <v>202</v>
      </c>
      <c r="E5" s="170" t="s">
        <v>136</v>
      </c>
      <c r="F5" s="170" t="s">
        <v>136</v>
      </c>
      <c r="G5" s="174"/>
      <c r="H5" s="174"/>
      <c r="I5" s="174"/>
      <c r="J5" s="172">
        <v>45581.38348379629</v>
      </c>
      <c r="K5" s="173" t="s">
        <v>139</v>
      </c>
      <c r="L5" s="170" t="s">
        <v>237</v>
      </c>
      <c r="M5" s="226"/>
      <c r="N5" s="232" t="s">
        <v>176</v>
      </c>
      <c r="O5" s="169">
        <v>10.0</v>
      </c>
      <c r="P5" s="7" t="s">
        <v>451</v>
      </c>
      <c r="Q5" s="229"/>
      <c r="S5" s="7"/>
      <c r="T5" s="7"/>
    </row>
    <row r="6">
      <c r="A6" s="168">
        <v>68.0</v>
      </c>
      <c r="B6" s="169" t="s">
        <v>7</v>
      </c>
      <c r="C6" s="169" t="s">
        <v>375</v>
      </c>
      <c r="D6" s="169" t="s">
        <v>176</v>
      </c>
      <c r="E6" s="170" t="s">
        <v>136</v>
      </c>
      <c r="F6" s="170" t="s">
        <v>136</v>
      </c>
      <c r="G6" s="171"/>
      <c r="H6" s="171"/>
      <c r="I6" s="171"/>
      <c r="J6" s="172">
        <v>45581.32166666666</v>
      </c>
      <c r="K6" s="173" t="s">
        <v>139</v>
      </c>
      <c r="L6" s="170" t="s">
        <v>237</v>
      </c>
      <c r="M6" s="226"/>
      <c r="N6" s="232" t="s">
        <v>202</v>
      </c>
      <c r="O6" s="169">
        <v>4.0</v>
      </c>
      <c r="P6" s="7" t="s">
        <v>328</v>
      </c>
      <c r="Q6" s="229"/>
      <c r="S6" s="7"/>
      <c r="T6" s="7"/>
    </row>
    <row r="7">
      <c r="A7" s="168">
        <v>67.0</v>
      </c>
      <c r="B7" s="169" t="s">
        <v>7</v>
      </c>
      <c r="C7" s="169" t="s">
        <v>2916</v>
      </c>
      <c r="D7" s="169" t="s">
        <v>176</v>
      </c>
      <c r="E7" s="170" t="s">
        <v>136</v>
      </c>
      <c r="F7" s="170" t="s">
        <v>136</v>
      </c>
      <c r="G7" s="174"/>
      <c r="H7" s="174"/>
      <c r="I7" s="174"/>
      <c r="J7" s="172">
        <v>45581.303148148145</v>
      </c>
      <c r="K7" s="173" t="s">
        <v>139</v>
      </c>
      <c r="L7" s="170" t="s">
        <v>237</v>
      </c>
      <c r="M7" s="226"/>
      <c r="N7" s="232" t="s">
        <v>238</v>
      </c>
      <c r="O7" s="169">
        <v>5.0</v>
      </c>
      <c r="P7" s="7" t="s">
        <v>451</v>
      </c>
      <c r="Q7" s="229"/>
      <c r="S7" s="7"/>
      <c r="T7" s="7"/>
    </row>
    <row r="8">
      <c r="A8" s="168">
        <v>66.0</v>
      </c>
      <c r="B8" s="169" t="s">
        <v>7</v>
      </c>
      <c r="C8" s="169" t="s">
        <v>2917</v>
      </c>
      <c r="D8" s="169" t="s">
        <v>153</v>
      </c>
      <c r="E8" s="170" t="s">
        <v>136</v>
      </c>
      <c r="F8" s="170" t="s">
        <v>136</v>
      </c>
      <c r="G8" s="171"/>
      <c r="H8" s="171"/>
      <c r="I8" s="171"/>
      <c r="J8" s="172">
        <v>45581.2640625</v>
      </c>
      <c r="K8" s="173" t="s">
        <v>139</v>
      </c>
      <c r="L8" s="170" t="s">
        <v>237</v>
      </c>
      <c r="M8" s="226"/>
      <c r="N8" s="232" t="s">
        <v>223</v>
      </c>
      <c r="O8" s="169">
        <v>3.0</v>
      </c>
      <c r="P8" s="7" t="s">
        <v>451</v>
      </c>
      <c r="Q8" s="229"/>
      <c r="S8" s="7"/>
      <c r="T8" s="7"/>
    </row>
    <row r="9">
      <c r="A9" s="168">
        <v>65.0</v>
      </c>
      <c r="B9" s="169" t="s">
        <v>7</v>
      </c>
      <c r="C9" s="169" t="s">
        <v>1515</v>
      </c>
      <c r="D9" s="169" t="s">
        <v>209</v>
      </c>
      <c r="E9" s="170" t="s">
        <v>136</v>
      </c>
      <c r="F9" s="170" t="s">
        <v>136</v>
      </c>
      <c r="G9" s="174"/>
      <c r="H9" s="174"/>
      <c r="I9" s="174"/>
      <c r="J9" s="172">
        <v>45580.98494212963</v>
      </c>
      <c r="K9" s="173" t="s">
        <v>139</v>
      </c>
      <c r="L9" s="170" t="s">
        <v>237</v>
      </c>
      <c r="M9" s="226"/>
      <c r="N9" s="232" t="s">
        <v>228</v>
      </c>
      <c r="O9" s="169">
        <v>7.0</v>
      </c>
      <c r="P9" s="7" t="s">
        <v>451</v>
      </c>
      <c r="Q9" s="229"/>
      <c r="S9" s="7"/>
      <c r="T9" s="7"/>
    </row>
    <row r="10">
      <c r="A10" s="168">
        <v>64.0</v>
      </c>
      <c r="B10" s="169" t="s">
        <v>7</v>
      </c>
      <c r="C10" s="169" t="s">
        <v>2918</v>
      </c>
      <c r="D10" s="169" t="s">
        <v>176</v>
      </c>
      <c r="E10" s="170" t="s">
        <v>136</v>
      </c>
      <c r="F10" s="170" t="s">
        <v>136</v>
      </c>
      <c r="G10" s="171"/>
      <c r="H10" s="171"/>
      <c r="I10" s="171"/>
      <c r="J10" s="172">
        <v>45580.936886574076</v>
      </c>
      <c r="K10" s="173" t="s">
        <v>139</v>
      </c>
      <c r="L10" s="170" t="s">
        <v>237</v>
      </c>
      <c r="M10" s="226"/>
      <c r="N10" s="232" t="s">
        <v>213</v>
      </c>
      <c r="O10" s="169">
        <v>10.0</v>
      </c>
      <c r="P10" s="7" t="s">
        <v>451</v>
      </c>
      <c r="Q10" s="229"/>
      <c r="S10" s="7"/>
      <c r="T10" s="7"/>
    </row>
    <row r="11">
      <c r="A11" s="168">
        <v>63.0</v>
      </c>
      <c r="B11" s="169" t="s">
        <v>7</v>
      </c>
      <c r="C11" s="169" t="s">
        <v>211</v>
      </c>
      <c r="D11" s="169" t="s">
        <v>176</v>
      </c>
      <c r="E11" s="170" t="s">
        <v>136</v>
      </c>
      <c r="F11" s="170" t="s">
        <v>136</v>
      </c>
      <c r="G11" s="174"/>
      <c r="H11" s="174"/>
      <c r="I11" s="174"/>
      <c r="J11" s="172">
        <v>45580.79846064815</v>
      </c>
      <c r="K11" s="173" t="s">
        <v>139</v>
      </c>
      <c r="L11" s="170" t="s">
        <v>237</v>
      </c>
      <c r="M11" s="226"/>
      <c r="N11" s="286" t="s">
        <v>302</v>
      </c>
      <c r="O11" s="169">
        <v>1.0</v>
      </c>
      <c r="P11" s="7" t="s">
        <v>269</v>
      </c>
      <c r="Q11" s="229"/>
      <c r="S11" s="7"/>
      <c r="T11" s="7"/>
    </row>
    <row r="12">
      <c r="A12" s="168">
        <v>62.0</v>
      </c>
      <c r="B12" s="169" t="s">
        <v>7</v>
      </c>
      <c r="C12" s="169" t="s">
        <v>2919</v>
      </c>
      <c r="D12" s="169" t="s">
        <v>228</v>
      </c>
      <c r="E12" s="170" t="s">
        <v>136</v>
      </c>
      <c r="F12" s="170" t="s">
        <v>136</v>
      </c>
      <c r="G12" s="171"/>
      <c r="H12" s="171"/>
      <c r="I12" s="171"/>
      <c r="J12" s="172">
        <v>45580.67988425926</v>
      </c>
      <c r="K12" s="173" t="s">
        <v>139</v>
      </c>
      <c r="L12" s="170" t="s">
        <v>237</v>
      </c>
      <c r="M12" s="226"/>
      <c r="N12" s="234" t="s">
        <v>398</v>
      </c>
      <c r="O12" s="169">
        <v>1.0</v>
      </c>
      <c r="P12" s="7" t="s">
        <v>451</v>
      </c>
      <c r="Q12" s="229"/>
      <c r="S12" s="7"/>
      <c r="T12" s="7"/>
    </row>
    <row r="13">
      <c r="A13" s="168">
        <v>61.0</v>
      </c>
      <c r="B13" s="169" t="s">
        <v>6</v>
      </c>
      <c r="C13" s="169" t="s">
        <v>2920</v>
      </c>
      <c r="D13" s="169" t="s">
        <v>176</v>
      </c>
      <c r="E13" s="170" t="s">
        <v>136</v>
      </c>
      <c r="F13" s="170" t="s">
        <v>136</v>
      </c>
      <c r="G13" s="174"/>
      <c r="H13" s="174"/>
      <c r="I13" s="174"/>
      <c r="J13" s="172">
        <v>45580.67431712963</v>
      </c>
      <c r="K13" s="173" t="s">
        <v>139</v>
      </c>
      <c r="L13" s="170" t="s">
        <v>237</v>
      </c>
      <c r="M13" s="226"/>
      <c r="N13" s="286" t="s">
        <v>291</v>
      </c>
      <c r="O13" s="169">
        <v>1.0</v>
      </c>
      <c r="P13" s="7" t="s">
        <v>269</v>
      </c>
      <c r="Q13" s="229"/>
      <c r="S13" s="7"/>
      <c r="T13" s="7"/>
    </row>
    <row r="14">
      <c r="A14" s="168">
        <v>60.0</v>
      </c>
      <c r="B14" s="169" t="s">
        <v>7</v>
      </c>
      <c r="C14" s="169" t="s">
        <v>211</v>
      </c>
      <c r="D14" s="169" t="s">
        <v>176</v>
      </c>
      <c r="E14" s="170" t="s">
        <v>136</v>
      </c>
      <c r="F14" s="170" t="s">
        <v>136</v>
      </c>
      <c r="G14" s="171"/>
      <c r="H14" s="171"/>
      <c r="I14" s="171"/>
      <c r="J14" s="172">
        <v>45580.577881944446</v>
      </c>
      <c r="K14" s="173" t="s">
        <v>139</v>
      </c>
      <c r="L14" s="170" t="s">
        <v>237</v>
      </c>
      <c r="M14" s="226"/>
      <c r="N14" s="234" t="s">
        <v>164</v>
      </c>
      <c r="O14" s="169">
        <v>1.0</v>
      </c>
      <c r="P14" s="7" t="s">
        <v>328</v>
      </c>
      <c r="Q14" s="229"/>
      <c r="S14" s="7"/>
      <c r="T14" s="7"/>
    </row>
    <row r="15">
      <c r="A15" s="168">
        <v>59.0</v>
      </c>
      <c r="B15" s="169" t="s">
        <v>7</v>
      </c>
      <c r="C15" s="169" t="s">
        <v>1406</v>
      </c>
      <c r="D15" s="169" t="s">
        <v>134</v>
      </c>
      <c r="E15" s="170" t="s">
        <v>136</v>
      </c>
      <c r="F15" s="170" t="s">
        <v>136</v>
      </c>
      <c r="G15" s="174"/>
      <c r="H15" s="174"/>
      <c r="I15" s="174"/>
      <c r="J15" s="172">
        <v>45580.53597222222</v>
      </c>
      <c r="K15" s="173" t="s">
        <v>139</v>
      </c>
      <c r="L15" s="170" t="s">
        <v>237</v>
      </c>
      <c r="M15" s="226"/>
      <c r="N15" s="286" t="s">
        <v>352</v>
      </c>
      <c r="O15" s="169">
        <v>2.0</v>
      </c>
      <c r="P15" s="7" t="s">
        <v>451</v>
      </c>
      <c r="Q15" s="229"/>
      <c r="S15" s="7"/>
      <c r="T15" s="7"/>
    </row>
    <row r="16">
      <c r="A16" s="168">
        <v>58.0</v>
      </c>
      <c r="B16" s="169" t="s">
        <v>7</v>
      </c>
      <c r="C16" s="169" t="s">
        <v>853</v>
      </c>
      <c r="D16" s="169" t="s">
        <v>213</v>
      </c>
      <c r="E16" s="170" t="s">
        <v>136</v>
      </c>
      <c r="F16" s="170" t="s">
        <v>136</v>
      </c>
      <c r="G16" s="171"/>
      <c r="H16" s="171"/>
      <c r="I16" s="171"/>
      <c r="J16" s="172">
        <v>45580.49680555556</v>
      </c>
      <c r="K16" s="173" t="s">
        <v>139</v>
      </c>
      <c r="L16" s="170" t="s">
        <v>237</v>
      </c>
      <c r="M16" s="226"/>
      <c r="N16" s="232" t="s">
        <v>214</v>
      </c>
      <c r="O16" s="169">
        <v>2.0</v>
      </c>
      <c r="P16" s="169" t="s">
        <v>148</v>
      </c>
      <c r="Q16" s="229"/>
      <c r="S16" s="7"/>
      <c r="T16" s="7"/>
    </row>
    <row r="17">
      <c r="A17" s="168">
        <v>57.0</v>
      </c>
      <c r="B17" s="169" t="s">
        <v>6</v>
      </c>
      <c r="C17" s="169" t="s">
        <v>1087</v>
      </c>
      <c r="D17" s="169" t="s">
        <v>202</v>
      </c>
      <c r="E17" s="170" t="s">
        <v>135</v>
      </c>
      <c r="F17" s="170" t="s">
        <v>136</v>
      </c>
      <c r="G17" s="174"/>
      <c r="H17" s="174"/>
      <c r="I17" s="174"/>
      <c r="J17" s="172">
        <v>45580.46472222222</v>
      </c>
      <c r="K17" s="173" t="s">
        <v>139</v>
      </c>
      <c r="L17" s="170" t="s">
        <v>237</v>
      </c>
      <c r="M17" s="226"/>
      <c r="N17" s="232" t="s">
        <v>218</v>
      </c>
      <c r="O17" s="169">
        <v>2.0</v>
      </c>
      <c r="P17" s="7" t="s">
        <v>269</v>
      </c>
      <c r="Q17" s="229"/>
      <c r="S17" s="7"/>
      <c r="T17" s="7"/>
    </row>
    <row r="18">
      <c r="A18" s="168">
        <v>56.0</v>
      </c>
      <c r="B18" s="169" t="s">
        <v>7</v>
      </c>
      <c r="C18" s="169" t="s">
        <v>2921</v>
      </c>
      <c r="D18" s="169" t="s">
        <v>228</v>
      </c>
      <c r="E18" s="170" t="s">
        <v>136</v>
      </c>
      <c r="F18" s="170" t="s">
        <v>136</v>
      </c>
      <c r="G18" s="171"/>
      <c r="H18" s="171"/>
      <c r="I18" s="171"/>
      <c r="J18" s="172">
        <v>45580.42254629629</v>
      </c>
      <c r="K18" s="173" t="s">
        <v>139</v>
      </c>
      <c r="L18" s="170" t="s">
        <v>237</v>
      </c>
      <c r="M18" s="226"/>
      <c r="N18" s="232" t="s">
        <v>268</v>
      </c>
      <c r="O18" s="169">
        <v>3.0</v>
      </c>
      <c r="P18" s="7" t="s">
        <v>269</v>
      </c>
      <c r="Q18" s="229"/>
      <c r="S18" s="7"/>
      <c r="T18" s="7"/>
    </row>
    <row r="19">
      <c r="A19" s="168">
        <v>55.0</v>
      </c>
      <c r="B19" s="169" t="s">
        <v>6</v>
      </c>
      <c r="C19" s="169" t="s">
        <v>2922</v>
      </c>
      <c r="D19" s="169" t="s">
        <v>214</v>
      </c>
      <c r="E19" s="170" t="s">
        <v>136</v>
      </c>
      <c r="F19" s="170" t="s">
        <v>136</v>
      </c>
      <c r="G19" s="174"/>
      <c r="H19" s="174"/>
      <c r="I19" s="174"/>
      <c r="J19" s="172">
        <v>45580.41359953704</v>
      </c>
      <c r="K19" s="173" t="s">
        <v>139</v>
      </c>
      <c r="L19" s="170" t="s">
        <v>237</v>
      </c>
      <c r="M19" s="226"/>
      <c r="N19" s="232" t="s">
        <v>197</v>
      </c>
      <c r="O19" s="169">
        <v>2.0</v>
      </c>
      <c r="P19" s="7" t="s">
        <v>328</v>
      </c>
      <c r="Q19" s="229"/>
      <c r="S19" s="7"/>
      <c r="T19" s="7"/>
    </row>
    <row r="20">
      <c r="A20" s="168">
        <v>54.0</v>
      </c>
      <c r="B20" s="169" t="s">
        <v>7</v>
      </c>
      <c r="C20" s="169" t="s">
        <v>2923</v>
      </c>
      <c r="D20" s="169" t="s">
        <v>223</v>
      </c>
      <c r="E20" s="170" t="s">
        <v>136</v>
      </c>
      <c r="F20" s="170" t="s">
        <v>136</v>
      </c>
      <c r="G20" s="171"/>
      <c r="H20" s="171"/>
      <c r="I20" s="171"/>
      <c r="J20" s="172">
        <v>45580.36226851852</v>
      </c>
      <c r="K20" s="173" t="s">
        <v>139</v>
      </c>
      <c r="L20" s="170" t="s">
        <v>237</v>
      </c>
      <c r="M20" s="226"/>
      <c r="N20" s="234" t="s">
        <v>209</v>
      </c>
      <c r="O20" s="169">
        <v>1.0</v>
      </c>
      <c r="P20" s="7" t="s">
        <v>269</v>
      </c>
      <c r="Q20" s="229"/>
      <c r="S20" s="7"/>
      <c r="T20" s="7"/>
    </row>
    <row r="21">
      <c r="A21" s="168">
        <v>53.0</v>
      </c>
      <c r="B21" s="169" t="s">
        <v>7</v>
      </c>
      <c r="C21" s="169" t="s">
        <v>2924</v>
      </c>
      <c r="D21" s="169" t="s">
        <v>238</v>
      </c>
      <c r="E21" s="170" t="s">
        <v>136</v>
      </c>
      <c r="F21" s="170" t="s">
        <v>136</v>
      </c>
      <c r="G21" s="174"/>
      <c r="H21" s="174"/>
      <c r="I21" s="174"/>
      <c r="J21" s="172">
        <v>45579.88449074074</v>
      </c>
      <c r="K21" s="173" t="s">
        <v>139</v>
      </c>
      <c r="L21" s="170" t="s">
        <v>237</v>
      </c>
      <c r="M21" s="226"/>
      <c r="N21" s="232" t="s">
        <v>233</v>
      </c>
      <c r="O21" s="169">
        <v>1.0</v>
      </c>
      <c r="P21" s="7" t="s">
        <v>451</v>
      </c>
      <c r="Q21" s="229"/>
      <c r="S21" s="7"/>
      <c r="T21" s="7"/>
    </row>
    <row r="22">
      <c r="A22" s="168">
        <v>52.0</v>
      </c>
      <c r="B22" s="169" t="s">
        <v>7</v>
      </c>
      <c r="C22" s="169" t="s">
        <v>2916</v>
      </c>
      <c r="D22" s="169" t="s">
        <v>176</v>
      </c>
      <c r="E22" s="170" t="s">
        <v>136</v>
      </c>
      <c r="F22" s="170" t="s">
        <v>136</v>
      </c>
      <c r="G22" s="171"/>
      <c r="H22" s="171"/>
      <c r="I22" s="171"/>
      <c r="J22" s="172">
        <v>45579.4991087963</v>
      </c>
      <c r="K22" s="173" t="s">
        <v>139</v>
      </c>
      <c r="L22" s="170" t="s">
        <v>237</v>
      </c>
      <c r="M22" s="226"/>
      <c r="N22" s="227"/>
      <c r="O22" s="228"/>
      <c r="P22" s="228"/>
      <c r="Q22" s="229"/>
      <c r="S22" s="7"/>
      <c r="T22" s="7"/>
    </row>
    <row r="23">
      <c r="A23" s="168">
        <v>51.0</v>
      </c>
      <c r="B23" s="169" t="s">
        <v>6</v>
      </c>
      <c r="C23" s="169" t="s">
        <v>2925</v>
      </c>
      <c r="D23" s="169" t="s">
        <v>213</v>
      </c>
      <c r="E23" s="170" t="s">
        <v>136</v>
      </c>
      <c r="F23" s="170" t="s">
        <v>136</v>
      </c>
      <c r="G23" s="174"/>
      <c r="H23" s="174"/>
      <c r="I23" s="174"/>
      <c r="J23" s="172">
        <v>45579.43587962963</v>
      </c>
      <c r="K23" s="173" t="s">
        <v>139</v>
      </c>
      <c r="L23" s="170" t="s">
        <v>237</v>
      </c>
      <c r="M23" s="226"/>
      <c r="N23" s="227"/>
      <c r="O23" s="228"/>
      <c r="P23" s="228"/>
      <c r="Q23" s="229"/>
      <c r="S23" s="7"/>
      <c r="T23" s="7"/>
    </row>
    <row r="24">
      <c r="A24" s="168">
        <v>50.0</v>
      </c>
      <c r="B24" s="169" t="s">
        <v>7</v>
      </c>
      <c r="C24" s="169" t="s">
        <v>2032</v>
      </c>
      <c r="D24" s="169" t="s">
        <v>223</v>
      </c>
      <c r="E24" s="170" t="s">
        <v>136</v>
      </c>
      <c r="F24" s="170" t="s">
        <v>136</v>
      </c>
      <c r="J24" s="172">
        <v>45579.42543981481</v>
      </c>
      <c r="K24" s="173" t="s">
        <v>139</v>
      </c>
      <c r="L24" s="170" t="s">
        <v>237</v>
      </c>
      <c r="S24" s="7"/>
      <c r="T24" s="7"/>
    </row>
    <row r="25">
      <c r="A25" s="168">
        <v>49.0</v>
      </c>
      <c r="B25" s="169" t="s">
        <v>7</v>
      </c>
      <c r="C25" s="169" t="s">
        <v>2926</v>
      </c>
      <c r="D25" s="169" t="s">
        <v>153</v>
      </c>
      <c r="E25" s="170" t="s">
        <v>136</v>
      </c>
      <c r="F25" s="170" t="s">
        <v>136</v>
      </c>
      <c r="J25" s="172">
        <v>45579.42199074074</v>
      </c>
      <c r="K25" s="173" t="s">
        <v>139</v>
      </c>
      <c r="L25" s="170" t="s">
        <v>237</v>
      </c>
      <c r="O25" s="17">
        <v>12.0</v>
      </c>
      <c r="P25" s="17" t="s">
        <v>269</v>
      </c>
      <c r="S25" s="7"/>
      <c r="T25" s="7"/>
    </row>
    <row r="26">
      <c r="A26" s="168">
        <v>48.0</v>
      </c>
      <c r="B26" s="169" t="s">
        <v>7</v>
      </c>
      <c r="C26" s="169" t="s">
        <v>1096</v>
      </c>
      <c r="D26" s="169" t="s">
        <v>153</v>
      </c>
      <c r="E26" s="170" t="s">
        <v>136</v>
      </c>
      <c r="F26" s="170" t="s">
        <v>136</v>
      </c>
      <c r="J26" s="172">
        <v>45579.41622685185</v>
      </c>
      <c r="K26" s="173" t="s">
        <v>139</v>
      </c>
      <c r="L26" s="170" t="s">
        <v>237</v>
      </c>
      <c r="O26" s="17">
        <v>19.0</v>
      </c>
      <c r="P26" s="17" t="s">
        <v>328</v>
      </c>
      <c r="S26" s="7"/>
      <c r="T26" s="7"/>
    </row>
    <row r="27">
      <c r="A27" s="168">
        <v>47.0</v>
      </c>
      <c r="B27" s="169" t="s">
        <v>7</v>
      </c>
      <c r="C27" s="169" t="s">
        <v>137</v>
      </c>
      <c r="D27" s="169" t="s">
        <v>228</v>
      </c>
      <c r="E27" s="170" t="s">
        <v>136</v>
      </c>
      <c r="F27" s="170" t="s">
        <v>136</v>
      </c>
      <c r="J27" s="172">
        <v>45579.41357638889</v>
      </c>
      <c r="K27" s="173" t="s">
        <v>139</v>
      </c>
      <c r="L27" s="170" t="s">
        <v>237</v>
      </c>
      <c r="O27" s="82">
        <v>39.0</v>
      </c>
      <c r="P27" s="237" t="s">
        <v>451</v>
      </c>
      <c r="S27" s="7"/>
      <c r="T27" s="7"/>
    </row>
    <row r="28">
      <c r="A28" s="168">
        <v>46.0</v>
      </c>
      <c r="B28" s="169" t="s">
        <v>7</v>
      </c>
      <c r="C28" s="169" t="s">
        <v>2927</v>
      </c>
      <c r="D28" s="169" t="s">
        <v>228</v>
      </c>
      <c r="E28" s="170" t="s">
        <v>136</v>
      </c>
      <c r="F28" s="170" t="s">
        <v>136</v>
      </c>
      <c r="J28" s="172">
        <v>45579.40604166667</v>
      </c>
      <c r="K28" s="173" t="s">
        <v>139</v>
      </c>
      <c r="L28" s="170" t="s">
        <v>237</v>
      </c>
      <c r="O28" s="238">
        <v>2.0</v>
      </c>
      <c r="P28" s="239" t="s">
        <v>22</v>
      </c>
      <c r="S28" s="7"/>
      <c r="T28" s="7"/>
    </row>
    <row r="29">
      <c r="A29" s="168">
        <v>45.0</v>
      </c>
      <c r="B29" s="169" t="s">
        <v>6</v>
      </c>
      <c r="C29" s="169" t="s">
        <v>315</v>
      </c>
      <c r="D29" s="169" t="s">
        <v>164</v>
      </c>
      <c r="E29" s="170" t="s">
        <v>136</v>
      </c>
      <c r="F29" s="170" t="s">
        <v>136</v>
      </c>
      <c r="J29" s="172">
        <v>45579.40181712963</v>
      </c>
      <c r="K29" s="173" t="s">
        <v>139</v>
      </c>
      <c r="L29" s="170" t="s">
        <v>237</v>
      </c>
      <c r="S29" s="7"/>
      <c r="T29" s="7"/>
    </row>
    <row r="30">
      <c r="A30" s="168">
        <v>44.0</v>
      </c>
      <c r="B30" s="169" t="s">
        <v>7</v>
      </c>
      <c r="C30" s="169" t="s">
        <v>2903</v>
      </c>
      <c r="D30" s="169" t="s">
        <v>228</v>
      </c>
      <c r="E30" s="170" t="s">
        <v>136</v>
      </c>
      <c r="F30" s="170" t="s">
        <v>136</v>
      </c>
      <c r="J30" s="172">
        <v>45579.36240740741</v>
      </c>
      <c r="K30" s="173" t="s">
        <v>139</v>
      </c>
      <c r="L30" s="170" t="s">
        <v>237</v>
      </c>
      <c r="S30" s="7"/>
      <c r="T30" s="7"/>
    </row>
    <row r="31">
      <c r="A31" s="168">
        <v>43.0</v>
      </c>
      <c r="B31" s="169" t="s">
        <v>7</v>
      </c>
      <c r="C31" s="169" t="s">
        <v>2928</v>
      </c>
      <c r="D31" s="169" t="s">
        <v>213</v>
      </c>
      <c r="E31" s="170" t="s">
        <v>136</v>
      </c>
      <c r="F31" s="170" t="s">
        <v>136</v>
      </c>
      <c r="J31" s="172">
        <v>45579.35800925926</v>
      </c>
      <c r="K31" s="173" t="s">
        <v>139</v>
      </c>
      <c r="L31" s="170" t="s">
        <v>237</v>
      </c>
      <c r="S31" s="7"/>
      <c r="T31" s="7"/>
    </row>
    <row r="32">
      <c r="A32" s="168">
        <v>42.0</v>
      </c>
      <c r="B32" s="169" t="s">
        <v>7</v>
      </c>
      <c r="C32" s="169" t="s">
        <v>2929</v>
      </c>
      <c r="D32" s="169" t="s">
        <v>134</v>
      </c>
      <c r="E32" s="170" t="s">
        <v>136</v>
      </c>
      <c r="F32" s="170" t="s">
        <v>136</v>
      </c>
      <c r="J32" s="172">
        <v>45579.340416666666</v>
      </c>
      <c r="K32" s="173" t="s">
        <v>139</v>
      </c>
      <c r="L32" s="170" t="s">
        <v>237</v>
      </c>
      <c r="S32" s="7"/>
      <c r="T32" s="7"/>
    </row>
    <row r="33">
      <c r="A33" s="168">
        <v>41.0</v>
      </c>
      <c r="B33" s="169" t="s">
        <v>7</v>
      </c>
      <c r="C33" s="169" t="s">
        <v>2930</v>
      </c>
      <c r="D33" s="169" t="s">
        <v>213</v>
      </c>
      <c r="E33" s="170" t="s">
        <v>136</v>
      </c>
      <c r="F33" s="170" t="s">
        <v>136</v>
      </c>
      <c r="J33" s="172">
        <v>45579.31269675926</v>
      </c>
      <c r="K33" s="173" t="s">
        <v>139</v>
      </c>
      <c r="L33" s="170" t="s">
        <v>237</v>
      </c>
      <c r="S33" s="7"/>
      <c r="T33" s="7"/>
    </row>
    <row r="34">
      <c r="A34" s="168">
        <v>40.0</v>
      </c>
      <c r="B34" s="169" t="s">
        <v>7</v>
      </c>
      <c r="C34" s="169" t="s">
        <v>696</v>
      </c>
      <c r="D34" s="169" t="s">
        <v>213</v>
      </c>
      <c r="E34" s="170" t="s">
        <v>136</v>
      </c>
      <c r="F34" s="170" t="s">
        <v>136</v>
      </c>
      <c r="J34" s="172">
        <v>45579.292719907404</v>
      </c>
      <c r="K34" s="173" t="s">
        <v>139</v>
      </c>
      <c r="L34" s="170" t="s">
        <v>237</v>
      </c>
      <c r="S34" s="7"/>
      <c r="T34" s="7"/>
    </row>
    <row r="35">
      <c r="A35" s="168">
        <v>39.0</v>
      </c>
      <c r="B35" s="169" t="s">
        <v>7</v>
      </c>
      <c r="C35" s="169" t="s">
        <v>2931</v>
      </c>
      <c r="D35" s="169" t="s">
        <v>228</v>
      </c>
      <c r="E35" s="170" t="s">
        <v>136</v>
      </c>
      <c r="F35" s="170" t="s">
        <v>136</v>
      </c>
      <c r="J35" s="172">
        <v>45577.768587962964</v>
      </c>
      <c r="K35" s="173" t="s">
        <v>139</v>
      </c>
      <c r="L35" s="170" t="s">
        <v>237</v>
      </c>
      <c r="S35" s="7"/>
      <c r="T35" s="7"/>
    </row>
    <row r="36">
      <c r="A36" s="168">
        <v>38.0</v>
      </c>
      <c r="B36" s="169" t="s">
        <v>7</v>
      </c>
      <c r="C36" s="169" t="s">
        <v>366</v>
      </c>
      <c r="D36" s="169" t="s">
        <v>218</v>
      </c>
      <c r="E36" s="170" t="s">
        <v>136</v>
      </c>
      <c r="F36" s="170" t="s">
        <v>136</v>
      </c>
      <c r="J36" s="172">
        <v>45576.86164351852</v>
      </c>
      <c r="K36" s="173" t="s">
        <v>139</v>
      </c>
      <c r="L36" s="170" t="s">
        <v>237</v>
      </c>
      <c r="S36" s="7"/>
      <c r="T36" s="7"/>
    </row>
    <row r="37">
      <c r="A37" s="168">
        <v>37.0</v>
      </c>
      <c r="B37" s="169" t="s">
        <v>7</v>
      </c>
      <c r="C37" s="169" t="s">
        <v>696</v>
      </c>
      <c r="D37" s="169" t="s">
        <v>213</v>
      </c>
      <c r="E37" s="170" t="s">
        <v>136</v>
      </c>
      <c r="F37" s="170" t="s">
        <v>136</v>
      </c>
      <c r="J37" s="172">
        <v>45576.830462962964</v>
      </c>
      <c r="K37" s="173" t="s">
        <v>139</v>
      </c>
      <c r="L37" s="170" t="s">
        <v>237</v>
      </c>
      <c r="S37" s="7"/>
      <c r="T37" s="7"/>
    </row>
    <row r="38">
      <c r="A38" s="168">
        <v>36.0</v>
      </c>
      <c r="B38" s="169" t="s">
        <v>7</v>
      </c>
      <c r="C38" s="169" t="s">
        <v>409</v>
      </c>
      <c r="D38" s="169" t="s">
        <v>197</v>
      </c>
      <c r="E38" s="170" t="s">
        <v>136</v>
      </c>
      <c r="F38" s="170" t="s">
        <v>136</v>
      </c>
      <c r="J38" s="172">
        <v>45576.55657407407</v>
      </c>
      <c r="K38" s="173" t="s">
        <v>139</v>
      </c>
      <c r="L38" s="170" t="s">
        <v>237</v>
      </c>
      <c r="S38" s="7"/>
      <c r="T38" s="7"/>
    </row>
    <row r="39">
      <c r="A39" s="168">
        <v>35.0</v>
      </c>
      <c r="B39" s="169" t="s">
        <v>7</v>
      </c>
      <c r="C39" s="169" t="s">
        <v>2932</v>
      </c>
      <c r="D39" s="169" t="s">
        <v>291</v>
      </c>
      <c r="E39" s="170" t="s">
        <v>136</v>
      </c>
      <c r="F39" s="170" t="s">
        <v>136</v>
      </c>
      <c r="J39" s="172">
        <v>45576.5275</v>
      </c>
      <c r="K39" s="173" t="s">
        <v>139</v>
      </c>
      <c r="L39" s="170" t="s">
        <v>237</v>
      </c>
      <c r="S39" s="7"/>
      <c r="T39" s="7"/>
    </row>
    <row r="40">
      <c r="A40" s="168">
        <v>34.0</v>
      </c>
      <c r="B40" s="169" t="s">
        <v>7</v>
      </c>
      <c r="C40" s="169" t="s">
        <v>2933</v>
      </c>
      <c r="D40" s="169" t="s">
        <v>228</v>
      </c>
      <c r="E40" s="170" t="s">
        <v>136</v>
      </c>
      <c r="F40" s="170" t="s">
        <v>136</v>
      </c>
      <c r="J40" s="172">
        <v>45576.48903935185</v>
      </c>
      <c r="K40" s="173" t="s">
        <v>139</v>
      </c>
      <c r="L40" s="170" t="s">
        <v>237</v>
      </c>
      <c r="S40" s="7"/>
      <c r="T40" s="7"/>
    </row>
    <row r="41">
      <c r="A41" s="168">
        <v>33.0</v>
      </c>
      <c r="B41" s="169" t="s">
        <v>6</v>
      </c>
      <c r="C41" s="169" t="s">
        <v>133</v>
      </c>
      <c r="D41" s="169" t="s">
        <v>134</v>
      </c>
      <c r="E41" s="170" t="s">
        <v>136</v>
      </c>
      <c r="F41" s="170" t="s">
        <v>136</v>
      </c>
      <c r="J41" s="172">
        <v>45576.476851851854</v>
      </c>
      <c r="K41" s="173" t="s">
        <v>139</v>
      </c>
      <c r="L41" s="170" t="s">
        <v>237</v>
      </c>
      <c r="S41" s="7"/>
      <c r="T41" s="7"/>
    </row>
    <row r="42">
      <c r="A42" s="168">
        <v>32.0</v>
      </c>
      <c r="B42" s="169" t="s">
        <v>6</v>
      </c>
      <c r="C42" s="169" t="s">
        <v>2934</v>
      </c>
      <c r="D42" s="169" t="s">
        <v>213</v>
      </c>
      <c r="E42" s="17" t="s">
        <v>135</v>
      </c>
      <c r="F42" s="170" t="s">
        <v>136</v>
      </c>
      <c r="J42" s="172">
        <v>45576.44563657408</v>
      </c>
      <c r="K42" s="173" t="s">
        <v>139</v>
      </c>
      <c r="L42" s="170" t="s">
        <v>237</v>
      </c>
      <c r="S42" s="7"/>
      <c r="T42" s="7"/>
    </row>
    <row r="43">
      <c r="A43" s="168">
        <v>31.0</v>
      </c>
      <c r="B43" s="169" t="s">
        <v>6</v>
      </c>
      <c r="C43" s="169" t="s">
        <v>1379</v>
      </c>
      <c r="D43" s="169" t="s">
        <v>134</v>
      </c>
      <c r="E43" s="17" t="s">
        <v>136</v>
      </c>
      <c r="F43" s="170" t="s">
        <v>136</v>
      </c>
      <c r="J43" s="172">
        <v>45576.39576388889</v>
      </c>
      <c r="K43" s="173" t="s">
        <v>139</v>
      </c>
      <c r="L43" s="170" t="s">
        <v>237</v>
      </c>
      <c r="S43" s="7"/>
      <c r="T43" s="7"/>
    </row>
    <row r="44">
      <c r="A44" s="168">
        <v>30.0</v>
      </c>
      <c r="B44" s="169" t="s">
        <v>7</v>
      </c>
      <c r="C44" s="169" t="s">
        <v>1087</v>
      </c>
      <c r="D44" s="169" t="s">
        <v>202</v>
      </c>
      <c r="E44" s="17" t="s">
        <v>136</v>
      </c>
      <c r="F44" s="170" t="s">
        <v>136</v>
      </c>
      <c r="J44" s="172">
        <v>45576.39197916666</v>
      </c>
      <c r="K44" s="173" t="s">
        <v>139</v>
      </c>
      <c r="L44" s="170" t="s">
        <v>237</v>
      </c>
      <c r="S44" s="7"/>
      <c r="T44" s="7"/>
    </row>
    <row r="45">
      <c r="A45" s="168">
        <v>29.0</v>
      </c>
      <c r="B45" s="169" t="s">
        <v>7</v>
      </c>
      <c r="C45" s="169" t="s">
        <v>2622</v>
      </c>
      <c r="D45" s="169" t="s">
        <v>202</v>
      </c>
      <c r="E45" s="17" t="s">
        <v>136</v>
      </c>
      <c r="F45" s="170" t="s">
        <v>136</v>
      </c>
      <c r="J45" s="172">
        <v>45576.37650462963</v>
      </c>
      <c r="K45" s="173" t="s">
        <v>139</v>
      </c>
      <c r="L45" s="170" t="s">
        <v>237</v>
      </c>
      <c r="S45" s="7"/>
      <c r="T45" s="7"/>
    </row>
    <row r="46">
      <c r="A46" s="168">
        <v>28.0</v>
      </c>
      <c r="B46" s="169" t="s">
        <v>6</v>
      </c>
      <c r="C46" s="169" t="s">
        <v>2935</v>
      </c>
      <c r="D46" s="169" t="s">
        <v>213</v>
      </c>
      <c r="E46" s="17" t="s">
        <v>136</v>
      </c>
      <c r="F46" s="170" t="s">
        <v>136</v>
      </c>
      <c r="J46" s="172">
        <v>45575.88726851852</v>
      </c>
      <c r="K46" s="173" t="s">
        <v>139</v>
      </c>
      <c r="L46" s="170" t="s">
        <v>237</v>
      </c>
      <c r="S46" s="7"/>
      <c r="T46" s="7"/>
    </row>
    <row r="47">
      <c r="A47" s="168">
        <v>27.0</v>
      </c>
      <c r="B47" s="169" t="s">
        <v>7</v>
      </c>
      <c r="C47" s="169" t="s">
        <v>2936</v>
      </c>
      <c r="D47" s="169" t="s">
        <v>352</v>
      </c>
      <c r="E47" s="17" t="s">
        <v>136</v>
      </c>
      <c r="F47" s="170" t="s">
        <v>136</v>
      </c>
      <c r="J47" s="172">
        <v>45575.728530092594</v>
      </c>
      <c r="K47" s="173" t="s">
        <v>139</v>
      </c>
      <c r="L47" s="170" t="s">
        <v>237</v>
      </c>
      <c r="S47" s="7"/>
      <c r="T47" s="7"/>
    </row>
    <row r="48">
      <c r="A48" s="168">
        <v>26.0</v>
      </c>
      <c r="B48" s="169" t="s">
        <v>6</v>
      </c>
      <c r="C48" s="169" t="s">
        <v>2937</v>
      </c>
      <c r="D48" s="169" t="s">
        <v>233</v>
      </c>
      <c r="E48" s="17" t="s">
        <v>136</v>
      </c>
      <c r="F48" s="170" t="s">
        <v>136</v>
      </c>
      <c r="J48" s="172">
        <v>45575.72052083333</v>
      </c>
      <c r="K48" s="173" t="s">
        <v>139</v>
      </c>
      <c r="L48" s="170" t="s">
        <v>237</v>
      </c>
      <c r="S48" s="7"/>
      <c r="T48" s="7"/>
    </row>
    <row r="49">
      <c r="A49" s="168">
        <v>25.0</v>
      </c>
      <c r="B49" s="169" t="s">
        <v>7</v>
      </c>
      <c r="C49" s="169" t="s">
        <v>2938</v>
      </c>
      <c r="D49" s="169" t="s">
        <v>197</v>
      </c>
      <c r="E49" s="17" t="s">
        <v>136</v>
      </c>
      <c r="F49" s="170" t="s">
        <v>136</v>
      </c>
      <c r="J49" s="172">
        <v>45575.71260416666</v>
      </c>
      <c r="K49" s="173" t="s">
        <v>139</v>
      </c>
      <c r="L49" s="170" t="s">
        <v>237</v>
      </c>
      <c r="S49" s="7"/>
      <c r="T49" s="7"/>
    </row>
    <row r="50">
      <c r="A50" s="168">
        <v>24.0</v>
      </c>
      <c r="B50" s="169" t="s">
        <v>6</v>
      </c>
      <c r="C50" s="169" t="s">
        <v>2791</v>
      </c>
      <c r="D50" s="169" t="s">
        <v>143</v>
      </c>
      <c r="E50" s="17" t="s">
        <v>136</v>
      </c>
      <c r="F50" s="170" t="s">
        <v>136</v>
      </c>
      <c r="J50" s="172">
        <v>45575.70956018518</v>
      </c>
      <c r="K50" s="173" t="s">
        <v>139</v>
      </c>
      <c r="L50" s="170" t="s">
        <v>237</v>
      </c>
      <c r="S50" s="7"/>
      <c r="T50" s="7"/>
    </row>
    <row r="51">
      <c r="A51" s="168">
        <v>23.0</v>
      </c>
      <c r="B51" s="169" t="s">
        <v>6</v>
      </c>
      <c r="C51" s="169" t="s">
        <v>2939</v>
      </c>
      <c r="D51" s="169" t="s">
        <v>134</v>
      </c>
      <c r="E51" s="17" t="s">
        <v>136</v>
      </c>
      <c r="F51" s="170" t="s">
        <v>136</v>
      </c>
      <c r="J51" s="172">
        <v>45575.70482638889</v>
      </c>
      <c r="K51" s="173" t="s">
        <v>139</v>
      </c>
      <c r="L51" s="170" t="s">
        <v>237</v>
      </c>
      <c r="S51" s="7"/>
      <c r="T51" s="7"/>
    </row>
    <row r="52">
      <c r="A52" s="168">
        <v>22.0</v>
      </c>
      <c r="B52" s="169" t="s">
        <v>7</v>
      </c>
      <c r="C52" s="169" t="s">
        <v>1096</v>
      </c>
      <c r="D52" s="169" t="s">
        <v>153</v>
      </c>
      <c r="E52" s="17" t="s">
        <v>136</v>
      </c>
      <c r="F52" s="170" t="s">
        <v>136</v>
      </c>
      <c r="J52" s="172">
        <v>45575.7009837963</v>
      </c>
      <c r="K52" s="173" t="s">
        <v>139</v>
      </c>
      <c r="L52" s="170" t="s">
        <v>237</v>
      </c>
      <c r="S52" s="7"/>
      <c r="T52" s="7"/>
    </row>
    <row r="53">
      <c r="A53" s="168">
        <v>21.0</v>
      </c>
      <c r="B53" s="169" t="s">
        <v>7</v>
      </c>
      <c r="C53" s="169" t="s">
        <v>149</v>
      </c>
      <c r="D53" s="169" t="s">
        <v>134</v>
      </c>
      <c r="E53" s="17" t="s">
        <v>136</v>
      </c>
      <c r="F53" s="170" t="s">
        <v>136</v>
      </c>
      <c r="J53" s="172">
        <v>45575.70077546296</v>
      </c>
      <c r="K53" s="173" t="s">
        <v>139</v>
      </c>
      <c r="L53" s="170" t="s">
        <v>237</v>
      </c>
      <c r="S53" s="7"/>
      <c r="T53" s="7"/>
    </row>
    <row r="54">
      <c r="A54" s="168">
        <v>20.0</v>
      </c>
      <c r="B54" s="169" t="s">
        <v>7</v>
      </c>
      <c r="C54" s="169" t="s">
        <v>338</v>
      </c>
      <c r="D54" s="169" t="s">
        <v>143</v>
      </c>
      <c r="E54" s="17" t="s">
        <v>136</v>
      </c>
      <c r="F54" s="170" t="s">
        <v>136</v>
      </c>
      <c r="J54" s="172">
        <v>45575.697743055556</v>
      </c>
      <c r="K54" s="173" t="s">
        <v>139</v>
      </c>
      <c r="L54" s="170" t="s">
        <v>237</v>
      </c>
      <c r="S54" s="7"/>
      <c r="T54" s="7"/>
    </row>
    <row r="55">
      <c r="A55" s="168">
        <v>19.0</v>
      </c>
      <c r="B55" s="169" t="s">
        <v>7</v>
      </c>
      <c r="C55" s="169" t="s">
        <v>2940</v>
      </c>
      <c r="D55" s="169" t="s">
        <v>302</v>
      </c>
      <c r="E55" s="17" t="s">
        <v>136</v>
      </c>
      <c r="F55" s="170" t="s">
        <v>136</v>
      </c>
      <c r="J55" s="172">
        <v>45575.69550925926</v>
      </c>
      <c r="K55" s="173" t="s">
        <v>139</v>
      </c>
      <c r="L55" s="170" t="s">
        <v>237</v>
      </c>
      <c r="S55" s="7"/>
      <c r="T55" s="7"/>
    </row>
    <row r="56">
      <c r="A56" s="168">
        <v>18.0</v>
      </c>
      <c r="B56" s="169" t="s">
        <v>6</v>
      </c>
      <c r="C56" s="169" t="s">
        <v>2916</v>
      </c>
      <c r="D56" s="169" t="s">
        <v>176</v>
      </c>
      <c r="E56" s="17" t="s">
        <v>136</v>
      </c>
      <c r="F56" s="170" t="s">
        <v>136</v>
      </c>
      <c r="J56" s="172">
        <v>45575.66550925926</v>
      </c>
      <c r="K56" s="173" t="s">
        <v>139</v>
      </c>
      <c r="L56" s="170" t="s">
        <v>237</v>
      </c>
      <c r="S56" s="7"/>
      <c r="T56" s="7"/>
    </row>
    <row r="57">
      <c r="A57" s="168">
        <v>17.0</v>
      </c>
      <c r="B57" s="169" t="s">
        <v>7</v>
      </c>
      <c r="C57" s="169" t="s">
        <v>2941</v>
      </c>
      <c r="D57" s="169" t="s">
        <v>398</v>
      </c>
      <c r="E57" s="17" t="s">
        <v>136</v>
      </c>
      <c r="F57" s="170" t="s">
        <v>136</v>
      </c>
      <c r="J57" s="172">
        <v>45575.65414351852</v>
      </c>
      <c r="K57" s="173" t="s">
        <v>139</v>
      </c>
      <c r="L57" s="170" t="s">
        <v>237</v>
      </c>
      <c r="S57" s="7"/>
      <c r="T57" s="7"/>
    </row>
    <row r="58">
      <c r="A58" s="168">
        <v>16.0</v>
      </c>
      <c r="B58" s="169" t="s">
        <v>7</v>
      </c>
      <c r="C58" s="169" t="s">
        <v>2942</v>
      </c>
      <c r="D58" s="169" t="s">
        <v>176</v>
      </c>
      <c r="E58" s="17" t="s">
        <v>136</v>
      </c>
      <c r="F58" s="170" t="s">
        <v>136</v>
      </c>
      <c r="J58" s="172">
        <v>45575.647824074076</v>
      </c>
      <c r="K58" s="173" t="s">
        <v>139</v>
      </c>
      <c r="L58" s="170" t="s">
        <v>237</v>
      </c>
      <c r="S58" s="7"/>
      <c r="T58" s="7"/>
    </row>
    <row r="59">
      <c r="A59" s="168">
        <v>15.0</v>
      </c>
      <c r="B59" s="169" t="s">
        <v>6</v>
      </c>
      <c r="C59" s="169" t="s">
        <v>2943</v>
      </c>
      <c r="D59" s="169" t="s">
        <v>268</v>
      </c>
      <c r="E59" s="17" t="s">
        <v>136</v>
      </c>
      <c r="F59" s="170" t="s">
        <v>136</v>
      </c>
      <c r="J59" s="172">
        <v>45575.64097222222</v>
      </c>
      <c r="K59" s="173" t="s">
        <v>139</v>
      </c>
      <c r="L59" s="170" t="s">
        <v>237</v>
      </c>
      <c r="S59" s="7"/>
      <c r="T59" s="7"/>
    </row>
    <row r="60">
      <c r="A60" s="168">
        <v>14.0</v>
      </c>
      <c r="B60" s="169" t="s">
        <v>7</v>
      </c>
      <c r="C60" s="169" t="s">
        <v>2944</v>
      </c>
      <c r="D60" s="169" t="s">
        <v>134</v>
      </c>
      <c r="E60" s="17" t="s">
        <v>136</v>
      </c>
      <c r="F60" s="170" t="s">
        <v>136</v>
      </c>
      <c r="J60" s="172">
        <v>45575.637650462966</v>
      </c>
      <c r="K60" s="173" t="s">
        <v>139</v>
      </c>
      <c r="L60" s="170" t="s">
        <v>237</v>
      </c>
      <c r="S60" s="7"/>
      <c r="T60" s="7"/>
    </row>
    <row r="61">
      <c r="A61" s="168">
        <v>13.0</v>
      </c>
      <c r="B61" s="169" t="s">
        <v>6</v>
      </c>
      <c r="C61" s="169" t="s">
        <v>564</v>
      </c>
      <c r="D61" s="169" t="s">
        <v>268</v>
      </c>
      <c r="E61" s="17" t="s">
        <v>135</v>
      </c>
      <c r="F61" s="170" t="s">
        <v>136</v>
      </c>
      <c r="J61" s="172">
        <v>45575.63314814815</v>
      </c>
      <c r="K61" s="173" t="s">
        <v>139</v>
      </c>
      <c r="L61" s="170" t="s">
        <v>237</v>
      </c>
      <c r="S61" s="7"/>
      <c r="T61" s="7"/>
    </row>
    <row r="62">
      <c r="A62" s="168">
        <v>12.0</v>
      </c>
      <c r="B62" s="169" t="s">
        <v>6</v>
      </c>
      <c r="C62" s="169" t="s">
        <v>211</v>
      </c>
      <c r="D62" s="169" t="s">
        <v>176</v>
      </c>
      <c r="E62" s="17" t="s">
        <v>136</v>
      </c>
      <c r="F62" s="170" t="s">
        <v>136</v>
      </c>
      <c r="J62" s="172">
        <v>45575.62663194445</v>
      </c>
      <c r="K62" s="173" t="s">
        <v>139</v>
      </c>
      <c r="L62" s="170" t="s">
        <v>237</v>
      </c>
      <c r="S62" s="7"/>
      <c r="T62" s="7"/>
    </row>
    <row r="63">
      <c r="A63" s="168">
        <v>11.0</v>
      </c>
      <c r="B63" s="169" t="s">
        <v>6</v>
      </c>
      <c r="C63" s="169" t="s">
        <v>260</v>
      </c>
      <c r="D63" s="169" t="s">
        <v>213</v>
      </c>
      <c r="E63" s="17" t="s">
        <v>136</v>
      </c>
      <c r="F63" s="170" t="s">
        <v>136</v>
      </c>
      <c r="J63" s="172">
        <v>45575.62436342592</v>
      </c>
      <c r="K63" s="173" t="s">
        <v>139</v>
      </c>
      <c r="L63" s="170" t="s">
        <v>237</v>
      </c>
      <c r="S63" s="7"/>
      <c r="T63" s="7"/>
    </row>
    <row r="64">
      <c r="A64" s="168">
        <v>10.0</v>
      </c>
      <c r="B64" s="169" t="s">
        <v>7</v>
      </c>
      <c r="C64" s="169" t="s">
        <v>2945</v>
      </c>
      <c r="D64" s="169" t="s">
        <v>352</v>
      </c>
      <c r="E64" s="17" t="s">
        <v>136</v>
      </c>
      <c r="F64" s="170" t="s">
        <v>136</v>
      </c>
      <c r="J64" s="172">
        <v>45575.62064814815</v>
      </c>
      <c r="K64" s="173" t="s">
        <v>139</v>
      </c>
      <c r="L64" s="170" t="s">
        <v>237</v>
      </c>
      <c r="S64" s="7"/>
      <c r="T64" s="7"/>
    </row>
    <row r="65">
      <c r="A65" s="168">
        <v>9.0</v>
      </c>
      <c r="B65" s="169" t="s">
        <v>6</v>
      </c>
      <c r="C65" s="169" t="s">
        <v>2946</v>
      </c>
      <c r="D65" s="169" t="s">
        <v>134</v>
      </c>
      <c r="E65" s="17" t="s">
        <v>136</v>
      </c>
      <c r="F65" s="170" t="s">
        <v>136</v>
      </c>
      <c r="J65" s="172">
        <v>45575.619155092594</v>
      </c>
      <c r="K65" s="173" t="s">
        <v>139</v>
      </c>
      <c r="L65" s="170" t="s">
        <v>237</v>
      </c>
      <c r="S65" s="7"/>
      <c r="T65" s="7"/>
    </row>
    <row r="66">
      <c r="A66" s="168">
        <v>8.0</v>
      </c>
      <c r="B66" s="169" t="s">
        <v>7</v>
      </c>
      <c r="C66" s="169" t="s">
        <v>2947</v>
      </c>
      <c r="D66" s="169" t="s">
        <v>223</v>
      </c>
      <c r="E66" s="17" t="s">
        <v>136</v>
      </c>
      <c r="F66" s="170" t="s">
        <v>136</v>
      </c>
      <c r="J66" s="172">
        <v>45575.60958333333</v>
      </c>
      <c r="K66" s="173" t="s">
        <v>139</v>
      </c>
      <c r="L66" s="170" t="s">
        <v>237</v>
      </c>
      <c r="S66" s="7"/>
      <c r="T66" s="7"/>
    </row>
    <row r="67">
      <c r="A67" s="168">
        <v>7.0</v>
      </c>
      <c r="B67" s="169" t="s">
        <v>6</v>
      </c>
      <c r="C67" s="169" t="s">
        <v>329</v>
      </c>
      <c r="D67" s="169" t="s">
        <v>213</v>
      </c>
      <c r="E67" s="17" t="s">
        <v>136</v>
      </c>
      <c r="F67" s="170" t="s">
        <v>136</v>
      </c>
      <c r="J67" s="172">
        <v>45575.60649305556</v>
      </c>
      <c r="K67" s="173" t="s">
        <v>139</v>
      </c>
      <c r="L67" s="170" t="s">
        <v>237</v>
      </c>
      <c r="S67" s="7"/>
      <c r="T67" s="7"/>
    </row>
    <row r="68">
      <c r="A68" s="168">
        <v>6.0</v>
      </c>
      <c r="B68" s="169" t="s">
        <v>7</v>
      </c>
      <c r="C68" s="169" t="s">
        <v>2924</v>
      </c>
      <c r="D68" s="169" t="s">
        <v>238</v>
      </c>
      <c r="E68" s="17" t="s">
        <v>136</v>
      </c>
      <c r="F68" s="170" t="s">
        <v>136</v>
      </c>
      <c r="J68" s="172">
        <v>45575.58938657407</v>
      </c>
      <c r="K68" s="173" t="s">
        <v>139</v>
      </c>
      <c r="L68" s="170" t="s">
        <v>237</v>
      </c>
      <c r="S68" s="7"/>
      <c r="T68" s="7"/>
    </row>
    <row r="69">
      <c r="A69" s="168">
        <v>5.0</v>
      </c>
      <c r="B69" s="169" t="s">
        <v>7</v>
      </c>
      <c r="C69" s="169" t="s">
        <v>409</v>
      </c>
      <c r="D69" s="169" t="s">
        <v>238</v>
      </c>
      <c r="E69" s="17" t="s">
        <v>136</v>
      </c>
      <c r="F69" s="170" t="s">
        <v>136</v>
      </c>
      <c r="J69" s="172">
        <v>45575.50445601852</v>
      </c>
      <c r="K69" s="173" t="s">
        <v>139</v>
      </c>
      <c r="L69" s="170" t="s">
        <v>237</v>
      </c>
      <c r="S69" s="7"/>
      <c r="T69" s="7"/>
    </row>
    <row r="70">
      <c r="A70" s="168">
        <v>4.0</v>
      </c>
      <c r="B70" s="169" t="s">
        <v>6</v>
      </c>
      <c r="C70" s="169" t="s">
        <v>2948</v>
      </c>
      <c r="D70" s="169" t="s">
        <v>238</v>
      </c>
      <c r="E70" s="17" t="s">
        <v>136</v>
      </c>
      <c r="F70" s="170" t="s">
        <v>136</v>
      </c>
      <c r="J70" s="172">
        <v>45575.48762731482</v>
      </c>
      <c r="K70" s="173" t="s">
        <v>139</v>
      </c>
      <c r="L70" s="170" t="s">
        <v>237</v>
      </c>
      <c r="S70" s="7"/>
      <c r="T70" s="7"/>
    </row>
    <row r="71">
      <c r="A71" s="168">
        <v>3.0</v>
      </c>
      <c r="B71" s="169" t="s">
        <v>6</v>
      </c>
      <c r="C71" s="169" t="s">
        <v>2949</v>
      </c>
      <c r="D71" s="169" t="s">
        <v>238</v>
      </c>
      <c r="E71" s="17" t="s">
        <v>136</v>
      </c>
      <c r="F71" s="170" t="s">
        <v>136</v>
      </c>
      <c r="J71" s="172">
        <v>45575.48222222222</v>
      </c>
      <c r="K71" s="173" t="s">
        <v>139</v>
      </c>
      <c r="L71" s="170" t="s">
        <v>237</v>
      </c>
      <c r="S71" s="7"/>
      <c r="T71" s="7"/>
    </row>
    <row r="72">
      <c r="A72" s="168">
        <v>2.0</v>
      </c>
      <c r="B72" s="169" t="s">
        <v>7</v>
      </c>
      <c r="C72" s="169" t="s">
        <v>2922</v>
      </c>
      <c r="D72" s="169" t="s">
        <v>214</v>
      </c>
      <c r="E72" s="17" t="s">
        <v>136</v>
      </c>
      <c r="F72" s="170" t="s">
        <v>136</v>
      </c>
      <c r="J72" s="172">
        <v>45575.457083333335</v>
      </c>
      <c r="K72" s="173" t="s">
        <v>139</v>
      </c>
      <c r="L72" s="170" t="s">
        <v>237</v>
      </c>
      <c r="S72" s="7"/>
      <c r="T72" s="7"/>
    </row>
    <row r="73">
      <c r="A73" s="168">
        <v>1.0</v>
      </c>
      <c r="B73" s="169" t="s">
        <v>6</v>
      </c>
      <c r="C73" s="169" t="s">
        <v>2950</v>
      </c>
      <c r="D73" s="169" t="s">
        <v>218</v>
      </c>
      <c r="E73" s="17" t="s">
        <v>136</v>
      </c>
      <c r="F73" s="170" t="s">
        <v>136</v>
      </c>
      <c r="J73" s="172">
        <v>45573.51534722222</v>
      </c>
      <c r="K73" s="173" t="s">
        <v>139</v>
      </c>
      <c r="L73" s="170" t="s">
        <v>237</v>
      </c>
      <c r="S73" s="7"/>
      <c r="T73" s="7"/>
    </row>
    <row r="74">
      <c r="S74" s="7"/>
      <c r="T74" s="7"/>
    </row>
    <row r="75">
      <c r="S75" s="7"/>
      <c r="T75" s="7"/>
    </row>
    <row r="76">
      <c r="S76" s="7"/>
      <c r="T76" s="7"/>
    </row>
    <row r="77">
      <c r="S77" s="7"/>
      <c r="T77" s="7"/>
    </row>
    <row r="78">
      <c r="S78" s="7"/>
      <c r="T78" s="7"/>
    </row>
    <row r="79">
      <c r="S79" s="7"/>
      <c r="T79" s="7"/>
      <c r="U79" s="11"/>
    </row>
    <row r="80">
      <c r="S80" s="7"/>
      <c r="T80" s="7"/>
      <c r="U80" s="11"/>
    </row>
    <row r="81">
      <c r="S81" s="7"/>
      <c r="T81" s="7"/>
      <c r="U81" s="11"/>
    </row>
    <row r="82">
      <c r="S82" s="7"/>
      <c r="T82" s="7"/>
      <c r="U82" s="11"/>
    </row>
    <row r="83">
      <c r="S83" s="7"/>
      <c r="T83" s="7"/>
    </row>
    <row r="87">
      <c r="T87" s="7"/>
    </row>
    <row r="88">
      <c r="T88" s="7"/>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57"/>
    <col customWidth="1" min="5" max="5" width="21.57"/>
    <col customWidth="1" min="6" max="6" width="25.43"/>
    <col customWidth="1" min="7" max="7" width="18.71"/>
    <col customWidth="1" min="8" max="8" width="28.71"/>
    <col customWidth="1" min="9" max="9" width="8.57"/>
    <col customWidth="1" min="10" max="10" width="24.86"/>
    <col customWidth="1" min="11" max="11" width="18.0"/>
    <col customWidth="1" min="12" max="12" width="13.86"/>
    <col customWidth="1" min="13" max="13" width="8.57"/>
    <col customWidth="1" min="14" max="14" width="15.43"/>
    <col customWidth="1" min="15" max="15" width="8.57"/>
    <col customWidth="1" min="16" max="16" width="19.29"/>
    <col customWidth="1" min="17" max="27" width="8.57"/>
  </cols>
  <sheetData>
    <row r="1">
      <c r="A1" s="123" t="s">
        <v>116</v>
      </c>
      <c r="B1" s="123" t="s">
        <v>117</v>
      </c>
      <c r="C1" s="123" t="s">
        <v>118</v>
      </c>
      <c r="D1" s="123" t="s">
        <v>119</v>
      </c>
      <c r="E1" s="123" t="s">
        <v>120</v>
      </c>
      <c r="F1" s="123" t="s">
        <v>121</v>
      </c>
      <c r="G1" s="123" t="s">
        <v>122</v>
      </c>
      <c r="H1" s="123" t="s">
        <v>123</v>
      </c>
      <c r="I1" s="123" t="s">
        <v>3780</v>
      </c>
      <c r="J1" s="123" t="s">
        <v>125</v>
      </c>
      <c r="K1" s="123" t="s">
        <v>126</v>
      </c>
      <c r="L1" s="131" t="s">
        <v>3920</v>
      </c>
      <c r="M1" s="123"/>
      <c r="N1" s="123" t="s">
        <v>129</v>
      </c>
      <c r="O1" s="123" t="s">
        <v>130</v>
      </c>
      <c r="P1" s="123" t="s">
        <v>131</v>
      </c>
      <c r="Q1" s="123" t="s">
        <v>3880</v>
      </c>
      <c r="R1" s="123"/>
      <c r="S1" s="123"/>
      <c r="T1" s="123"/>
      <c r="U1" s="123"/>
      <c r="V1" s="123"/>
      <c r="W1" s="123"/>
      <c r="X1" s="123"/>
      <c r="Y1" s="123"/>
      <c r="Z1" s="123"/>
      <c r="AA1" s="123"/>
    </row>
    <row r="2">
      <c r="A2" s="287">
        <v>37.0</v>
      </c>
      <c r="B2" s="287" t="s">
        <v>6</v>
      </c>
      <c r="C2" s="287" t="s">
        <v>133</v>
      </c>
      <c r="D2" s="287" t="s">
        <v>134</v>
      </c>
      <c r="E2" s="287" t="s">
        <v>135</v>
      </c>
      <c r="F2" s="287" t="s">
        <v>136</v>
      </c>
      <c r="G2" s="133" t="s">
        <v>137</v>
      </c>
      <c r="H2" s="288"/>
      <c r="I2" s="287" t="s">
        <v>136</v>
      </c>
      <c r="J2" s="287" t="s">
        <v>138</v>
      </c>
      <c r="K2" s="287" t="s">
        <v>139</v>
      </c>
      <c r="L2" s="17" t="s">
        <v>25</v>
      </c>
      <c r="N2" s="7" t="str">
        <f t="array" ref="N2:N23">UNIQUE(D2:D90)</f>
        <v>France</v>
      </c>
      <c r="O2" s="7">
        <f t="shared" ref="O2:O23" si="1">COUNTIF(D$2:D$1000,N2)</f>
        <v>8</v>
      </c>
      <c r="P2" s="7" t="str">
        <f t="array" ref="P2">XLOOKUP(N2,Countries!A$2:A$98,Countries!B$2:B$98,"tbd",0)</f>
        <v>Europe</v>
      </c>
    </row>
    <row r="3">
      <c r="A3" s="287">
        <v>34.0</v>
      </c>
      <c r="B3" s="287" t="s">
        <v>6</v>
      </c>
      <c r="C3" s="287" t="s">
        <v>142</v>
      </c>
      <c r="D3" s="287" t="s">
        <v>143</v>
      </c>
      <c r="E3" s="287" t="s">
        <v>136</v>
      </c>
      <c r="F3" s="287" t="s">
        <v>136</v>
      </c>
      <c r="G3" s="133" t="s">
        <v>144</v>
      </c>
      <c r="H3" s="288"/>
      <c r="I3" s="287" t="s">
        <v>136</v>
      </c>
      <c r="J3" s="287" t="s">
        <v>145</v>
      </c>
      <c r="K3" s="287" t="s">
        <v>139</v>
      </c>
      <c r="L3" s="17" t="s">
        <v>25</v>
      </c>
      <c r="N3" s="7" t="s">
        <v>143</v>
      </c>
      <c r="O3" s="7">
        <f t="shared" si="1"/>
        <v>21</v>
      </c>
      <c r="P3" s="7" t="str">
        <f t="array" ref="P3">XLOOKUP(N3,Countries!A$2:A$98,Countries!B$2:B$98,"tbd",0)</f>
        <v>Europe</v>
      </c>
    </row>
    <row r="4">
      <c r="A4" s="287">
        <v>15.0</v>
      </c>
      <c r="B4" s="287" t="s">
        <v>7</v>
      </c>
      <c r="C4" s="287" t="s">
        <v>149</v>
      </c>
      <c r="D4" s="287" t="s">
        <v>134</v>
      </c>
      <c r="E4" s="287" t="s">
        <v>135</v>
      </c>
      <c r="F4" s="287" t="s">
        <v>136</v>
      </c>
      <c r="G4" s="133" t="s">
        <v>150</v>
      </c>
      <c r="H4" s="287" t="s">
        <v>151</v>
      </c>
      <c r="I4" s="287" t="s">
        <v>135</v>
      </c>
      <c r="J4" s="287" t="s">
        <v>152</v>
      </c>
      <c r="K4" s="287" t="s">
        <v>139</v>
      </c>
      <c r="L4" s="17" t="s">
        <v>25</v>
      </c>
      <c r="N4" s="7" t="s">
        <v>153</v>
      </c>
      <c r="O4" s="289">
        <f t="shared" si="1"/>
        <v>1</v>
      </c>
      <c r="P4" s="7" t="str">
        <f t="array" ref="P4">XLOOKUP(N4,Countries!A$2:A$98,Countries!B$2:B$98,"tbd",0)</f>
        <v>associated countries</v>
      </c>
    </row>
    <row r="5">
      <c r="A5" s="287">
        <v>19.0</v>
      </c>
      <c r="B5" s="287" t="s">
        <v>6</v>
      </c>
      <c r="C5" s="287" t="s">
        <v>156</v>
      </c>
      <c r="D5" s="287" t="s">
        <v>134</v>
      </c>
      <c r="E5" s="287" t="s">
        <v>135</v>
      </c>
      <c r="F5" s="287" t="s">
        <v>136</v>
      </c>
      <c r="G5" s="133" t="s">
        <v>157</v>
      </c>
      <c r="H5" s="288"/>
      <c r="I5" s="287" t="s">
        <v>135</v>
      </c>
      <c r="J5" s="287" t="s">
        <v>158</v>
      </c>
      <c r="K5" s="287" t="s">
        <v>139</v>
      </c>
      <c r="L5" s="17" t="s">
        <v>25</v>
      </c>
      <c r="N5" s="7" t="s">
        <v>159</v>
      </c>
      <c r="O5" s="289">
        <f t="shared" si="1"/>
        <v>1</v>
      </c>
      <c r="P5" s="7" t="str">
        <f t="array" ref="P5">XLOOKUP(N5,Countries!A$2:A$98,Countries!B$2:B$98,"tbd",0)</f>
        <v>associated countries</v>
      </c>
    </row>
    <row r="6">
      <c r="A6" s="287">
        <v>9.0</v>
      </c>
      <c r="B6" s="287" t="s">
        <v>6</v>
      </c>
      <c r="C6" s="287" t="s">
        <v>162</v>
      </c>
      <c r="D6" s="287" t="s">
        <v>134</v>
      </c>
      <c r="E6" s="287" t="s">
        <v>135</v>
      </c>
      <c r="F6" s="287" t="s">
        <v>136</v>
      </c>
      <c r="G6" s="287" t="s">
        <v>137</v>
      </c>
      <c r="H6" s="288"/>
      <c r="I6" s="287" t="s">
        <v>136</v>
      </c>
      <c r="J6" s="287" t="s">
        <v>163</v>
      </c>
      <c r="K6" s="287" t="s">
        <v>139</v>
      </c>
      <c r="L6" s="17" t="s">
        <v>25</v>
      </c>
      <c r="N6" s="7" t="s">
        <v>164</v>
      </c>
      <c r="O6" s="7">
        <f t="shared" si="1"/>
        <v>11</v>
      </c>
      <c r="P6" s="7" t="str">
        <f t="array" ref="P6">XLOOKUP(N6,Countries!A$2:A$98,Countries!B$2:B$98,"tbd",0)</f>
        <v>Europe</v>
      </c>
    </row>
    <row r="7">
      <c r="A7" s="287">
        <v>5.0</v>
      </c>
      <c r="B7" s="287" t="s">
        <v>7</v>
      </c>
      <c r="C7" s="287" t="s">
        <v>167</v>
      </c>
      <c r="D7" s="287" t="s">
        <v>143</v>
      </c>
      <c r="E7" s="287" t="s">
        <v>136</v>
      </c>
      <c r="F7" s="287" t="s">
        <v>136</v>
      </c>
      <c r="G7" s="133" t="s">
        <v>168</v>
      </c>
      <c r="H7" s="288"/>
      <c r="I7" s="287" t="s">
        <v>135</v>
      </c>
      <c r="J7" s="287" t="s">
        <v>169</v>
      </c>
      <c r="K7" s="287" t="s">
        <v>139</v>
      </c>
      <c r="L7" s="17" t="s">
        <v>25</v>
      </c>
      <c r="N7" s="7" t="s">
        <v>170</v>
      </c>
      <c r="O7" s="7">
        <f t="shared" si="1"/>
        <v>3</v>
      </c>
      <c r="P7" s="7" t="str">
        <f t="array" ref="P7">XLOOKUP(N7,Countries!A$2:A$98,Countries!B$2:B$98,"tbd",0)</f>
        <v>Europe</v>
      </c>
    </row>
    <row r="8">
      <c r="A8" s="287">
        <v>70.0</v>
      </c>
      <c r="B8" s="287" t="s">
        <v>7</v>
      </c>
      <c r="C8" s="287" t="s">
        <v>173</v>
      </c>
      <c r="D8" s="287" t="s">
        <v>143</v>
      </c>
      <c r="E8" s="287" t="s">
        <v>136</v>
      </c>
      <c r="F8" s="287" t="s">
        <v>136</v>
      </c>
      <c r="G8" s="133" t="s">
        <v>174</v>
      </c>
      <c r="H8" s="288"/>
      <c r="I8" s="287" t="s">
        <v>135</v>
      </c>
      <c r="J8" s="287" t="s">
        <v>175</v>
      </c>
      <c r="K8" s="287" t="s">
        <v>139</v>
      </c>
      <c r="L8" s="17" t="s">
        <v>25</v>
      </c>
      <c r="N8" s="7" t="s">
        <v>176</v>
      </c>
      <c r="O8" s="290">
        <f t="shared" si="1"/>
        <v>4</v>
      </c>
      <c r="P8" s="7" t="str">
        <f t="array" ref="P8">XLOOKUP(N8,Countries!A$2:A$98,Countries!B$2:B$98,"tbd",0)</f>
        <v>widening countries</v>
      </c>
    </row>
    <row r="9">
      <c r="A9" s="287">
        <v>12.0</v>
      </c>
      <c r="B9" s="287" t="s">
        <v>7</v>
      </c>
      <c r="C9" s="287" t="s">
        <v>179</v>
      </c>
      <c r="D9" s="287" t="s">
        <v>153</v>
      </c>
      <c r="E9" s="287" t="s">
        <v>136</v>
      </c>
      <c r="F9" s="287" t="s">
        <v>136</v>
      </c>
      <c r="G9" s="287" t="s">
        <v>180</v>
      </c>
      <c r="H9" s="288"/>
      <c r="I9" s="287" t="s">
        <v>135</v>
      </c>
      <c r="J9" s="287" t="s">
        <v>181</v>
      </c>
      <c r="K9" s="287" t="s">
        <v>139</v>
      </c>
      <c r="L9" s="17" t="s">
        <v>25</v>
      </c>
      <c r="N9" s="7" t="s">
        <v>166</v>
      </c>
      <c r="O9" s="289">
        <f t="shared" si="1"/>
        <v>2</v>
      </c>
      <c r="P9" s="7" t="str">
        <f t="array" ref="P9">XLOOKUP(N9,Countries!A$2:A$98,Countries!B$2:B$98,"tbd",0)</f>
        <v>Oceania</v>
      </c>
    </row>
    <row r="10">
      <c r="A10" s="287">
        <v>52.0</v>
      </c>
      <c r="B10" s="287" t="s">
        <v>7</v>
      </c>
      <c r="C10" s="287" t="s">
        <v>184</v>
      </c>
      <c r="D10" s="287" t="s">
        <v>143</v>
      </c>
      <c r="E10" s="287" t="s">
        <v>136</v>
      </c>
      <c r="F10" s="287" t="s">
        <v>136</v>
      </c>
      <c r="G10" s="287" t="s">
        <v>185</v>
      </c>
      <c r="H10" s="288"/>
      <c r="I10" s="287" t="s">
        <v>136</v>
      </c>
      <c r="J10" s="287" t="s">
        <v>186</v>
      </c>
      <c r="K10" s="287" t="s">
        <v>139</v>
      </c>
      <c r="L10" s="17" t="s">
        <v>25</v>
      </c>
      <c r="N10" s="7" t="s">
        <v>187</v>
      </c>
      <c r="O10" s="7">
        <f t="shared" si="1"/>
        <v>2</v>
      </c>
      <c r="P10" s="7" t="str">
        <f t="array" ref="P10">XLOOKUP(N10,Countries!A$2:A$98,Countries!B$2:B$98,"tbd",0)</f>
        <v>Europe</v>
      </c>
    </row>
    <row r="11">
      <c r="A11" s="287">
        <v>80.0</v>
      </c>
      <c r="B11" s="287" t="s">
        <v>7</v>
      </c>
      <c r="C11" s="287" t="s">
        <v>190</v>
      </c>
      <c r="D11" s="287" t="s">
        <v>159</v>
      </c>
      <c r="E11" s="287" t="s">
        <v>135</v>
      </c>
      <c r="F11" s="287" t="s">
        <v>135</v>
      </c>
      <c r="G11" s="287" t="s">
        <v>191</v>
      </c>
      <c r="H11" s="288"/>
      <c r="I11" s="287" t="s">
        <v>136</v>
      </c>
      <c r="J11" s="287" t="s">
        <v>192</v>
      </c>
      <c r="K11" s="287" t="s">
        <v>139</v>
      </c>
      <c r="L11" s="17" t="s">
        <v>25</v>
      </c>
      <c r="N11" s="7" t="s">
        <v>193</v>
      </c>
      <c r="O11" s="7">
        <f t="shared" si="1"/>
        <v>2</v>
      </c>
      <c r="P11" s="7" t="str">
        <f t="array" ref="P11">XLOOKUP(N11,Countries!A$2:A$98,Countries!B$2:B$98,"tbd",0)</f>
        <v>associated countries</v>
      </c>
    </row>
    <row r="12">
      <c r="A12" s="287">
        <v>36.0</v>
      </c>
      <c r="B12" s="287" t="s">
        <v>7</v>
      </c>
      <c r="C12" s="287" t="s">
        <v>195</v>
      </c>
      <c r="D12" s="287" t="s">
        <v>164</v>
      </c>
      <c r="E12" s="287" t="s">
        <v>136</v>
      </c>
      <c r="F12" s="287" t="s">
        <v>136</v>
      </c>
      <c r="G12" s="287" t="s">
        <v>174</v>
      </c>
      <c r="H12" s="288"/>
      <c r="I12" s="287" t="s">
        <v>135</v>
      </c>
      <c r="J12" s="287" t="s">
        <v>196</v>
      </c>
      <c r="K12" s="287" t="s">
        <v>139</v>
      </c>
      <c r="L12" s="17" t="s">
        <v>25</v>
      </c>
      <c r="N12" s="7" t="s">
        <v>197</v>
      </c>
      <c r="O12" s="7">
        <f t="shared" si="1"/>
        <v>3</v>
      </c>
      <c r="P12" s="7" t="str">
        <f t="array" ref="P12">XLOOKUP(N12,Countries!A$2:A$98,Countries!B$2:B$98,"tbd",0)</f>
        <v>Europe</v>
      </c>
    </row>
    <row r="13">
      <c r="A13" s="287">
        <v>16.0</v>
      </c>
      <c r="B13" s="287" t="s">
        <v>7</v>
      </c>
      <c r="C13" s="287" t="s">
        <v>200</v>
      </c>
      <c r="D13" s="287" t="s">
        <v>143</v>
      </c>
      <c r="E13" s="287" t="s">
        <v>136</v>
      </c>
      <c r="F13" s="287" t="s">
        <v>136</v>
      </c>
      <c r="G13" s="287" t="s">
        <v>174</v>
      </c>
      <c r="H13" s="288"/>
      <c r="I13" s="287" t="s">
        <v>136</v>
      </c>
      <c r="J13" s="287" t="s">
        <v>201</v>
      </c>
      <c r="K13" s="287" t="s">
        <v>139</v>
      </c>
      <c r="L13" s="17" t="s">
        <v>25</v>
      </c>
      <c r="N13" s="7" t="s">
        <v>202</v>
      </c>
      <c r="O13" s="7">
        <f t="shared" si="1"/>
        <v>12</v>
      </c>
      <c r="P13" s="7" t="str">
        <f t="array" ref="P13">XLOOKUP(N13,Countries!A$2:A$98,Countries!B$2:B$98,"tbd",0)</f>
        <v>Europe</v>
      </c>
    </row>
    <row r="14">
      <c r="A14" s="287">
        <v>73.0</v>
      </c>
      <c r="B14" s="287" t="s">
        <v>6</v>
      </c>
      <c r="C14" s="287" t="s">
        <v>204</v>
      </c>
      <c r="D14" s="287" t="s">
        <v>170</v>
      </c>
      <c r="E14" s="287" t="s">
        <v>136</v>
      </c>
      <c r="F14" s="287" t="s">
        <v>136</v>
      </c>
      <c r="G14" s="287" t="s">
        <v>205</v>
      </c>
      <c r="H14" s="287" t="s">
        <v>206</v>
      </c>
      <c r="I14" s="287" t="s">
        <v>136</v>
      </c>
      <c r="J14" s="287" t="s">
        <v>207</v>
      </c>
      <c r="K14" s="287" t="s">
        <v>139</v>
      </c>
      <c r="L14" s="17" t="s">
        <v>25</v>
      </c>
      <c r="N14" s="7" t="s">
        <v>209</v>
      </c>
      <c r="O14" s="11">
        <f t="shared" si="1"/>
        <v>2</v>
      </c>
      <c r="P14" s="7" t="str">
        <f t="array" ref="P14">XLOOKUP(N14,Countries!A$2:A$98,Countries!B$2:B$98,"tbd",0)</f>
        <v>associated countries</v>
      </c>
    </row>
    <row r="15">
      <c r="A15" s="287">
        <v>79.0</v>
      </c>
      <c r="B15" s="287" t="s">
        <v>7</v>
      </c>
      <c r="C15" s="287" t="s">
        <v>211</v>
      </c>
      <c r="D15" s="287" t="s">
        <v>176</v>
      </c>
      <c r="E15" s="287" t="s">
        <v>136</v>
      </c>
      <c r="F15" s="287" t="s">
        <v>136</v>
      </c>
      <c r="G15" s="287" t="s">
        <v>137</v>
      </c>
      <c r="H15" s="288"/>
      <c r="I15" s="287" t="s">
        <v>135</v>
      </c>
      <c r="J15" s="287" t="s">
        <v>212</v>
      </c>
      <c r="K15" s="287" t="s">
        <v>139</v>
      </c>
      <c r="L15" s="17" t="s">
        <v>25</v>
      </c>
      <c r="N15" s="7" t="s">
        <v>213</v>
      </c>
      <c r="O15" s="290">
        <f t="shared" si="1"/>
        <v>5</v>
      </c>
      <c r="P15" s="7" t="str">
        <f t="array" ref="P15">XLOOKUP(N15,Countries!A$2:A$98,Countries!B$2:B$98,"tbd",0)</f>
        <v>widening countries</v>
      </c>
    </row>
    <row r="16">
      <c r="A16" s="287">
        <v>28.0</v>
      </c>
      <c r="B16" s="287" t="s">
        <v>7</v>
      </c>
      <c r="C16" s="287" t="s">
        <v>215</v>
      </c>
      <c r="D16" s="287" t="s">
        <v>166</v>
      </c>
      <c r="E16" s="287" t="s">
        <v>136</v>
      </c>
      <c r="F16" s="287" t="s">
        <v>136</v>
      </c>
      <c r="G16" s="287" t="s">
        <v>185</v>
      </c>
      <c r="H16" s="287" t="s">
        <v>216</v>
      </c>
      <c r="I16" s="287" t="s">
        <v>136</v>
      </c>
      <c r="J16" s="287" t="s">
        <v>217</v>
      </c>
      <c r="K16" s="287" t="s">
        <v>139</v>
      </c>
      <c r="L16" s="17" t="s">
        <v>25</v>
      </c>
      <c r="N16" s="7" t="s">
        <v>218</v>
      </c>
      <c r="O16" s="7">
        <f t="shared" si="1"/>
        <v>4</v>
      </c>
      <c r="P16" s="7" t="str">
        <f t="array" ref="P16">XLOOKUP(N16,Countries!A$2:A$98,Countries!B$2:B$98,"tbd",0)</f>
        <v>associated countries</v>
      </c>
    </row>
    <row r="17">
      <c r="A17" s="287">
        <v>17.0</v>
      </c>
      <c r="B17" s="287" t="s">
        <v>6</v>
      </c>
      <c r="C17" s="287" t="s">
        <v>220</v>
      </c>
      <c r="D17" s="287" t="s">
        <v>187</v>
      </c>
      <c r="E17" s="287" t="s">
        <v>136</v>
      </c>
      <c r="F17" s="287" t="s">
        <v>136</v>
      </c>
      <c r="G17" s="287" t="s">
        <v>221</v>
      </c>
      <c r="H17" s="288"/>
      <c r="I17" s="287" t="s">
        <v>135</v>
      </c>
      <c r="J17" s="287" t="s">
        <v>222</v>
      </c>
      <c r="K17" s="287" t="s">
        <v>139</v>
      </c>
      <c r="L17" s="17" t="s">
        <v>25</v>
      </c>
      <c r="N17" s="7" t="s">
        <v>223</v>
      </c>
      <c r="O17" s="290">
        <f t="shared" si="1"/>
        <v>1</v>
      </c>
      <c r="P17" s="7" t="str">
        <f t="array" ref="P17">XLOOKUP(N17,Countries!A$2:A$98,Countries!B$2:B$98,"tbd",0)</f>
        <v>widening countries</v>
      </c>
    </row>
    <row r="18">
      <c r="A18" s="287">
        <v>55.0</v>
      </c>
      <c r="B18" s="287" t="s">
        <v>7</v>
      </c>
      <c r="C18" s="287" t="s">
        <v>225</v>
      </c>
      <c r="D18" s="287" t="s">
        <v>143</v>
      </c>
      <c r="E18" s="287" t="s">
        <v>136</v>
      </c>
      <c r="F18" s="287" t="s">
        <v>136</v>
      </c>
      <c r="G18" s="133" t="s">
        <v>226</v>
      </c>
      <c r="H18" s="288"/>
      <c r="I18" s="287" t="s">
        <v>136</v>
      </c>
      <c r="J18" s="287" t="s">
        <v>227</v>
      </c>
      <c r="K18" s="287" t="s">
        <v>139</v>
      </c>
      <c r="L18" s="17" t="s">
        <v>25</v>
      </c>
      <c r="N18" s="7" t="s">
        <v>228</v>
      </c>
      <c r="O18" s="290">
        <f t="shared" si="1"/>
        <v>2</v>
      </c>
      <c r="P18" s="7" t="str">
        <f t="array" ref="P18">XLOOKUP(N18,Countries!A$2:A$98,Countries!B$2:B$98,"tbd",0)</f>
        <v>widening countries</v>
      </c>
    </row>
    <row r="19">
      <c r="A19" s="287">
        <v>38.0</v>
      </c>
      <c r="B19" s="287" t="s">
        <v>7</v>
      </c>
      <c r="C19" s="287" t="s">
        <v>230</v>
      </c>
      <c r="D19" s="287" t="s">
        <v>193</v>
      </c>
      <c r="E19" s="287" t="s">
        <v>135</v>
      </c>
      <c r="F19" s="287" t="s">
        <v>136</v>
      </c>
      <c r="G19" s="287" t="s">
        <v>231</v>
      </c>
      <c r="H19" s="288"/>
      <c r="I19" s="287" t="s">
        <v>136</v>
      </c>
      <c r="J19" s="287" t="s">
        <v>232</v>
      </c>
      <c r="K19" s="287" t="s">
        <v>139</v>
      </c>
      <c r="L19" s="17" t="s">
        <v>25</v>
      </c>
      <c r="N19" s="7" t="s">
        <v>233</v>
      </c>
      <c r="O19" s="290">
        <f t="shared" si="1"/>
        <v>1</v>
      </c>
      <c r="P19" s="7" t="str">
        <f t="array" ref="P19">XLOOKUP(N19,Countries!A$2:A$98,Countries!B$2:B$98,"tbd",0)</f>
        <v>widening countries</v>
      </c>
    </row>
    <row r="20">
      <c r="A20" s="287">
        <v>4.0</v>
      </c>
      <c r="B20" s="287" t="s">
        <v>8</v>
      </c>
      <c r="C20" s="287" t="s">
        <v>235</v>
      </c>
      <c r="D20" s="287" t="s">
        <v>164</v>
      </c>
      <c r="E20" s="287" t="s">
        <v>136</v>
      </c>
      <c r="F20" s="287" t="s">
        <v>136</v>
      </c>
      <c r="G20" s="287" t="s">
        <v>191</v>
      </c>
      <c r="H20" s="288"/>
      <c r="I20" s="287" t="s">
        <v>136</v>
      </c>
      <c r="J20" s="287" t="s">
        <v>236</v>
      </c>
      <c r="K20" s="287" t="s">
        <v>139</v>
      </c>
      <c r="L20" s="17" t="s">
        <v>25</v>
      </c>
      <c r="N20" s="7" t="s">
        <v>238</v>
      </c>
      <c r="O20" s="290">
        <f t="shared" si="1"/>
        <v>1</v>
      </c>
      <c r="P20" s="7" t="str">
        <f t="array" ref="P20">XLOOKUP(N20,Countries!A$2:A$98,Countries!B$2:B$98,"tbd",0)</f>
        <v>widening countries</v>
      </c>
    </row>
    <row r="21" ht="15.75" customHeight="1">
      <c r="A21" s="287">
        <v>48.0</v>
      </c>
      <c r="B21" s="287" t="s">
        <v>6</v>
      </c>
      <c r="C21" s="287" t="s">
        <v>240</v>
      </c>
      <c r="D21" s="287" t="s">
        <v>197</v>
      </c>
      <c r="E21" s="287" t="s">
        <v>136</v>
      </c>
      <c r="F21" s="287" t="s">
        <v>136</v>
      </c>
      <c r="G21" s="133" t="s">
        <v>241</v>
      </c>
      <c r="H21" s="288"/>
      <c r="I21" s="287" t="s">
        <v>135</v>
      </c>
      <c r="J21" s="287" t="s">
        <v>242</v>
      </c>
      <c r="K21" s="287" t="s">
        <v>139</v>
      </c>
      <c r="L21" s="17" t="s">
        <v>25</v>
      </c>
      <c r="N21" s="7" t="s">
        <v>243</v>
      </c>
      <c r="O21" s="289">
        <f t="shared" si="1"/>
        <v>1</v>
      </c>
      <c r="P21" s="7" t="str">
        <f t="array" ref="P21">XLOOKUP(N21,Countries!A$2:A$98,Countries!B$2:B$98,"tbd",0)</f>
        <v>Middle East</v>
      </c>
    </row>
    <row r="22" ht="15.75" customHeight="1">
      <c r="A22" s="287">
        <v>13.0</v>
      </c>
      <c r="B22" s="287" t="s">
        <v>6</v>
      </c>
      <c r="C22" s="287" t="s">
        <v>245</v>
      </c>
      <c r="D22" s="287" t="s">
        <v>202</v>
      </c>
      <c r="E22" s="287" t="s">
        <v>136</v>
      </c>
      <c r="F22" s="287" t="s">
        <v>136</v>
      </c>
      <c r="G22" s="133" t="s">
        <v>246</v>
      </c>
      <c r="H22" s="288"/>
      <c r="I22" s="287" t="s">
        <v>135</v>
      </c>
      <c r="J22" s="287" t="s">
        <v>247</v>
      </c>
      <c r="K22" s="287" t="s">
        <v>139</v>
      </c>
      <c r="L22" s="17" t="s">
        <v>25</v>
      </c>
      <c r="N22" s="7" t="s">
        <v>248</v>
      </c>
      <c r="O22" s="7">
        <f t="shared" si="1"/>
        <v>1</v>
      </c>
      <c r="P22" s="7" t="str">
        <f t="array" ref="P22">XLOOKUP(N22,Countries!A$2:A$98,Countries!B$2:B$98,"tbd",0)</f>
        <v>Europe</v>
      </c>
    </row>
    <row r="23" ht="15.75" customHeight="1">
      <c r="A23" s="287">
        <v>45.0</v>
      </c>
      <c r="B23" s="287" t="s">
        <v>7</v>
      </c>
      <c r="C23" s="287" t="s">
        <v>250</v>
      </c>
      <c r="D23" s="287" t="s">
        <v>209</v>
      </c>
      <c r="E23" s="287" t="s">
        <v>135</v>
      </c>
      <c r="F23" s="287" t="s">
        <v>136</v>
      </c>
      <c r="G23" s="133" t="s">
        <v>251</v>
      </c>
      <c r="H23" s="287" t="s">
        <v>252</v>
      </c>
      <c r="I23" s="287" t="s">
        <v>135</v>
      </c>
      <c r="J23" s="287" t="s">
        <v>253</v>
      </c>
      <c r="K23" s="287" t="s">
        <v>139</v>
      </c>
      <c r="L23" s="17" t="s">
        <v>25</v>
      </c>
      <c r="N23" s="7" t="s">
        <v>255</v>
      </c>
      <c r="O23" s="289">
        <f t="shared" si="1"/>
        <v>1</v>
      </c>
      <c r="P23" s="7" t="str">
        <f t="array" ref="P23">XLOOKUP(N23,Countries!A$2:A$98,Countries!B$2:B$98,"tbd",0)</f>
        <v>Asia</v>
      </c>
    </row>
    <row r="24" ht="15.75" customHeight="1">
      <c r="A24" s="287">
        <v>88.0</v>
      </c>
      <c r="B24" s="287" t="s">
        <v>7</v>
      </c>
      <c r="C24" s="287" t="s">
        <v>200</v>
      </c>
      <c r="D24" s="287" t="s">
        <v>143</v>
      </c>
      <c r="E24" s="287" t="s">
        <v>135</v>
      </c>
      <c r="F24" s="287" t="s">
        <v>135</v>
      </c>
      <c r="G24" s="133" t="s">
        <v>256</v>
      </c>
      <c r="H24" s="288"/>
      <c r="I24" s="287" t="s">
        <v>136</v>
      </c>
      <c r="J24" s="287" t="s">
        <v>257</v>
      </c>
      <c r="K24" s="287" t="s">
        <v>139</v>
      </c>
      <c r="L24" s="17" t="s">
        <v>25</v>
      </c>
    </row>
    <row r="25" ht="15.75" customHeight="1">
      <c r="A25" s="287">
        <v>67.0</v>
      </c>
      <c r="B25" s="287" t="s">
        <v>6</v>
      </c>
      <c r="C25" s="287" t="s">
        <v>260</v>
      </c>
      <c r="D25" s="287" t="s">
        <v>213</v>
      </c>
      <c r="E25" s="287" t="s">
        <v>136</v>
      </c>
      <c r="F25" s="287" t="s">
        <v>136</v>
      </c>
      <c r="G25" s="287" t="s">
        <v>137</v>
      </c>
      <c r="H25" s="288"/>
      <c r="I25" s="287" t="s">
        <v>135</v>
      </c>
      <c r="J25" s="287" t="s">
        <v>261</v>
      </c>
      <c r="K25" s="287" t="s">
        <v>139</v>
      </c>
      <c r="L25" s="17" t="s">
        <v>25</v>
      </c>
    </row>
    <row r="26" ht="15.75" customHeight="1">
      <c r="A26" s="287">
        <v>58.0</v>
      </c>
      <c r="B26" s="287" t="s">
        <v>7</v>
      </c>
      <c r="C26" s="287" t="s">
        <v>211</v>
      </c>
      <c r="D26" s="287" t="s">
        <v>176</v>
      </c>
      <c r="E26" s="287" t="s">
        <v>136</v>
      </c>
      <c r="F26" s="287" t="s">
        <v>136</v>
      </c>
      <c r="G26" s="287" t="s">
        <v>265</v>
      </c>
      <c r="H26" s="288"/>
      <c r="I26" s="287" t="s">
        <v>135</v>
      </c>
      <c r="J26" s="287" t="s">
        <v>266</v>
      </c>
      <c r="K26" s="287" t="s">
        <v>139</v>
      </c>
      <c r="L26" s="17" t="s">
        <v>25</v>
      </c>
    </row>
    <row r="27" ht="15.75" customHeight="1">
      <c r="A27" s="287">
        <v>32.0</v>
      </c>
      <c r="B27" s="287" t="s">
        <v>6</v>
      </c>
      <c r="C27" s="287" t="s">
        <v>270</v>
      </c>
      <c r="D27" s="287" t="s">
        <v>134</v>
      </c>
      <c r="E27" s="287" t="s">
        <v>135</v>
      </c>
      <c r="F27" s="287" t="s">
        <v>136</v>
      </c>
      <c r="G27" s="287" t="s">
        <v>271</v>
      </c>
      <c r="H27" s="288"/>
      <c r="I27" s="287" t="s">
        <v>136</v>
      </c>
      <c r="J27" s="287" t="s">
        <v>272</v>
      </c>
      <c r="K27" s="287" t="s">
        <v>139</v>
      </c>
      <c r="L27" s="17" t="s">
        <v>25</v>
      </c>
      <c r="O27" s="7">
        <v>15.0</v>
      </c>
      <c r="P27" s="142" t="s">
        <v>451</v>
      </c>
    </row>
    <row r="28" ht="15.75" customHeight="1">
      <c r="A28" s="287">
        <v>56.0</v>
      </c>
      <c r="B28" s="287" t="s">
        <v>7</v>
      </c>
      <c r="C28" s="287" t="s">
        <v>276</v>
      </c>
      <c r="D28" s="287" t="s">
        <v>218</v>
      </c>
      <c r="E28" s="287" t="s">
        <v>135</v>
      </c>
      <c r="F28" s="287" t="s">
        <v>136</v>
      </c>
      <c r="G28" s="287" t="s">
        <v>221</v>
      </c>
      <c r="H28" s="288"/>
      <c r="I28" s="287" t="s">
        <v>135</v>
      </c>
      <c r="J28" s="287" t="s">
        <v>277</v>
      </c>
      <c r="K28" s="287" t="s">
        <v>139</v>
      </c>
      <c r="L28" s="17" t="s">
        <v>25</v>
      </c>
      <c r="O28" s="7">
        <v>6.0</v>
      </c>
      <c r="P28" s="289" t="s">
        <v>22</v>
      </c>
    </row>
    <row r="29" ht="15.75" customHeight="1">
      <c r="A29" s="287">
        <v>49.0</v>
      </c>
      <c r="B29" s="287" t="s">
        <v>6</v>
      </c>
      <c r="C29" s="287" t="s">
        <v>280</v>
      </c>
      <c r="D29" s="287" t="s">
        <v>202</v>
      </c>
      <c r="E29" s="287" t="s">
        <v>136</v>
      </c>
      <c r="F29" s="287" t="s">
        <v>136</v>
      </c>
      <c r="G29" s="287" t="s">
        <v>281</v>
      </c>
      <c r="H29" s="288"/>
      <c r="I29" s="287" t="s">
        <v>136</v>
      </c>
      <c r="J29" s="287" t="s">
        <v>282</v>
      </c>
      <c r="K29" s="287" t="s">
        <v>139</v>
      </c>
      <c r="L29" s="17" t="s">
        <v>25</v>
      </c>
    </row>
    <row r="30" ht="15.75" customHeight="1">
      <c r="A30" s="287">
        <v>23.0</v>
      </c>
      <c r="B30" s="287" t="s">
        <v>7</v>
      </c>
      <c r="C30" s="287" t="s">
        <v>286</v>
      </c>
      <c r="D30" s="287" t="s">
        <v>202</v>
      </c>
      <c r="E30" s="287" t="s">
        <v>135</v>
      </c>
      <c r="F30" s="287" t="s">
        <v>136</v>
      </c>
      <c r="G30" s="287" t="s">
        <v>287</v>
      </c>
      <c r="H30" s="288"/>
      <c r="I30" s="287" t="s">
        <v>136</v>
      </c>
      <c r="J30" s="287" t="s">
        <v>288</v>
      </c>
      <c r="K30" s="287" t="s">
        <v>139</v>
      </c>
      <c r="L30" s="17" t="s">
        <v>25</v>
      </c>
    </row>
    <row r="31" ht="15.75" customHeight="1">
      <c r="A31" s="287">
        <v>7.0</v>
      </c>
      <c r="B31" s="287" t="s">
        <v>7</v>
      </c>
      <c r="C31" s="287" t="s">
        <v>204</v>
      </c>
      <c r="D31" s="287" t="s">
        <v>170</v>
      </c>
      <c r="E31" s="287" t="s">
        <v>136</v>
      </c>
      <c r="F31" s="287" t="s">
        <v>136</v>
      </c>
      <c r="G31" s="287" t="s">
        <v>292</v>
      </c>
      <c r="H31" s="133" t="s">
        <v>293</v>
      </c>
      <c r="I31" s="287" t="s">
        <v>135</v>
      </c>
      <c r="J31" s="287" t="s">
        <v>294</v>
      </c>
      <c r="K31" s="287" t="s">
        <v>139</v>
      </c>
      <c r="L31" s="17" t="s">
        <v>25</v>
      </c>
    </row>
    <row r="32" ht="15.75" customHeight="1">
      <c r="A32" s="287">
        <v>46.0</v>
      </c>
      <c r="B32" s="287" t="s">
        <v>6</v>
      </c>
      <c r="C32" s="287" t="s">
        <v>215</v>
      </c>
      <c r="D32" s="287" t="s">
        <v>166</v>
      </c>
      <c r="E32" s="287" t="s">
        <v>135</v>
      </c>
      <c r="F32" s="287" t="s">
        <v>135</v>
      </c>
      <c r="G32" s="287" t="s">
        <v>297</v>
      </c>
      <c r="H32" s="133" t="s">
        <v>298</v>
      </c>
      <c r="I32" s="287" t="s">
        <v>136</v>
      </c>
      <c r="J32" s="287" t="s">
        <v>299</v>
      </c>
      <c r="K32" s="287" t="s">
        <v>139</v>
      </c>
      <c r="L32" s="17" t="s">
        <v>25</v>
      </c>
    </row>
    <row r="33" ht="15.75" customHeight="1">
      <c r="A33" s="287">
        <v>30.0</v>
      </c>
      <c r="B33" s="287" t="s">
        <v>6</v>
      </c>
      <c r="C33" s="287" t="s">
        <v>303</v>
      </c>
      <c r="D33" s="287" t="s">
        <v>164</v>
      </c>
      <c r="E33" s="287" t="s">
        <v>135</v>
      </c>
      <c r="F33" s="287" t="s">
        <v>136</v>
      </c>
      <c r="G33" s="287" t="s">
        <v>292</v>
      </c>
      <c r="H33" s="133" t="s">
        <v>304</v>
      </c>
      <c r="I33" s="287" t="s">
        <v>135</v>
      </c>
      <c r="J33" s="287" t="s">
        <v>305</v>
      </c>
      <c r="K33" s="287" t="s">
        <v>139</v>
      </c>
      <c r="L33" s="17" t="s">
        <v>25</v>
      </c>
    </row>
    <row r="34" ht="15.75" customHeight="1">
      <c r="A34" s="287">
        <v>31.0</v>
      </c>
      <c r="B34" s="287" t="s">
        <v>6</v>
      </c>
      <c r="C34" s="287" t="s">
        <v>306</v>
      </c>
      <c r="D34" s="287" t="s">
        <v>143</v>
      </c>
      <c r="E34" s="287" t="s">
        <v>135</v>
      </c>
      <c r="F34" s="287" t="s">
        <v>136</v>
      </c>
      <c r="G34" s="287" t="s">
        <v>307</v>
      </c>
      <c r="H34" s="288"/>
      <c r="I34" s="287" t="s">
        <v>136</v>
      </c>
      <c r="J34" s="287" t="s">
        <v>308</v>
      </c>
      <c r="K34" s="287" t="s">
        <v>139</v>
      </c>
      <c r="L34" s="17" t="s">
        <v>25</v>
      </c>
    </row>
    <row r="35" ht="15.75" customHeight="1">
      <c r="A35" s="287">
        <v>76.0</v>
      </c>
      <c r="B35" s="287" t="s">
        <v>8</v>
      </c>
      <c r="C35" s="287" t="s">
        <v>235</v>
      </c>
      <c r="D35" s="287" t="s">
        <v>164</v>
      </c>
      <c r="E35" s="287" t="s">
        <v>135</v>
      </c>
      <c r="F35" s="287" t="s">
        <v>135</v>
      </c>
      <c r="G35" s="287" t="s">
        <v>310</v>
      </c>
      <c r="H35" s="288"/>
      <c r="I35" s="287" t="s">
        <v>135</v>
      </c>
      <c r="J35" s="287" t="s">
        <v>311</v>
      </c>
      <c r="K35" s="287" t="s">
        <v>139</v>
      </c>
      <c r="L35" s="17" t="s">
        <v>25</v>
      </c>
    </row>
    <row r="36" ht="15.75" customHeight="1">
      <c r="A36" s="287">
        <v>2.0</v>
      </c>
      <c r="B36" s="287" t="s">
        <v>6</v>
      </c>
      <c r="C36" s="287" t="s">
        <v>315</v>
      </c>
      <c r="D36" s="287" t="s">
        <v>164</v>
      </c>
      <c r="E36" s="287" t="s">
        <v>135</v>
      </c>
      <c r="F36" s="287" t="s">
        <v>136</v>
      </c>
      <c r="G36" s="287" t="s">
        <v>316</v>
      </c>
      <c r="H36" s="288"/>
      <c r="I36" s="287" t="s">
        <v>136</v>
      </c>
      <c r="J36" s="287" t="s">
        <v>317</v>
      </c>
      <c r="K36" s="287" t="s">
        <v>139</v>
      </c>
      <c r="L36" s="17" t="s">
        <v>25</v>
      </c>
    </row>
    <row r="37" ht="15.75" customHeight="1">
      <c r="A37" s="287">
        <v>72.0</v>
      </c>
      <c r="B37" s="287" t="s">
        <v>7</v>
      </c>
      <c r="C37" s="287" t="s">
        <v>319</v>
      </c>
      <c r="D37" s="287" t="s">
        <v>223</v>
      </c>
      <c r="E37" s="287" t="s">
        <v>136</v>
      </c>
      <c r="F37" s="287" t="s">
        <v>136</v>
      </c>
      <c r="G37" s="287" t="s">
        <v>320</v>
      </c>
      <c r="H37" s="288"/>
      <c r="I37" s="287" t="s">
        <v>136</v>
      </c>
      <c r="J37" s="287" t="s">
        <v>321</v>
      </c>
      <c r="K37" s="287" t="s">
        <v>139</v>
      </c>
      <c r="L37" s="17" t="s">
        <v>25</v>
      </c>
    </row>
    <row r="38" ht="15.75" customHeight="1">
      <c r="A38" s="287">
        <v>6.0</v>
      </c>
      <c r="B38" s="287" t="s">
        <v>7</v>
      </c>
      <c r="C38" s="287" t="s">
        <v>323</v>
      </c>
      <c r="D38" s="287" t="s">
        <v>164</v>
      </c>
      <c r="E38" s="287" t="s">
        <v>135</v>
      </c>
      <c r="F38" s="287" t="s">
        <v>136</v>
      </c>
      <c r="G38" s="287" t="s">
        <v>137</v>
      </c>
      <c r="H38" s="288"/>
      <c r="I38" s="287" t="s">
        <v>136</v>
      </c>
      <c r="J38" s="287" t="s">
        <v>324</v>
      </c>
      <c r="K38" s="287" t="s">
        <v>139</v>
      </c>
      <c r="L38" s="17" t="s">
        <v>25</v>
      </c>
    </row>
    <row r="39" ht="15.75" customHeight="1">
      <c r="A39" s="287">
        <v>21.0</v>
      </c>
      <c r="B39" s="287" t="s">
        <v>6</v>
      </c>
      <c r="C39" s="287" t="s">
        <v>325</v>
      </c>
      <c r="D39" s="287" t="s">
        <v>193</v>
      </c>
      <c r="E39" s="287" t="s">
        <v>136</v>
      </c>
      <c r="F39" s="287" t="s">
        <v>136</v>
      </c>
      <c r="G39" s="287" t="s">
        <v>174</v>
      </c>
      <c r="H39" s="288"/>
      <c r="I39" s="287" t="s">
        <v>135</v>
      </c>
      <c r="J39" s="287" t="s">
        <v>326</v>
      </c>
      <c r="K39" s="287" t="s">
        <v>139</v>
      </c>
      <c r="L39" s="17" t="s">
        <v>25</v>
      </c>
    </row>
    <row r="40" ht="15.75" customHeight="1">
      <c r="A40" s="287">
        <v>86.0</v>
      </c>
      <c r="B40" s="287" t="s">
        <v>6</v>
      </c>
      <c r="C40" s="287" t="s">
        <v>329</v>
      </c>
      <c r="D40" s="287" t="s">
        <v>213</v>
      </c>
      <c r="E40" s="287" t="s">
        <v>135</v>
      </c>
      <c r="F40" s="287" t="s">
        <v>136</v>
      </c>
      <c r="G40" s="287" t="s">
        <v>137</v>
      </c>
      <c r="H40" s="288"/>
      <c r="I40" s="287" t="s">
        <v>135</v>
      </c>
      <c r="J40" s="287" t="s">
        <v>330</v>
      </c>
      <c r="K40" s="287" t="s">
        <v>139</v>
      </c>
      <c r="L40" s="17" t="s">
        <v>25</v>
      </c>
    </row>
    <row r="41" ht="15.75" customHeight="1">
      <c r="A41" s="287">
        <v>10.0</v>
      </c>
      <c r="B41" s="287" t="s">
        <v>7</v>
      </c>
      <c r="C41" s="287" t="s">
        <v>235</v>
      </c>
      <c r="D41" s="287" t="s">
        <v>164</v>
      </c>
      <c r="E41" s="287" t="s">
        <v>135</v>
      </c>
      <c r="F41" s="287" t="s">
        <v>136</v>
      </c>
      <c r="G41" s="287" t="s">
        <v>332</v>
      </c>
      <c r="H41" s="288"/>
      <c r="I41" s="287" t="s">
        <v>135</v>
      </c>
      <c r="J41" s="287" t="s">
        <v>333</v>
      </c>
      <c r="K41" s="287" t="s">
        <v>139</v>
      </c>
      <c r="L41" s="17" t="s">
        <v>25</v>
      </c>
    </row>
    <row r="42" ht="15.75" customHeight="1">
      <c r="A42" s="287">
        <v>87.0</v>
      </c>
      <c r="B42" s="287" t="s">
        <v>7</v>
      </c>
      <c r="C42" s="287" t="s">
        <v>334</v>
      </c>
      <c r="D42" s="287" t="s">
        <v>228</v>
      </c>
      <c r="E42" s="287" t="s">
        <v>136</v>
      </c>
      <c r="F42" s="287" t="s">
        <v>136</v>
      </c>
      <c r="G42" s="287" t="s">
        <v>335</v>
      </c>
      <c r="H42" s="288"/>
      <c r="I42" s="287" t="s">
        <v>135</v>
      </c>
      <c r="J42" s="287" t="s">
        <v>336</v>
      </c>
      <c r="K42" s="287" t="s">
        <v>139</v>
      </c>
      <c r="L42" s="17" t="s">
        <v>25</v>
      </c>
    </row>
    <row r="43" ht="15.75" customHeight="1">
      <c r="A43" s="287">
        <v>69.0</v>
      </c>
      <c r="B43" s="287" t="s">
        <v>6</v>
      </c>
      <c r="C43" s="287" t="s">
        <v>338</v>
      </c>
      <c r="D43" s="287" t="s">
        <v>143</v>
      </c>
      <c r="E43" s="287" t="s">
        <v>136</v>
      </c>
      <c r="F43" s="287" t="s">
        <v>136</v>
      </c>
      <c r="G43" s="287" t="s">
        <v>137</v>
      </c>
      <c r="H43" s="133" t="s">
        <v>339</v>
      </c>
      <c r="I43" s="287" t="s">
        <v>135</v>
      </c>
      <c r="J43" s="287" t="s">
        <v>340</v>
      </c>
      <c r="K43" s="287" t="s">
        <v>139</v>
      </c>
      <c r="L43" s="17" t="s">
        <v>25</v>
      </c>
    </row>
    <row r="44" ht="15.75" customHeight="1">
      <c r="A44" s="287">
        <v>26.0</v>
      </c>
      <c r="B44" s="287" t="s">
        <v>6</v>
      </c>
      <c r="C44" s="287" t="s">
        <v>342</v>
      </c>
      <c r="D44" s="287" t="s">
        <v>218</v>
      </c>
      <c r="E44" s="287" t="s">
        <v>136</v>
      </c>
      <c r="F44" s="287" t="s">
        <v>136</v>
      </c>
      <c r="G44" s="287" t="s">
        <v>335</v>
      </c>
      <c r="H44" s="288"/>
      <c r="I44" s="287" t="s">
        <v>135</v>
      </c>
      <c r="J44" s="287" t="s">
        <v>343</v>
      </c>
      <c r="K44" s="287" t="s">
        <v>139</v>
      </c>
      <c r="L44" s="17" t="s">
        <v>25</v>
      </c>
    </row>
    <row r="45" ht="15.75" customHeight="1">
      <c r="A45" s="287">
        <v>85.0</v>
      </c>
      <c r="B45" s="287" t="s">
        <v>6</v>
      </c>
      <c r="C45" s="287" t="s">
        <v>344</v>
      </c>
      <c r="D45" s="287" t="s">
        <v>233</v>
      </c>
      <c r="E45" s="287" t="s">
        <v>136</v>
      </c>
      <c r="F45" s="287" t="s">
        <v>136</v>
      </c>
      <c r="G45" s="133" t="s">
        <v>345</v>
      </c>
      <c r="H45" s="288"/>
      <c r="I45" s="287" t="s">
        <v>136</v>
      </c>
      <c r="J45" s="287" t="s">
        <v>346</v>
      </c>
      <c r="K45" s="287" t="s">
        <v>139</v>
      </c>
      <c r="L45" s="17" t="s">
        <v>25</v>
      </c>
    </row>
    <row r="46" ht="15.75" customHeight="1">
      <c r="A46" s="287">
        <v>20.0</v>
      </c>
      <c r="B46" s="287" t="s">
        <v>6</v>
      </c>
      <c r="C46" s="287" t="s">
        <v>348</v>
      </c>
      <c r="D46" s="287" t="s">
        <v>202</v>
      </c>
      <c r="E46" s="287" t="s">
        <v>136</v>
      </c>
      <c r="F46" s="287" t="s">
        <v>136</v>
      </c>
      <c r="G46" s="287" t="s">
        <v>349</v>
      </c>
      <c r="H46" s="133" t="s">
        <v>350</v>
      </c>
      <c r="I46" s="287" t="s">
        <v>135</v>
      </c>
      <c r="J46" s="287" t="s">
        <v>351</v>
      </c>
      <c r="K46" s="287" t="s">
        <v>139</v>
      </c>
      <c r="L46" s="17" t="s">
        <v>25</v>
      </c>
    </row>
    <row r="47" ht="15.75" customHeight="1">
      <c r="A47" s="287">
        <v>18.0</v>
      </c>
      <c r="B47" s="287" t="s">
        <v>7</v>
      </c>
      <c r="C47" s="287" t="s">
        <v>342</v>
      </c>
      <c r="D47" s="287" t="s">
        <v>218</v>
      </c>
      <c r="E47" s="287" t="s">
        <v>136</v>
      </c>
      <c r="F47" s="287" t="s">
        <v>136</v>
      </c>
      <c r="G47" s="287" t="s">
        <v>354</v>
      </c>
      <c r="H47" s="288"/>
      <c r="I47" s="287" t="s">
        <v>136</v>
      </c>
      <c r="J47" s="287" t="s">
        <v>355</v>
      </c>
      <c r="K47" s="287" t="s">
        <v>139</v>
      </c>
      <c r="L47" s="17" t="s">
        <v>25</v>
      </c>
    </row>
    <row r="48" ht="15.75" customHeight="1">
      <c r="A48" s="287">
        <v>42.0</v>
      </c>
      <c r="B48" s="287" t="s">
        <v>6</v>
      </c>
      <c r="C48" s="287" t="s">
        <v>356</v>
      </c>
      <c r="D48" s="287" t="s">
        <v>228</v>
      </c>
      <c r="E48" s="287" t="s">
        <v>135</v>
      </c>
      <c r="F48" s="287" t="s">
        <v>136</v>
      </c>
      <c r="G48" s="287" t="s">
        <v>271</v>
      </c>
      <c r="H48" s="288"/>
      <c r="I48" s="287" t="s">
        <v>135</v>
      </c>
      <c r="J48" s="287" t="s">
        <v>357</v>
      </c>
      <c r="K48" s="287" t="s">
        <v>139</v>
      </c>
      <c r="L48" s="17" t="s">
        <v>25</v>
      </c>
    </row>
    <row r="49" ht="15.75" customHeight="1">
      <c r="A49" s="287">
        <v>25.0</v>
      </c>
      <c r="B49" s="287" t="s">
        <v>6</v>
      </c>
      <c r="C49" s="287" t="s">
        <v>360</v>
      </c>
      <c r="D49" s="287" t="s">
        <v>143</v>
      </c>
      <c r="E49" s="287" t="s">
        <v>136</v>
      </c>
      <c r="F49" s="287" t="s">
        <v>136</v>
      </c>
      <c r="G49" s="287" t="s">
        <v>150</v>
      </c>
      <c r="H49" s="288"/>
      <c r="I49" s="287" t="s">
        <v>136</v>
      </c>
      <c r="J49" s="287" t="s">
        <v>361</v>
      </c>
      <c r="K49" s="287" t="s">
        <v>139</v>
      </c>
      <c r="L49" s="17" t="s">
        <v>25</v>
      </c>
    </row>
    <row r="50" ht="15.75" customHeight="1">
      <c r="A50" s="287">
        <v>44.0</v>
      </c>
      <c r="B50" s="287" t="s">
        <v>6</v>
      </c>
      <c r="C50" s="287" t="s">
        <v>362</v>
      </c>
      <c r="D50" s="287" t="s">
        <v>202</v>
      </c>
      <c r="E50" s="287" t="s">
        <v>136</v>
      </c>
      <c r="F50" s="287" t="s">
        <v>136</v>
      </c>
      <c r="G50" s="287" t="s">
        <v>363</v>
      </c>
      <c r="H50" s="288"/>
      <c r="I50" s="287" t="s">
        <v>135</v>
      </c>
      <c r="J50" s="287" t="s">
        <v>364</v>
      </c>
      <c r="K50" s="287" t="s">
        <v>139</v>
      </c>
      <c r="L50" s="17" t="s">
        <v>25</v>
      </c>
    </row>
    <row r="51" ht="15.75" customHeight="1">
      <c r="A51" s="287">
        <v>22.0</v>
      </c>
      <c r="B51" s="287" t="s">
        <v>6</v>
      </c>
      <c r="C51" s="287" t="s">
        <v>366</v>
      </c>
      <c r="D51" s="287" t="s">
        <v>218</v>
      </c>
      <c r="E51" s="287" t="s">
        <v>136</v>
      </c>
      <c r="F51" s="287" t="s">
        <v>136</v>
      </c>
      <c r="G51" s="287" t="s">
        <v>367</v>
      </c>
      <c r="H51" s="288"/>
      <c r="I51" s="287" t="s">
        <v>135</v>
      </c>
      <c r="J51" s="287" t="s">
        <v>368</v>
      </c>
      <c r="K51" s="287" t="s">
        <v>139</v>
      </c>
      <c r="L51" s="17" t="s">
        <v>25</v>
      </c>
    </row>
    <row r="52" ht="15.75" customHeight="1">
      <c r="A52" s="287">
        <v>47.0</v>
      </c>
      <c r="B52" s="287" t="s">
        <v>7</v>
      </c>
      <c r="C52" s="287" t="s">
        <v>371</v>
      </c>
      <c r="D52" s="287" t="s">
        <v>197</v>
      </c>
      <c r="E52" s="287" t="s">
        <v>136</v>
      </c>
      <c r="F52" s="287" t="s">
        <v>136</v>
      </c>
      <c r="G52" s="287" t="s">
        <v>231</v>
      </c>
      <c r="H52" s="288"/>
      <c r="I52" s="287" t="s">
        <v>135</v>
      </c>
      <c r="J52" s="287" t="s">
        <v>372</v>
      </c>
      <c r="K52" s="287" t="s">
        <v>139</v>
      </c>
      <c r="L52" s="17" t="s">
        <v>25</v>
      </c>
    </row>
    <row r="53" ht="15.75" customHeight="1">
      <c r="A53" s="287">
        <v>74.0</v>
      </c>
      <c r="B53" s="287" t="s">
        <v>6</v>
      </c>
      <c r="C53" s="287" t="s">
        <v>375</v>
      </c>
      <c r="D53" s="287" t="s">
        <v>176</v>
      </c>
      <c r="E53" s="287" t="s">
        <v>135</v>
      </c>
      <c r="F53" s="287" t="s">
        <v>136</v>
      </c>
      <c r="G53" s="287" t="s">
        <v>137</v>
      </c>
      <c r="H53" s="288"/>
      <c r="I53" s="287" t="s">
        <v>136</v>
      </c>
      <c r="J53" s="287" t="s">
        <v>376</v>
      </c>
      <c r="K53" s="287" t="s">
        <v>139</v>
      </c>
      <c r="L53" s="17" t="s">
        <v>25</v>
      </c>
    </row>
    <row r="54" ht="15.75" customHeight="1">
      <c r="A54" s="287">
        <v>40.0</v>
      </c>
      <c r="B54" s="287" t="s">
        <v>7</v>
      </c>
      <c r="C54" s="287" t="s">
        <v>167</v>
      </c>
      <c r="D54" s="287" t="s">
        <v>143</v>
      </c>
      <c r="E54" s="287" t="s">
        <v>136</v>
      </c>
      <c r="F54" s="287" t="s">
        <v>136</v>
      </c>
      <c r="G54" s="287" t="s">
        <v>377</v>
      </c>
      <c r="H54" s="288"/>
      <c r="I54" s="287" t="s">
        <v>135</v>
      </c>
      <c r="J54" s="287" t="s">
        <v>378</v>
      </c>
      <c r="K54" s="287" t="s">
        <v>139</v>
      </c>
      <c r="L54" s="17" t="s">
        <v>25</v>
      </c>
    </row>
    <row r="55" ht="15.75" customHeight="1">
      <c r="A55" s="287">
        <v>29.0</v>
      </c>
      <c r="B55" s="287" t="s">
        <v>7</v>
      </c>
      <c r="C55" s="287" t="s">
        <v>379</v>
      </c>
      <c r="D55" s="287" t="s">
        <v>202</v>
      </c>
      <c r="E55" s="287" t="s">
        <v>136</v>
      </c>
      <c r="F55" s="287" t="s">
        <v>136</v>
      </c>
      <c r="G55" s="287" t="s">
        <v>367</v>
      </c>
      <c r="H55" s="287" t="s">
        <v>380</v>
      </c>
      <c r="I55" s="287" t="s">
        <v>136</v>
      </c>
      <c r="J55" s="287" t="s">
        <v>381</v>
      </c>
      <c r="K55" s="287" t="s">
        <v>139</v>
      </c>
      <c r="L55" s="17" t="s">
        <v>25</v>
      </c>
    </row>
    <row r="56" ht="15.75" customHeight="1">
      <c r="A56" s="287">
        <v>43.0</v>
      </c>
      <c r="B56" s="287" t="s">
        <v>7</v>
      </c>
      <c r="C56" s="287" t="s">
        <v>362</v>
      </c>
      <c r="D56" s="287" t="s">
        <v>202</v>
      </c>
      <c r="E56" s="287" t="s">
        <v>135</v>
      </c>
      <c r="F56" s="287" t="s">
        <v>136</v>
      </c>
      <c r="G56" s="287" t="s">
        <v>382</v>
      </c>
      <c r="H56" s="288"/>
      <c r="I56" s="287" t="s">
        <v>136</v>
      </c>
      <c r="J56" s="287" t="s">
        <v>357</v>
      </c>
      <c r="K56" s="287" t="s">
        <v>139</v>
      </c>
      <c r="L56" s="17" t="s">
        <v>25</v>
      </c>
    </row>
    <row r="57" ht="15.75" customHeight="1">
      <c r="A57" s="287">
        <v>75.0</v>
      </c>
      <c r="B57" s="287" t="s">
        <v>7</v>
      </c>
      <c r="C57" s="287" t="s">
        <v>384</v>
      </c>
      <c r="D57" s="287" t="s">
        <v>143</v>
      </c>
      <c r="E57" s="287" t="s">
        <v>136</v>
      </c>
      <c r="F57" s="287" t="s">
        <v>136</v>
      </c>
      <c r="G57" s="287" t="s">
        <v>385</v>
      </c>
      <c r="H57" s="288"/>
      <c r="I57" s="287" t="s">
        <v>135</v>
      </c>
      <c r="J57" s="287" t="s">
        <v>386</v>
      </c>
      <c r="K57" s="287" t="s">
        <v>139</v>
      </c>
      <c r="L57" s="17" t="s">
        <v>25</v>
      </c>
    </row>
    <row r="58" ht="15.75" customHeight="1">
      <c r="A58" s="287">
        <v>54.0</v>
      </c>
      <c r="B58" s="287" t="s">
        <v>7</v>
      </c>
      <c r="C58" s="287" t="s">
        <v>387</v>
      </c>
      <c r="D58" s="287" t="s">
        <v>143</v>
      </c>
      <c r="E58" s="287" t="s">
        <v>135</v>
      </c>
      <c r="F58" s="287" t="s">
        <v>136</v>
      </c>
      <c r="G58" s="287" t="s">
        <v>137</v>
      </c>
      <c r="H58" s="288"/>
      <c r="I58" s="287" t="s">
        <v>136</v>
      </c>
      <c r="J58" s="287" t="s">
        <v>388</v>
      </c>
      <c r="K58" s="287" t="s">
        <v>139</v>
      </c>
      <c r="L58" s="17" t="s">
        <v>25</v>
      </c>
    </row>
    <row r="59" ht="15.75" customHeight="1">
      <c r="A59" s="287">
        <v>89.0</v>
      </c>
      <c r="B59" s="287" t="s">
        <v>7</v>
      </c>
      <c r="C59" s="287" t="s">
        <v>387</v>
      </c>
      <c r="D59" s="287" t="s">
        <v>143</v>
      </c>
      <c r="E59" s="287" t="s">
        <v>135</v>
      </c>
      <c r="F59" s="287" t="s">
        <v>136</v>
      </c>
      <c r="G59" s="287" t="s">
        <v>137</v>
      </c>
      <c r="H59" s="288"/>
      <c r="I59" s="287" t="s">
        <v>136</v>
      </c>
      <c r="J59" s="287" t="s">
        <v>389</v>
      </c>
      <c r="K59" s="287" t="s">
        <v>139</v>
      </c>
      <c r="L59" s="17" t="s">
        <v>25</v>
      </c>
    </row>
    <row r="60" ht="15.75" customHeight="1">
      <c r="A60" s="287">
        <v>41.0</v>
      </c>
      <c r="B60" s="287" t="s">
        <v>7</v>
      </c>
      <c r="C60" s="287" t="s">
        <v>391</v>
      </c>
      <c r="D60" s="287" t="s">
        <v>202</v>
      </c>
      <c r="E60" s="287" t="s">
        <v>136</v>
      </c>
      <c r="F60" s="287" t="s">
        <v>136</v>
      </c>
      <c r="G60" s="287" t="s">
        <v>144</v>
      </c>
      <c r="H60" s="287" t="s">
        <v>392</v>
      </c>
      <c r="I60" s="287" t="s">
        <v>136</v>
      </c>
      <c r="J60" s="287" t="s">
        <v>393</v>
      </c>
      <c r="K60" s="287" t="s">
        <v>139</v>
      </c>
      <c r="L60" s="17" t="s">
        <v>25</v>
      </c>
    </row>
    <row r="61" ht="15.75" customHeight="1">
      <c r="A61" s="287">
        <v>62.0</v>
      </c>
      <c r="B61" s="287" t="s">
        <v>6</v>
      </c>
      <c r="C61" s="287" t="s">
        <v>315</v>
      </c>
      <c r="D61" s="287" t="s">
        <v>164</v>
      </c>
      <c r="E61" s="287" t="s">
        <v>135</v>
      </c>
      <c r="F61" s="287" t="s">
        <v>136</v>
      </c>
      <c r="G61" s="287" t="s">
        <v>395</v>
      </c>
      <c r="H61" s="287" t="s">
        <v>396</v>
      </c>
      <c r="I61" s="287" t="s">
        <v>136</v>
      </c>
      <c r="J61" s="287" t="s">
        <v>397</v>
      </c>
      <c r="K61" s="287" t="s">
        <v>139</v>
      </c>
      <c r="L61" s="17" t="s">
        <v>25</v>
      </c>
    </row>
    <row r="62" ht="15.75" customHeight="1">
      <c r="A62" s="287">
        <v>35.0</v>
      </c>
      <c r="B62" s="287" t="s">
        <v>6</v>
      </c>
      <c r="C62" s="287" t="s">
        <v>245</v>
      </c>
      <c r="D62" s="287" t="s">
        <v>202</v>
      </c>
      <c r="E62" s="287" t="s">
        <v>136</v>
      </c>
      <c r="F62" s="287" t="s">
        <v>136</v>
      </c>
      <c r="G62" s="287" t="s">
        <v>174</v>
      </c>
      <c r="H62" s="288"/>
      <c r="I62" s="287" t="s">
        <v>136</v>
      </c>
      <c r="J62" s="287" t="s">
        <v>399</v>
      </c>
      <c r="K62" s="287" t="s">
        <v>139</v>
      </c>
      <c r="L62" s="17" t="s">
        <v>25</v>
      </c>
    </row>
    <row r="63" ht="15.75" customHeight="1">
      <c r="A63" s="287">
        <v>57.0</v>
      </c>
      <c r="B63" s="287" t="s">
        <v>7</v>
      </c>
      <c r="C63" s="287" t="s">
        <v>149</v>
      </c>
      <c r="D63" s="287" t="s">
        <v>134</v>
      </c>
      <c r="E63" s="287" t="s">
        <v>136</v>
      </c>
      <c r="F63" s="287" t="s">
        <v>136</v>
      </c>
      <c r="G63" s="287" t="s">
        <v>401</v>
      </c>
      <c r="H63" s="288"/>
      <c r="I63" s="287" t="s">
        <v>136</v>
      </c>
      <c r="J63" s="287" t="s">
        <v>402</v>
      </c>
      <c r="K63" s="287" t="s">
        <v>139</v>
      </c>
      <c r="L63" s="17" t="s">
        <v>25</v>
      </c>
    </row>
    <row r="64" ht="15.75" customHeight="1">
      <c r="A64" s="287">
        <v>84.0</v>
      </c>
      <c r="B64" s="287" t="s">
        <v>6</v>
      </c>
      <c r="C64" s="287" t="s">
        <v>245</v>
      </c>
      <c r="D64" s="287" t="s">
        <v>202</v>
      </c>
      <c r="E64" s="287" t="s">
        <v>135</v>
      </c>
      <c r="F64" s="287" t="s">
        <v>136</v>
      </c>
      <c r="G64" s="287" t="s">
        <v>185</v>
      </c>
      <c r="H64" s="287" t="s">
        <v>404</v>
      </c>
      <c r="I64" s="287" t="s">
        <v>136</v>
      </c>
      <c r="J64" s="287" t="s">
        <v>405</v>
      </c>
      <c r="K64" s="287" t="s">
        <v>139</v>
      </c>
      <c r="L64" s="17" t="s">
        <v>25</v>
      </c>
    </row>
    <row r="65" ht="15.75" customHeight="1">
      <c r="A65" s="287">
        <v>59.0</v>
      </c>
      <c r="B65" s="287" t="s">
        <v>7</v>
      </c>
      <c r="C65" s="287" t="s">
        <v>406</v>
      </c>
      <c r="D65" s="287" t="s">
        <v>213</v>
      </c>
      <c r="E65" s="287" t="s">
        <v>135</v>
      </c>
      <c r="F65" s="287" t="s">
        <v>136</v>
      </c>
      <c r="G65" s="287" t="s">
        <v>180</v>
      </c>
      <c r="H65" s="287" t="s">
        <v>407</v>
      </c>
      <c r="I65" s="287" t="s">
        <v>136</v>
      </c>
      <c r="J65" s="287" t="s">
        <v>408</v>
      </c>
      <c r="K65" s="287" t="s">
        <v>139</v>
      </c>
      <c r="L65" s="17" t="s">
        <v>25</v>
      </c>
    </row>
    <row r="66" ht="15.75" customHeight="1">
      <c r="A66" s="287">
        <v>68.0</v>
      </c>
      <c r="B66" s="287" t="s">
        <v>7</v>
      </c>
      <c r="C66" s="287" t="s">
        <v>409</v>
      </c>
      <c r="D66" s="287" t="s">
        <v>238</v>
      </c>
      <c r="E66" s="287" t="s">
        <v>136</v>
      </c>
      <c r="F66" s="287" t="s">
        <v>136</v>
      </c>
      <c r="G66" s="287" t="s">
        <v>410</v>
      </c>
      <c r="H66" s="287" t="s">
        <v>411</v>
      </c>
      <c r="I66" s="287" t="s">
        <v>136</v>
      </c>
      <c r="J66" s="287" t="s">
        <v>412</v>
      </c>
      <c r="K66" s="287" t="s">
        <v>139</v>
      </c>
      <c r="L66" s="17" t="s">
        <v>25</v>
      </c>
    </row>
    <row r="67" ht="15.75" customHeight="1">
      <c r="A67" s="287">
        <v>83.0</v>
      </c>
      <c r="B67" s="287" t="s">
        <v>7</v>
      </c>
      <c r="C67" s="287" t="s">
        <v>142</v>
      </c>
      <c r="D67" s="287" t="s">
        <v>143</v>
      </c>
      <c r="E67" s="287" t="s">
        <v>136</v>
      </c>
      <c r="F67" s="287" t="s">
        <v>136</v>
      </c>
      <c r="G67" s="287" t="s">
        <v>185</v>
      </c>
      <c r="H67" s="288"/>
      <c r="I67" s="287" t="s">
        <v>136</v>
      </c>
      <c r="J67" s="287" t="s">
        <v>413</v>
      </c>
      <c r="K67" s="287" t="s">
        <v>139</v>
      </c>
      <c r="L67" s="17" t="s">
        <v>25</v>
      </c>
    </row>
    <row r="68" ht="15.75" customHeight="1">
      <c r="A68" s="287">
        <v>63.0</v>
      </c>
      <c r="B68" s="287" t="s">
        <v>6</v>
      </c>
      <c r="C68" s="287" t="s">
        <v>414</v>
      </c>
      <c r="D68" s="287" t="s">
        <v>213</v>
      </c>
      <c r="E68" s="287" t="s">
        <v>135</v>
      </c>
      <c r="F68" s="287" t="s">
        <v>136</v>
      </c>
      <c r="G68" s="287" t="s">
        <v>231</v>
      </c>
      <c r="H68" s="288"/>
      <c r="I68" s="287" t="s">
        <v>135</v>
      </c>
      <c r="J68" s="287" t="s">
        <v>415</v>
      </c>
      <c r="K68" s="287" t="s">
        <v>139</v>
      </c>
      <c r="L68" s="17" t="s">
        <v>25</v>
      </c>
    </row>
    <row r="69" ht="15.75" customHeight="1">
      <c r="A69" s="287">
        <v>81.0</v>
      </c>
      <c r="B69" s="287" t="s">
        <v>7</v>
      </c>
      <c r="C69" s="287" t="s">
        <v>375</v>
      </c>
      <c r="D69" s="287" t="s">
        <v>176</v>
      </c>
      <c r="E69" s="287" t="s">
        <v>136</v>
      </c>
      <c r="F69" s="287" t="s">
        <v>136</v>
      </c>
      <c r="G69" s="287" t="s">
        <v>401</v>
      </c>
      <c r="H69" s="288"/>
      <c r="I69" s="287" t="s">
        <v>136</v>
      </c>
      <c r="J69" s="287" t="s">
        <v>418</v>
      </c>
      <c r="K69" s="287" t="s">
        <v>139</v>
      </c>
      <c r="L69" s="17" t="s">
        <v>25</v>
      </c>
    </row>
    <row r="70" ht="15.75" customHeight="1">
      <c r="A70" s="287">
        <v>53.0</v>
      </c>
      <c r="B70" s="287" t="s">
        <v>6</v>
      </c>
      <c r="C70" s="287" t="s">
        <v>184</v>
      </c>
      <c r="D70" s="287" t="s">
        <v>143</v>
      </c>
      <c r="E70" s="287" t="s">
        <v>136</v>
      </c>
      <c r="F70" s="287" t="s">
        <v>136</v>
      </c>
      <c r="G70" s="287" t="s">
        <v>174</v>
      </c>
      <c r="H70" s="288"/>
      <c r="I70" s="287" t="s">
        <v>136</v>
      </c>
      <c r="J70" s="287" t="s">
        <v>419</v>
      </c>
      <c r="K70" s="287" t="s">
        <v>139</v>
      </c>
      <c r="L70" s="17" t="s">
        <v>25</v>
      </c>
    </row>
    <row r="71" ht="15.75" customHeight="1">
      <c r="A71" s="287">
        <v>65.0</v>
      </c>
      <c r="B71" s="287" t="s">
        <v>6</v>
      </c>
      <c r="C71" s="287" t="s">
        <v>421</v>
      </c>
      <c r="D71" s="287" t="s">
        <v>164</v>
      </c>
      <c r="E71" s="287" t="s">
        <v>136</v>
      </c>
      <c r="F71" s="287" t="s">
        <v>136</v>
      </c>
      <c r="G71" s="287" t="s">
        <v>297</v>
      </c>
      <c r="H71" s="288"/>
      <c r="I71" s="287" t="s">
        <v>135</v>
      </c>
      <c r="J71" s="287" t="s">
        <v>422</v>
      </c>
      <c r="K71" s="287" t="s">
        <v>139</v>
      </c>
      <c r="L71" s="17" t="s">
        <v>25</v>
      </c>
    </row>
    <row r="72" ht="15.75" customHeight="1">
      <c r="A72" s="287">
        <v>50.0</v>
      </c>
      <c r="B72" s="287" t="s">
        <v>7</v>
      </c>
      <c r="C72" s="287" t="s">
        <v>184</v>
      </c>
      <c r="D72" s="287" t="s">
        <v>143</v>
      </c>
      <c r="E72" s="287" t="s">
        <v>136</v>
      </c>
      <c r="F72" s="287" t="s">
        <v>136</v>
      </c>
      <c r="G72" s="287" t="s">
        <v>185</v>
      </c>
      <c r="H72" s="288"/>
      <c r="I72" s="287" t="s">
        <v>136</v>
      </c>
      <c r="J72" s="287" t="s">
        <v>424</v>
      </c>
      <c r="K72" s="287" t="s">
        <v>139</v>
      </c>
      <c r="L72" s="17" t="s">
        <v>25</v>
      </c>
    </row>
    <row r="73" ht="15.75" customHeight="1">
      <c r="A73" s="287">
        <v>8.0</v>
      </c>
      <c r="B73" s="287" t="s">
        <v>6</v>
      </c>
      <c r="C73" s="287" t="s">
        <v>204</v>
      </c>
      <c r="D73" s="287" t="s">
        <v>170</v>
      </c>
      <c r="E73" s="287" t="s">
        <v>135</v>
      </c>
      <c r="F73" s="287" t="s">
        <v>136</v>
      </c>
      <c r="G73" s="287" t="s">
        <v>137</v>
      </c>
      <c r="H73" s="288"/>
      <c r="I73" s="287" t="s">
        <v>136</v>
      </c>
      <c r="J73" s="287" t="s">
        <v>425</v>
      </c>
      <c r="K73" s="287" t="s">
        <v>139</v>
      </c>
      <c r="L73" s="17" t="s">
        <v>25</v>
      </c>
    </row>
    <row r="74" ht="15.75" customHeight="1">
      <c r="A74" s="287">
        <v>71.0</v>
      </c>
      <c r="B74" s="287" t="s">
        <v>6</v>
      </c>
      <c r="C74" s="287" t="s">
        <v>427</v>
      </c>
      <c r="D74" s="287" t="s">
        <v>243</v>
      </c>
      <c r="E74" s="287" t="s">
        <v>136</v>
      </c>
      <c r="F74" s="287" t="s">
        <v>135</v>
      </c>
      <c r="G74" s="287" t="s">
        <v>428</v>
      </c>
      <c r="H74" s="288"/>
      <c r="I74" s="287" t="s">
        <v>136</v>
      </c>
      <c r="J74" s="287" t="s">
        <v>429</v>
      </c>
      <c r="K74" s="287" t="s">
        <v>139</v>
      </c>
      <c r="L74" s="17" t="s">
        <v>25</v>
      </c>
    </row>
    <row r="75" ht="15.75" customHeight="1">
      <c r="A75" s="287">
        <v>78.0</v>
      </c>
      <c r="B75" s="287" t="s">
        <v>7</v>
      </c>
      <c r="C75" s="287" t="s">
        <v>430</v>
      </c>
      <c r="D75" s="287" t="s">
        <v>143</v>
      </c>
      <c r="E75" s="287" t="s">
        <v>135</v>
      </c>
      <c r="F75" s="287" t="s">
        <v>136</v>
      </c>
      <c r="G75" s="287" t="s">
        <v>385</v>
      </c>
      <c r="H75" s="288"/>
      <c r="I75" s="287" t="s">
        <v>135</v>
      </c>
      <c r="J75" s="287" t="s">
        <v>431</v>
      </c>
      <c r="K75" s="287" t="s">
        <v>139</v>
      </c>
      <c r="L75" s="17" t="s">
        <v>25</v>
      </c>
    </row>
    <row r="76" ht="15.75" customHeight="1">
      <c r="A76" s="287">
        <v>33.0</v>
      </c>
      <c r="B76" s="287" t="s">
        <v>6</v>
      </c>
      <c r="C76" s="287" t="s">
        <v>149</v>
      </c>
      <c r="D76" s="287" t="s">
        <v>134</v>
      </c>
      <c r="E76" s="287" t="s">
        <v>136</v>
      </c>
      <c r="F76" s="287" t="s">
        <v>136</v>
      </c>
      <c r="G76" s="287" t="s">
        <v>174</v>
      </c>
      <c r="H76" s="288"/>
      <c r="I76" s="287" t="s">
        <v>135</v>
      </c>
      <c r="J76" s="287" t="s">
        <v>433</v>
      </c>
      <c r="K76" s="287" t="s">
        <v>139</v>
      </c>
      <c r="L76" s="17" t="s">
        <v>25</v>
      </c>
    </row>
    <row r="77" ht="15.75" customHeight="1">
      <c r="A77" s="287">
        <v>14.0</v>
      </c>
      <c r="B77" s="287" t="s">
        <v>6</v>
      </c>
      <c r="C77" s="287" t="s">
        <v>436</v>
      </c>
      <c r="D77" s="287" t="s">
        <v>187</v>
      </c>
      <c r="E77" s="287" t="s">
        <v>136</v>
      </c>
      <c r="F77" s="287" t="s">
        <v>136</v>
      </c>
      <c r="G77" s="287" t="s">
        <v>205</v>
      </c>
      <c r="H77" s="288"/>
      <c r="I77" s="287" t="s">
        <v>136</v>
      </c>
      <c r="J77" s="287" t="s">
        <v>437</v>
      </c>
      <c r="K77" s="287" t="s">
        <v>139</v>
      </c>
      <c r="L77" s="17" t="s">
        <v>25</v>
      </c>
    </row>
    <row r="78" ht="15.75" customHeight="1">
      <c r="A78" s="287">
        <v>91.0</v>
      </c>
      <c r="B78" s="287" t="s">
        <v>6</v>
      </c>
      <c r="C78" s="287" t="s">
        <v>439</v>
      </c>
      <c r="D78" s="287" t="s">
        <v>143</v>
      </c>
      <c r="E78" s="287" t="s">
        <v>135</v>
      </c>
      <c r="F78" s="287" t="s">
        <v>136</v>
      </c>
      <c r="G78" s="287" t="s">
        <v>440</v>
      </c>
      <c r="H78" s="287" t="s">
        <v>441</v>
      </c>
      <c r="I78" s="287" t="s">
        <v>136</v>
      </c>
      <c r="J78" s="287" t="s">
        <v>442</v>
      </c>
      <c r="K78" s="287" t="s">
        <v>139</v>
      </c>
      <c r="L78" s="17" t="s">
        <v>25</v>
      </c>
    </row>
    <row r="79" ht="15.75" customHeight="1">
      <c r="A79" s="287">
        <v>39.0</v>
      </c>
      <c r="B79" s="287" t="s">
        <v>6</v>
      </c>
      <c r="C79" s="287" t="s">
        <v>379</v>
      </c>
      <c r="D79" s="287" t="s">
        <v>202</v>
      </c>
      <c r="E79" s="287" t="s">
        <v>136</v>
      </c>
      <c r="F79" s="287" t="s">
        <v>136</v>
      </c>
      <c r="G79" s="287" t="s">
        <v>174</v>
      </c>
      <c r="H79" s="288"/>
      <c r="I79" s="287" t="s">
        <v>136</v>
      </c>
      <c r="J79" s="287" t="s">
        <v>444</v>
      </c>
      <c r="K79" s="287" t="s">
        <v>139</v>
      </c>
      <c r="L79" s="17" t="s">
        <v>25</v>
      </c>
    </row>
    <row r="80" ht="15.75" customHeight="1">
      <c r="A80" s="287">
        <v>60.0</v>
      </c>
      <c r="B80" s="287" t="s">
        <v>6</v>
      </c>
      <c r="C80" s="287" t="s">
        <v>445</v>
      </c>
      <c r="D80" s="287" t="s">
        <v>134</v>
      </c>
      <c r="E80" s="287" t="s">
        <v>135</v>
      </c>
      <c r="F80" s="287" t="s">
        <v>136</v>
      </c>
      <c r="G80" s="287" t="s">
        <v>221</v>
      </c>
      <c r="H80" s="288"/>
      <c r="I80" s="287" t="s">
        <v>135</v>
      </c>
      <c r="J80" s="287" t="s">
        <v>446</v>
      </c>
      <c r="K80" s="287" t="s">
        <v>139</v>
      </c>
      <c r="L80" s="17" t="s">
        <v>25</v>
      </c>
    </row>
    <row r="81" ht="15.75" customHeight="1">
      <c r="A81" s="287">
        <v>11.0</v>
      </c>
      <c r="B81" s="287" t="s">
        <v>6</v>
      </c>
      <c r="C81" s="287" t="s">
        <v>447</v>
      </c>
      <c r="D81" s="287" t="s">
        <v>213</v>
      </c>
      <c r="E81" s="287" t="s">
        <v>135</v>
      </c>
      <c r="F81" s="287" t="s">
        <v>135</v>
      </c>
      <c r="G81" s="133" t="s">
        <v>448</v>
      </c>
      <c r="H81" s="287" t="s">
        <v>449</v>
      </c>
      <c r="I81" s="287" t="s">
        <v>136</v>
      </c>
      <c r="J81" s="287" t="s">
        <v>450</v>
      </c>
      <c r="K81" s="287" t="s">
        <v>139</v>
      </c>
      <c r="L81" s="17" t="s">
        <v>25</v>
      </c>
    </row>
    <row r="82" ht="15.75" customHeight="1">
      <c r="A82" s="287">
        <v>24.0</v>
      </c>
      <c r="B82" s="287" t="s">
        <v>7</v>
      </c>
      <c r="C82" s="287" t="s">
        <v>250</v>
      </c>
      <c r="D82" s="287" t="s">
        <v>209</v>
      </c>
      <c r="E82" s="287" t="s">
        <v>135</v>
      </c>
      <c r="F82" s="287" t="s">
        <v>135</v>
      </c>
      <c r="G82" s="287" t="s">
        <v>221</v>
      </c>
      <c r="H82" s="288"/>
      <c r="I82" s="287" t="s">
        <v>136</v>
      </c>
      <c r="J82" s="287" t="s">
        <v>452</v>
      </c>
      <c r="K82" s="287" t="s">
        <v>139</v>
      </c>
      <c r="L82" s="17" t="s">
        <v>25</v>
      </c>
    </row>
    <row r="83" ht="15.75" customHeight="1">
      <c r="A83" s="287">
        <v>61.0</v>
      </c>
      <c r="B83" s="287" t="s">
        <v>7</v>
      </c>
      <c r="C83" s="287" t="s">
        <v>453</v>
      </c>
      <c r="D83" s="287" t="s">
        <v>248</v>
      </c>
      <c r="E83" s="287" t="s">
        <v>136</v>
      </c>
      <c r="F83" s="287" t="s">
        <v>136</v>
      </c>
      <c r="G83" s="287" t="s">
        <v>454</v>
      </c>
      <c r="H83" s="287" t="s">
        <v>455</v>
      </c>
      <c r="I83" s="287" t="s">
        <v>135</v>
      </c>
      <c r="J83" s="287" t="s">
        <v>456</v>
      </c>
      <c r="K83" s="287" t="s">
        <v>139</v>
      </c>
      <c r="L83" s="17" t="s">
        <v>25</v>
      </c>
    </row>
    <row r="84" ht="15.75" customHeight="1">
      <c r="A84" s="287">
        <v>77.0</v>
      </c>
      <c r="B84" s="287" t="s">
        <v>6</v>
      </c>
      <c r="C84" s="287" t="s">
        <v>235</v>
      </c>
      <c r="D84" s="287" t="s">
        <v>164</v>
      </c>
      <c r="E84" s="287" t="s">
        <v>136</v>
      </c>
      <c r="F84" s="287" t="s">
        <v>136</v>
      </c>
      <c r="G84" s="287" t="s">
        <v>457</v>
      </c>
      <c r="H84" s="288"/>
      <c r="I84" s="287" t="s">
        <v>136</v>
      </c>
      <c r="J84" s="287" t="s">
        <v>458</v>
      </c>
      <c r="K84" s="287" t="s">
        <v>139</v>
      </c>
      <c r="L84" s="17" t="s">
        <v>25</v>
      </c>
    </row>
    <row r="85" ht="15.75" customHeight="1">
      <c r="A85" s="287">
        <v>51.0</v>
      </c>
      <c r="B85" s="287" t="s">
        <v>6</v>
      </c>
      <c r="C85" s="287" t="s">
        <v>459</v>
      </c>
      <c r="D85" s="287" t="s">
        <v>197</v>
      </c>
      <c r="E85" s="287" t="s">
        <v>136</v>
      </c>
      <c r="F85" s="287" t="s">
        <v>136</v>
      </c>
      <c r="G85" s="287" t="s">
        <v>460</v>
      </c>
      <c r="H85" s="288"/>
      <c r="I85" s="287" t="s">
        <v>135</v>
      </c>
      <c r="J85" s="287" t="s">
        <v>461</v>
      </c>
      <c r="K85" s="287" t="s">
        <v>139</v>
      </c>
      <c r="L85" s="17" t="s">
        <v>25</v>
      </c>
    </row>
    <row r="86" ht="15.75" customHeight="1">
      <c r="A86" s="287">
        <v>3.0</v>
      </c>
      <c r="B86" s="287" t="s">
        <v>7</v>
      </c>
      <c r="C86" s="287" t="s">
        <v>338</v>
      </c>
      <c r="D86" s="287" t="s">
        <v>143</v>
      </c>
      <c r="E86" s="287" t="s">
        <v>136</v>
      </c>
      <c r="F86" s="287" t="s">
        <v>136</v>
      </c>
      <c r="G86" s="287" t="s">
        <v>349</v>
      </c>
      <c r="H86" s="288"/>
      <c r="I86" s="287" t="s">
        <v>135</v>
      </c>
      <c r="J86" s="287" t="s">
        <v>462</v>
      </c>
      <c r="K86" s="287" t="s">
        <v>139</v>
      </c>
      <c r="L86" s="17" t="s">
        <v>25</v>
      </c>
    </row>
    <row r="87" ht="15.75" customHeight="1">
      <c r="A87" s="287">
        <v>66.0</v>
      </c>
      <c r="B87" s="287" t="s">
        <v>6</v>
      </c>
      <c r="C87" s="287" t="s">
        <v>463</v>
      </c>
      <c r="D87" s="287" t="s">
        <v>143</v>
      </c>
      <c r="E87" s="287" t="s">
        <v>136</v>
      </c>
      <c r="F87" s="287" t="s">
        <v>136</v>
      </c>
      <c r="G87" s="287" t="s">
        <v>457</v>
      </c>
      <c r="H87" s="288"/>
      <c r="I87" s="287" t="s">
        <v>136</v>
      </c>
      <c r="J87" s="287" t="s">
        <v>464</v>
      </c>
      <c r="K87" s="287" t="s">
        <v>139</v>
      </c>
      <c r="L87" s="17" t="s">
        <v>25</v>
      </c>
    </row>
    <row r="88" ht="15.75" customHeight="1">
      <c r="A88" s="287">
        <v>82.0</v>
      </c>
      <c r="B88" s="287" t="s">
        <v>7</v>
      </c>
      <c r="C88" s="287" t="s">
        <v>315</v>
      </c>
      <c r="D88" s="287" t="s">
        <v>164</v>
      </c>
      <c r="E88" s="287" t="s">
        <v>135</v>
      </c>
      <c r="F88" s="287" t="s">
        <v>136</v>
      </c>
      <c r="G88" s="287" t="s">
        <v>185</v>
      </c>
      <c r="H88" s="288"/>
      <c r="I88" s="287" t="s">
        <v>136</v>
      </c>
      <c r="J88" s="287" t="s">
        <v>465</v>
      </c>
      <c r="K88" s="287" t="s">
        <v>139</v>
      </c>
      <c r="L88" s="17" t="s">
        <v>25</v>
      </c>
    </row>
    <row r="89" ht="15.75" customHeight="1">
      <c r="A89" s="287">
        <v>64.0</v>
      </c>
      <c r="B89" s="287" t="s">
        <v>7</v>
      </c>
      <c r="C89" s="287" t="s">
        <v>466</v>
      </c>
      <c r="D89" s="287" t="s">
        <v>255</v>
      </c>
      <c r="E89" s="287" t="s">
        <v>135</v>
      </c>
      <c r="F89" s="287" t="s">
        <v>136</v>
      </c>
      <c r="G89" s="287" t="s">
        <v>467</v>
      </c>
      <c r="H89" s="288"/>
      <c r="I89" s="287" t="s">
        <v>135</v>
      </c>
      <c r="J89" s="287" t="s">
        <v>468</v>
      </c>
      <c r="K89" s="287" t="s">
        <v>139</v>
      </c>
      <c r="L89" s="17" t="s">
        <v>25</v>
      </c>
    </row>
    <row r="90" ht="15.75" customHeight="1">
      <c r="A90" s="287">
        <v>90.0</v>
      </c>
      <c r="B90" s="287" t="s">
        <v>7</v>
      </c>
      <c r="C90" s="287" t="s">
        <v>469</v>
      </c>
      <c r="D90" s="287" t="s">
        <v>202</v>
      </c>
      <c r="E90" s="287" t="s">
        <v>136</v>
      </c>
      <c r="F90" s="287" t="s">
        <v>136</v>
      </c>
      <c r="G90" s="287" t="s">
        <v>150</v>
      </c>
      <c r="H90" s="288"/>
      <c r="I90" s="287" t="s">
        <v>136</v>
      </c>
      <c r="J90" s="287" t="s">
        <v>470</v>
      </c>
      <c r="K90" s="287" t="s">
        <v>139</v>
      </c>
      <c r="L90" s="17" t="s">
        <v>25</v>
      </c>
    </row>
    <row r="91" ht="15.75" customHeight="1">
      <c r="A91" s="291"/>
      <c r="B91" s="288"/>
      <c r="C91" s="288"/>
      <c r="D91" s="288"/>
      <c r="E91" s="291"/>
      <c r="F91" s="291"/>
      <c r="G91" s="246"/>
      <c r="H91" s="246"/>
      <c r="I91" s="246"/>
      <c r="J91" s="292"/>
      <c r="K91" s="291"/>
    </row>
    <row r="92" ht="15.75" customHeight="1">
      <c r="A92" s="291"/>
      <c r="B92" s="288"/>
      <c r="C92" s="288"/>
      <c r="D92" s="288"/>
      <c r="E92" s="291"/>
      <c r="F92" s="291"/>
      <c r="G92" s="246"/>
      <c r="H92" s="246"/>
      <c r="I92" s="246"/>
      <c r="J92" s="292"/>
      <c r="K92" s="291"/>
    </row>
    <row r="93" ht="15.75" customHeight="1">
      <c r="A93" s="291"/>
      <c r="B93" s="288"/>
      <c r="C93" s="288"/>
      <c r="D93" s="288"/>
      <c r="E93" s="291"/>
      <c r="F93" s="291"/>
      <c r="G93" s="246"/>
      <c r="H93" s="246"/>
      <c r="I93" s="246"/>
      <c r="J93" s="292"/>
      <c r="K93" s="291"/>
    </row>
    <row r="94" ht="15.75" customHeight="1">
      <c r="A94" s="291"/>
      <c r="B94" s="288"/>
      <c r="C94" s="288"/>
      <c r="D94" s="288"/>
      <c r="E94" s="291"/>
      <c r="F94" s="291"/>
      <c r="G94" s="246"/>
      <c r="H94" s="246"/>
      <c r="I94" s="246"/>
      <c r="J94" s="292"/>
      <c r="K94" s="291"/>
    </row>
    <row r="95" ht="15.75" customHeight="1">
      <c r="A95" s="291"/>
      <c r="B95" s="288"/>
      <c r="C95" s="288"/>
      <c r="D95" s="288"/>
      <c r="E95" s="293"/>
      <c r="F95" s="291"/>
      <c r="G95" s="246"/>
      <c r="H95" s="246"/>
      <c r="I95" s="246"/>
      <c r="J95" s="292"/>
      <c r="K95" s="291"/>
    </row>
    <row r="96" ht="15.75" customHeight="1">
      <c r="A96" s="291"/>
      <c r="B96" s="288"/>
      <c r="C96" s="288"/>
      <c r="D96" s="288"/>
      <c r="E96" s="293"/>
      <c r="F96" s="291"/>
      <c r="G96" s="246"/>
      <c r="H96" s="246"/>
      <c r="I96" s="246"/>
      <c r="J96" s="292"/>
      <c r="K96" s="291"/>
    </row>
    <row r="97" ht="15.75" customHeight="1">
      <c r="A97" s="291"/>
      <c r="B97" s="288"/>
      <c r="C97" s="288"/>
      <c r="D97" s="288"/>
      <c r="E97" s="293"/>
      <c r="F97" s="291"/>
      <c r="G97" s="246"/>
      <c r="H97" s="246"/>
      <c r="I97" s="246"/>
      <c r="J97" s="292"/>
      <c r="K97" s="291"/>
    </row>
    <row r="98" ht="15.75" customHeight="1">
      <c r="A98" s="291"/>
      <c r="B98" s="288"/>
      <c r="C98" s="288"/>
      <c r="D98" s="288"/>
      <c r="E98" s="293"/>
      <c r="F98" s="291"/>
      <c r="G98" s="246"/>
      <c r="H98" s="246"/>
      <c r="I98" s="246"/>
      <c r="J98" s="292"/>
      <c r="K98" s="291"/>
    </row>
    <row r="99" ht="15.75" customHeight="1">
      <c r="A99" s="291"/>
      <c r="B99" s="288"/>
      <c r="C99" s="288"/>
      <c r="D99" s="288"/>
      <c r="E99" s="293"/>
      <c r="F99" s="291"/>
      <c r="G99" s="246"/>
      <c r="H99" s="246"/>
      <c r="I99" s="246"/>
      <c r="J99" s="292"/>
      <c r="K99" s="291"/>
    </row>
    <row r="100" ht="15.75" customHeight="1">
      <c r="A100" s="291"/>
      <c r="B100" s="288"/>
      <c r="C100" s="288"/>
      <c r="D100" s="288"/>
      <c r="E100" s="293"/>
      <c r="F100" s="291"/>
      <c r="G100" s="246"/>
      <c r="H100" s="246"/>
      <c r="I100" s="246"/>
      <c r="J100" s="292"/>
      <c r="K100" s="291"/>
    </row>
    <row r="101" ht="15.75" customHeight="1">
      <c r="A101" s="291"/>
      <c r="B101" s="288"/>
      <c r="C101" s="288"/>
      <c r="D101" s="288"/>
      <c r="E101" s="291"/>
      <c r="F101" s="291"/>
      <c r="G101" s="246"/>
      <c r="H101" s="246"/>
      <c r="I101" s="246"/>
      <c r="J101" s="292"/>
      <c r="K101" s="291"/>
    </row>
    <row r="102" ht="15.75" customHeight="1">
      <c r="A102" s="291"/>
      <c r="B102" s="288"/>
      <c r="C102" s="288"/>
      <c r="D102" s="288"/>
      <c r="E102" s="293"/>
      <c r="F102" s="291"/>
      <c r="G102" s="246"/>
      <c r="H102" s="246"/>
      <c r="I102" s="246"/>
      <c r="J102" s="292"/>
      <c r="K102" s="291"/>
    </row>
    <row r="103" ht="15.75" customHeight="1">
      <c r="A103" s="291"/>
      <c r="B103" s="288"/>
      <c r="C103" s="288"/>
      <c r="D103" s="288"/>
      <c r="E103" s="291"/>
      <c r="F103" s="291"/>
      <c r="G103" s="246"/>
      <c r="H103" s="246"/>
      <c r="I103" s="246"/>
      <c r="J103" s="292"/>
      <c r="K103" s="291"/>
    </row>
    <row r="104" ht="15.75" customHeight="1">
      <c r="A104" s="291"/>
      <c r="B104" s="288"/>
      <c r="C104" s="288"/>
      <c r="D104" s="288"/>
      <c r="E104" s="293"/>
      <c r="F104" s="291"/>
      <c r="G104" s="246"/>
      <c r="H104" s="246"/>
      <c r="I104" s="246"/>
      <c r="J104" s="292"/>
      <c r="K104" s="291"/>
    </row>
    <row r="105" ht="15.75" customHeight="1">
      <c r="A105" s="291"/>
      <c r="B105" s="288"/>
      <c r="C105" s="288"/>
      <c r="D105" s="288"/>
      <c r="E105" s="293"/>
      <c r="F105" s="291"/>
      <c r="G105" s="246"/>
      <c r="H105" s="246"/>
      <c r="I105" s="246"/>
      <c r="J105" s="292"/>
      <c r="K105" s="291"/>
    </row>
    <row r="106" ht="15.75" customHeight="1">
      <c r="A106" s="291"/>
      <c r="B106" s="288"/>
      <c r="C106" s="288"/>
      <c r="D106" s="288"/>
      <c r="E106" s="293"/>
      <c r="F106" s="291"/>
      <c r="G106" s="246"/>
      <c r="H106" s="246"/>
      <c r="I106" s="246"/>
      <c r="J106" s="292"/>
      <c r="K106" s="291"/>
    </row>
    <row r="107" ht="15.75" customHeight="1">
      <c r="A107" s="291"/>
      <c r="B107" s="288"/>
      <c r="C107" s="288"/>
      <c r="D107" s="288"/>
      <c r="E107" s="293"/>
      <c r="F107" s="291"/>
      <c r="G107" s="246"/>
      <c r="H107" s="246"/>
      <c r="I107" s="246"/>
      <c r="J107" s="292"/>
      <c r="K107" s="291"/>
    </row>
    <row r="108" ht="15.75" customHeight="1">
      <c r="A108" s="291"/>
      <c r="B108" s="288"/>
      <c r="C108" s="288"/>
      <c r="D108" s="288"/>
      <c r="E108" s="291"/>
      <c r="F108" s="291"/>
      <c r="G108" s="246"/>
      <c r="H108" s="246"/>
      <c r="I108" s="246"/>
      <c r="J108" s="292"/>
      <c r="K108" s="291"/>
    </row>
    <row r="109" ht="15.75" customHeight="1">
      <c r="A109" s="291"/>
      <c r="B109" s="288"/>
      <c r="C109" s="288"/>
      <c r="D109" s="288"/>
      <c r="E109" s="293"/>
      <c r="F109" s="291"/>
      <c r="G109" s="246"/>
      <c r="H109" s="246"/>
      <c r="I109" s="246"/>
      <c r="J109" s="292"/>
      <c r="K109" s="291"/>
    </row>
    <row r="110" ht="15.75" customHeight="1">
      <c r="A110" s="291"/>
      <c r="B110" s="288"/>
      <c r="C110" s="288"/>
      <c r="D110" s="288"/>
      <c r="E110" s="293"/>
      <c r="F110" s="291"/>
      <c r="G110" s="246"/>
      <c r="H110" s="246"/>
      <c r="I110" s="246"/>
      <c r="J110" s="292"/>
      <c r="K110" s="291"/>
    </row>
    <row r="111" ht="15.75" customHeight="1">
      <c r="A111" s="291"/>
      <c r="B111" s="288"/>
      <c r="C111" s="288"/>
      <c r="D111" s="288"/>
      <c r="E111" s="293"/>
      <c r="F111" s="291"/>
      <c r="G111" s="246"/>
      <c r="H111" s="246"/>
      <c r="I111" s="246"/>
      <c r="J111" s="292"/>
      <c r="K111" s="291"/>
    </row>
    <row r="112" ht="15.75" customHeight="1">
      <c r="A112" s="291"/>
      <c r="B112" s="288"/>
      <c r="C112" s="288"/>
      <c r="D112" s="288"/>
      <c r="E112" s="293"/>
      <c r="F112" s="291"/>
      <c r="G112" s="246"/>
      <c r="H112" s="246"/>
      <c r="I112" s="246"/>
      <c r="J112" s="292"/>
      <c r="K112" s="291"/>
    </row>
    <row r="113" ht="15.75" customHeight="1">
      <c r="A113" s="291"/>
      <c r="B113" s="288"/>
      <c r="C113" s="288"/>
      <c r="D113" s="288"/>
      <c r="E113" s="291"/>
      <c r="F113" s="291"/>
      <c r="G113" s="246"/>
      <c r="H113" s="246"/>
      <c r="I113" s="246"/>
      <c r="J113" s="292"/>
      <c r="K113" s="291"/>
    </row>
    <row r="114" ht="15.75" customHeight="1">
      <c r="A114" s="291"/>
      <c r="B114" s="288"/>
      <c r="C114" s="288"/>
      <c r="D114" s="288"/>
      <c r="E114" s="293"/>
      <c r="F114" s="291"/>
      <c r="G114" s="246"/>
      <c r="H114" s="246"/>
      <c r="I114" s="246"/>
      <c r="J114" s="292"/>
      <c r="K114" s="291"/>
    </row>
    <row r="115" ht="15.75" customHeight="1">
      <c r="A115" s="291"/>
      <c r="B115" s="288"/>
      <c r="C115" s="288"/>
      <c r="D115" s="288"/>
      <c r="E115" s="291"/>
      <c r="F115" s="291"/>
      <c r="G115" s="246"/>
      <c r="H115" s="246"/>
      <c r="I115" s="246"/>
      <c r="J115" s="292"/>
      <c r="K115" s="291"/>
    </row>
    <row r="116" ht="15.75" customHeight="1">
      <c r="A116" s="291"/>
      <c r="B116" s="288"/>
      <c r="C116" s="288"/>
      <c r="D116" s="288"/>
      <c r="E116" s="293"/>
      <c r="F116" s="291"/>
      <c r="G116" s="246"/>
      <c r="H116" s="246"/>
      <c r="I116" s="246"/>
      <c r="J116" s="292"/>
      <c r="K116" s="291"/>
    </row>
    <row r="117" ht="15.75" customHeight="1">
      <c r="A117" s="291"/>
      <c r="B117" s="288"/>
      <c r="C117" s="288"/>
      <c r="D117" s="288"/>
      <c r="E117" s="293"/>
      <c r="F117" s="291"/>
      <c r="G117" s="246"/>
      <c r="H117" s="246"/>
      <c r="I117" s="246"/>
      <c r="J117" s="292"/>
      <c r="K117" s="291"/>
    </row>
    <row r="118" ht="15.75" customHeight="1">
      <c r="A118" s="291"/>
      <c r="B118" s="288"/>
      <c r="C118" s="288"/>
      <c r="D118" s="288"/>
      <c r="E118" s="293"/>
      <c r="F118" s="291"/>
      <c r="G118" s="246"/>
      <c r="H118" s="246"/>
      <c r="I118" s="246"/>
      <c r="J118" s="292"/>
      <c r="K118" s="291"/>
    </row>
    <row r="119" ht="15.75" customHeight="1">
      <c r="A119" s="291"/>
      <c r="B119" s="288"/>
      <c r="C119" s="288"/>
      <c r="D119" s="288"/>
      <c r="E119" s="293"/>
      <c r="F119" s="291"/>
      <c r="G119" s="246"/>
      <c r="H119" s="246"/>
      <c r="I119" s="246"/>
      <c r="J119" s="292"/>
      <c r="K119" s="291"/>
    </row>
    <row r="120" ht="15.75" customHeight="1">
      <c r="A120" s="291"/>
      <c r="B120" s="288"/>
      <c r="C120" s="288"/>
      <c r="D120" s="288"/>
      <c r="E120" s="291"/>
      <c r="F120" s="291"/>
      <c r="G120" s="246"/>
      <c r="H120" s="246"/>
      <c r="I120" s="246"/>
      <c r="J120" s="292"/>
      <c r="K120" s="291"/>
    </row>
    <row r="121" ht="15.75" customHeight="1">
      <c r="A121" s="291"/>
      <c r="B121" s="288"/>
      <c r="C121" s="288"/>
      <c r="D121" s="288"/>
      <c r="E121" s="293"/>
      <c r="F121" s="291"/>
      <c r="G121" s="246"/>
      <c r="H121" s="246"/>
      <c r="I121" s="246"/>
      <c r="J121" s="292"/>
      <c r="K121" s="291"/>
    </row>
    <row r="122" ht="15.75" customHeight="1">
      <c r="A122" s="291"/>
      <c r="B122" s="288"/>
      <c r="C122" s="288"/>
      <c r="D122" s="288"/>
      <c r="E122" s="291"/>
      <c r="F122" s="291"/>
      <c r="G122" s="246"/>
      <c r="H122" s="246"/>
      <c r="I122" s="246"/>
      <c r="J122" s="292"/>
      <c r="K122" s="291"/>
    </row>
    <row r="123" ht="15.75" customHeight="1">
      <c r="A123" s="291"/>
      <c r="B123" s="288"/>
      <c r="C123" s="288"/>
      <c r="D123" s="288"/>
      <c r="E123" s="291"/>
      <c r="F123" s="291"/>
      <c r="G123" s="246"/>
      <c r="H123" s="246"/>
      <c r="I123" s="246"/>
      <c r="J123" s="292"/>
      <c r="K123" s="291"/>
    </row>
    <row r="124" ht="15.75" customHeight="1">
      <c r="A124" s="291"/>
      <c r="B124" s="288"/>
      <c r="C124" s="288"/>
      <c r="D124" s="288"/>
      <c r="E124" s="293"/>
      <c r="F124" s="291"/>
      <c r="G124" s="246"/>
      <c r="H124" s="246"/>
      <c r="I124" s="246"/>
      <c r="J124" s="292"/>
      <c r="K124" s="291"/>
    </row>
    <row r="125" ht="15.75" customHeight="1">
      <c r="A125" s="291"/>
      <c r="B125" s="288"/>
      <c r="C125" s="288"/>
      <c r="D125" s="288"/>
      <c r="E125" s="293"/>
      <c r="F125" s="291"/>
      <c r="G125" s="246"/>
      <c r="H125" s="246"/>
      <c r="I125" s="246"/>
      <c r="J125" s="292"/>
      <c r="K125" s="291"/>
    </row>
    <row r="126" ht="15.75" customHeight="1">
      <c r="A126" s="291"/>
      <c r="B126" s="288"/>
      <c r="C126" s="288"/>
      <c r="D126" s="288"/>
      <c r="E126" s="293"/>
      <c r="F126" s="291"/>
      <c r="G126" s="246"/>
      <c r="H126" s="246"/>
      <c r="I126" s="246"/>
      <c r="J126" s="292"/>
      <c r="K126" s="291"/>
    </row>
    <row r="127" ht="15.75" customHeight="1">
      <c r="A127" s="291"/>
      <c r="B127" s="288"/>
      <c r="C127" s="288"/>
      <c r="D127" s="288"/>
      <c r="E127" s="293"/>
      <c r="F127" s="291"/>
      <c r="G127" s="246"/>
      <c r="H127" s="246"/>
      <c r="I127" s="246"/>
      <c r="J127" s="292"/>
      <c r="K127" s="291"/>
    </row>
    <row r="128" ht="15.75" customHeight="1">
      <c r="A128" s="291"/>
      <c r="B128" s="288"/>
      <c r="C128" s="288"/>
      <c r="D128" s="288"/>
      <c r="E128" s="293"/>
      <c r="F128" s="291"/>
      <c r="G128" s="246"/>
      <c r="H128" s="246"/>
      <c r="I128" s="246"/>
      <c r="J128" s="292"/>
      <c r="K128" s="291"/>
    </row>
    <row r="129" ht="15.75" customHeight="1">
      <c r="A129" s="291"/>
      <c r="B129" s="288"/>
      <c r="C129" s="288"/>
      <c r="D129" s="288"/>
      <c r="E129" s="293"/>
      <c r="F129" s="291"/>
      <c r="G129" s="246"/>
      <c r="H129" s="246"/>
      <c r="I129" s="246"/>
      <c r="J129" s="292"/>
      <c r="K129" s="291"/>
    </row>
    <row r="130" ht="15.75" customHeight="1">
      <c r="A130" s="291"/>
      <c r="B130" s="288"/>
      <c r="C130" s="288"/>
      <c r="D130" s="288"/>
      <c r="E130" s="291"/>
      <c r="F130" s="291"/>
      <c r="G130" s="246"/>
      <c r="H130" s="246"/>
      <c r="I130" s="246"/>
      <c r="J130" s="292"/>
      <c r="K130" s="291"/>
    </row>
    <row r="131" ht="15.75" customHeight="1">
      <c r="A131" s="291"/>
      <c r="B131" s="288"/>
      <c r="C131" s="288"/>
      <c r="D131" s="288"/>
      <c r="E131" s="293"/>
      <c r="F131" s="291"/>
      <c r="G131" s="246"/>
      <c r="H131" s="246"/>
      <c r="I131" s="246"/>
      <c r="J131" s="292"/>
      <c r="K131" s="291"/>
    </row>
    <row r="132" ht="15.75" customHeight="1">
      <c r="A132" s="291"/>
      <c r="B132" s="288"/>
      <c r="C132" s="288"/>
      <c r="D132" s="288"/>
      <c r="E132" s="293"/>
      <c r="F132" s="291"/>
      <c r="G132" s="246"/>
      <c r="H132" s="246"/>
      <c r="I132" s="246"/>
      <c r="J132" s="292"/>
      <c r="K132" s="291"/>
    </row>
    <row r="133" ht="15.75" customHeight="1">
      <c r="A133" s="291"/>
      <c r="B133" s="288"/>
      <c r="C133" s="288"/>
      <c r="D133" s="288"/>
      <c r="E133" s="293"/>
      <c r="F133" s="291"/>
      <c r="G133" s="246"/>
      <c r="H133" s="246"/>
      <c r="I133" s="246"/>
      <c r="J133" s="292"/>
      <c r="K133" s="291"/>
    </row>
    <row r="134" ht="15.75" customHeight="1">
      <c r="A134" s="291"/>
      <c r="B134" s="288"/>
      <c r="C134" s="288"/>
      <c r="D134" s="288"/>
      <c r="E134" s="293"/>
      <c r="F134" s="291"/>
      <c r="G134" s="246"/>
      <c r="H134" s="246"/>
      <c r="I134" s="246"/>
      <c r="J134" s="292"/>
      <c r="K134" s="291"/>
    </row>
    <row r="135" ht="15.75" customHeight="1">
      <c r="A135" s="291"/>
      <c r="B135" s="288"/>
      <c r="C135" s="288"/>
      <c r="D135" s="288"/>
      <c r="E135" s="293"/>
      <c r="F135" s="291"/>
      <c r="G135" s="246"/>
      <c r="H135" s="246"/>
      <c r="I135" s="246"/>
      <c r="J135" s="292"/>
      <c r="K135" s="291"/>
    </row>
    <row r="136" ht="15.75" customHeight="1">
      <c r="A136" s="291"/>
      <c r="B136" s="288"/>
      <c r="C136" s="288"/>
      <c r="D136" s="288"/>
      <c r="E136" s="291"/>
      <c r="F136" s="291"/>
      <c r="G136" s="246"/>
      <c r="H136" s="246"/>
      <c r="I136" s="246"/>
      <c r="J136" s="292"/>
      <c r="K136" s="291"/>
    </row>
    <row r="137" ht="15.75" customHeight="1">
      <c r="A137" s="291"/>
      <c r="B137" s="288"/>
      <c r="C137" s="288"/>
      <c r="D137" s="288"/>
      <c r="E137" s="291"/>
      <c r="F137" s="291"/>
      <c r="G137" s="246"/>
      <c r="H137" s="246"/>
      <c r="I137" s="246"/>
      <c r="J137" s="292"/>
      <c r="K137" s="291"/>
    </row>
    <row r="138" ht="15.75" customHeight="1">
      <c r="A138" s="291"/>
      <c r="B138" s="288"/>
      <c r="C138" s="288"/>
      <c r="D138" s="288"/>
      <c r="E138" s="293"/>
      <c r="F138" s="291"/>
      <c r="G138" s="246"/>
      <c r="H138" s="246"/>
      <c r="I138" s="246"/>
      <c r="J138" s="292"/>
      <c r="K138" s="291"/>
    </row>
    <row r="139" ht="15.75" customHeight="1">
      <c r="A139" s="291"/>
      <c r="B139" s="288"/>
      <c r="C139" s="288"/>
      <c r="D139" s="288"/>
      <c r="E139" s="293"/>
      <c r="F139" s="291"/>
      <c r="G139" s="246"/>
      <c r="H139" s="246"/>
      <c r="I139" s="246"/>
      <c r="J139" s="292"/>
      <c r="K139" s="291"/>
    </row>
    <row r="140" ht="15.75" customHeight="1">
      <c r="A140" s="291"/>
      <c r="B140" s="288"/>
      <c r="C140" s="288"/>
      <c r="D140" s="288"/>
      <c r="E140" s="293"/>
      <c r="F140" s="291"/>
      <c r="G140" s="246"/>
      <c r="H140" s="246"/>
      <c r="I140" s="246"/>
      <c r="J140" s="292"/>
      <c r="K140" s="291"/>
    </row>
    <row r="141" ht="15.75" customHeight="1">
      <c r="A141" s="291"/>
      <c r="B141" s="288"/>
      <c r="C141" s="288"/>
      <c r="D141" s="288"/>
      <c r="E141" s="293"/>
      <c r="F141" s="291"/>
      <c r="G141" s="246"/>
      <c r="H141" s="246"/>
      <c r="I141" s="246"/>
      <c r="J141" s="292"/>
      <c r="K141" s="291"/>
    </row>
    <row r="142" ht="15.75" customHeight="1">
      <c r="A142" s="291"/>
      <c r="B142" s="288"/>
      <c r="C142" s="288"/>
      <c r="D142" s="288"/>
      <c r="E142" s="291"/>
      <c r="F142" s="291"/>
      <c r="G142" s="246"/>
      <c r="H142" s="246"/>
      <c r="I142" s="246"/>
      <c r="J142" s="292"/>
      <c r="K142" s="291"/>
    </row>
    <row r="143" ht="15.75" customHeight="1">
      <c r="A143" s="291"/>
      <c r="B143" s="288"/>
      <c r="C143" s="288"/>
      <c r="D143" s="288"/>
      <c r="E143" s="293"/>
      <c r="F143" s="291"/>
      <c r="G143" s="246"/>
      <c r="H143" s="246"/>
      <c r="I143" s="246"/>
      <c r="J143" s="292"/>
      <c r="K143" s="291"/>
    </row>
    <row r="144" ht="15.75" customHeight="1">
      <c r="A144" s="291"/>
      <c r="B144" s="288"/>
      <c r="C144" s="288"/>
      <c r="D144" s="288"/>
      <c r="E144" s="293"/>
      <c r="F144" s="291"/>
      <c r="G144" s="246"/>
      <c r="H144" s="246"/>
      <c r="I144" s="246"/>
      <c r="J144" s="292"/>
      <c r="K144" s="291"/>
    </row>
    <row r="145" ht="15.75" customHeight="1">
      <c r="A145" s="291"/>
      <c r="B145" s="288"/>
      <c r="C145" s="288"/>
      <c r="D145" s="288"/>
      <c r="E145" s="293"/>
      <c r="F145" s="291"/>
      <c r="G145" s="246"/>
      <c r="H145" s="246"/>
      <c r="I145" s="246"/>
      <c r="J145" s="292"/>
      <c r="K145" s="291"/>
    </row>
    <row r="146" ht="15.75" customHeight="1">
      <c r="A146" s="291"/>
      <c r="B146" s="288"/>
      <c r="C146" s="288"/>
      <c r="D146" s="288"/>
      <c r="E146" s="291"/>
      <c r="F146" s="291"/>
      <c r="G146" s="246"/>
      <c r="H146" s="246"/>
      <c r="I146" s="246"/>
      <c r="J146" s="292"/>
      <c r="K146" s="291"/>
    </row>
    <row r="147" ht="15.75" customHeight="1">
      <c r="A147" s="291"/>
      <c r="B147" s="288"/>
      <c r="C147" s="288"/>
      <c r="D147" s="288"/>
      <c r="E147" s="293"/>
      <c r="F147" s="291"/>
      <c r="G147" s="246"/>
      <c r="H147" s="246"/>
      <c r="I147" s="246"/>
      <c r="J147" s="292"/>
      <c r="K147" s="291"/>
    </row>
    <row r="148" ht="15.75" customHeight="1">
      <c r="A148" s="291"/>
      <c r="B148" s="288"/>
      <c r="C148" s="288"/>
      <c r="D148" s="288"/>
      <c r="E148" s="291"/>
      <c r="F148" s="291"/>
      <c r="G148" s="246"/>
      <c r="H148" s="246"/>
      <c r="I148" s="246"/>
      <c r="J148" s="292"/>
      <c r="K148" s="291"/>
    </row>
    <row r="149" ht="15.75" customHeight="1">
      <c r="A149" s="291"/>
      <c r="B149" s="288"/>
      <c r="C149" s="288"/>
      <c r="D149" s="288"/>
      <c r="E149" s="291"/>
      <c r="F149" s="291"/>
      <c r="G149" s="246"/>
      <c r="H149" s="246"/>
      <c r="I149" s="246"/>
      <c r="J149" s="292"/>
      <c r="K149" s="291"/>
    </row>
    <row r="150" ht="15.75" customHeight="1">
      <c r="A150" s="291"/>
      <c r="B150" s="288"/>
      <c r="C150" s="288"/>
      <c r="D150" s="288"/>
      <c r="E150" s="293"/>
      <c r="F150" s="291"/>
      <c r="G150" s="246"/>
      <c r="H150" s="246"/>
      <c r="I150" s="246"/>
      <c r="J150" s="292"/>
      <c r="K150" s="291"/>
    </row>
    <row r="151" ht="15.75" customHeight="1">
      <c r="A151" s="291"/>
      <c r="B151" s="288"/>
      <c r="C151" s="288"/>
      <c r="D151" s="288"/>
      <c r="E151" s="293"/>
      <c r="F151" s="291"/>
      <c r="G151" s="246"/>
      <c r="H151" s="246"/>
      <c r="I151" s="246"/>
      <c r="J151" s="292"/>
      <c r="K151" s="291"/>
    </row>
    <row r="152" ht="15.75" customHeight="1">
      <c r="A152" s="291"/>
      <c r="B152" s="288"/>
      <c r="C152" s="288"/>
      <c r="D152" s="288"/>
      <c r="E152" s="291"/>
      <c r="F152" s="291"/>
      <c r="G152" s="246"/>
      <c r="H152" s="246"/>
      <c r="I152" s="246"/>
      <c r="J152" s="292"/>
      <c r="K152" s="291"/>
    </row>
    <row r="153" ht="15.75" customHeight="1">
      <c r="A153" s="291"/>
      <c r="B153" s="288"/>
      <c r="C153" s="288"/>
      <c r="D153" s="288"/>
      <c r="E153" s="293"/>
      <c r="F153" s="291"/>
      <c r="G153" s="246"/>
      <c r="H153" s="246"/>
      <c r="I153" s="246"/>
      <c r="J153" s="292"/>
      <c r="K153" s="291"/>
    </row>
    <row r="154" ht="15.75" customHeight="1">
      <c r="A154" s="291"/>
      <c r="B154" s="288"/>
      <c r="C154" s="288"/>
      <c r="D154" s="288"/>
      <c r="E154" s="293"/>
      <c r="F154" s="291"/>
      <c r="G154" s="246"/>
      <c r="H154" s="246"/>
      <c r="I154" s="246"/>
      <c r="J154" s="292"/>
      <c r="K154" s="291"/>
    </row>
    <row r="155" ht="15.75" customHeight="1">
      <c r="A155" s="291"/>
      <c r="B155" s="288"/>
      <c r="C155" s="288"/>
      <c r="D155" s="288"/>
      <c r="E155" s="293"/>
      <c r="F155" s="291"/>
      <c r="G155" s="246"/>
      <c r="H155" s="246"/>
      <c r="I155" s="246"/>
      <c r="J155" s="292"/>
      <c r="K155" s="291"/>
    </row>
    <row r="156" ht="15.75" customHeight="1">
      <c r="A156" s="291"/>
      <c r="B156" s="288"/>
      <c r="C156" s="288"/>
      <c r="D156" s="288"/>
      <c r="E156" s="291"/>
      <c r="F156" s="291"/>
      <c r="G156" s="246"/>
      <c r="H156" s="246"/>
      <c r="I156" s="246"/>
      <c r="J156" s="292"/>
      <c r="K156" s="291"/>
    </row>
    <row r="157" ht="15.75" customHeight="1">
      <c r="A157" s="291"/>
      <c r="B157" s="288"/>
      <c r="C157" s="288"/>
      <c r="D157" s="288"/>
      <c r="E157" s="293"/>
      <c r="F157" s="291"/>
      <c r="G157" s="246"/>
      <c r="H157" s="246"/>
      <c r="I157" s="246"/>
      <c r="J157" s="292"/>
      <c r="K157" s="291"/>
    </row>
    <row r="158" ht="15.75" customHeight="1">
      <c r="A158" s="291"/>
      <c r="B158" s="288"/>
      <c r="C158" s="288"/>
      <c r="D158" s="288"/>
      <c r="E158" s="291"/>
      <c r="F158" s="291"/>
      <c r="G158" s="246"/>
      <c r="H158" s="246"/>
      <c r="I158" s="246"/>
      <c r="J158" s="292"/>
      <c r="K158" s="291"/>
    </row>
    <row r="159" ht="15.75" customHeight="1">
      <c r="A159" s="291"/>
      <c r="B159" s="288"/>
      <c r="C159" s="288"/>
      <c r="D159" s="288"/>
      <c r="E159" s="293"/>
      <c r="F159" s="291"/>
      <c r="G159" s="246"/>
      <c r="H159" s="246"/>
      <c r="I159" s="246"/>
      <c r="J159" s="292"/>
      <c r="K159" s="291"/>
    </row>
    <row r="160" ht="15.75" customHeight="1">
      <c r="A160" s="170"/>
      <c r="B160" s="173"/>
      <c r="C160" s="173"/>
      <c r="D160" s="173"/>
      <c r="E160" s="173"/>
      <c r="F160" s="173"/>
      <c r="G160" s="294"/>
      <c r="I160" s="295"/>
      <c r="J160" s="173"/>
      <c r="K160" s="173"/>
      <c r="L160" s="226"/>
      <c r="M160" s="226"/>
      <c r="N160" s="173"/>
      <c r="O160" s="284"/>
      <c r="P160" s="282"/>
      <c r="Q160" s="226"/>
    </row>
    <row r="161" ht="15.75" customHeight="1">
      <c r="A161" s="170"/>
      <c r="B161" s="173"/>
      <c r="C161" s="173"/>
      <c r="D161" s="173"/>
      <c r="E161" s="282"/>
      <c r="F161" s="173"/>
      <c r="G161" s="295"/>
      <c r="H161" s="226"/>
      <c r="I161" s="295"/>
      <c r="J161" s="173"/>
      <c r="K161" s="173"/>
      <c r="L161" s="226"/>
      <c r="M161" s="226"/>
      <c r="N161" s="173"/>
      <c r="O161" s="284"/>
      <c r="P161" s="282"/>
      <c r="Q161" s="226"/>
    </row>
    <row r="162" ht="15.75" customHeight="1">
      <c r="A162" s="170"/>
      <c r="B162" s="173"/>
      <c r="C162" s="173"/>
      <c r="D162" s="173"/>
      <c r="E162" s="282"/>
      <c r="F162" s="173"/>
      <c r="G162" s="295"/>
      <c r="H162" s="226"/>
      <c r="I162" s="295"/>
      <c r="J162" s="173"/>
      <c r="K162" s="173"/>
      <c r="L162" s="226"/>
      <c r="M162" s="226"/>
      <c r="N162" s="173"/>
      <c r="O162" s="284"/>
      <c r="P162" s="282"/>
      <c r="Q162" s="226"/>
    </row>
    <row r="163" ht="15.75" customHeight="1">
      <c r="A163" s="170"/>
      <c r="B163" s="173"/>
      <c r="C163" s="173"/>
      <c r="D163" s="173"/>
      <c r="E163" s="282"/>
      <c r="F163" s="173"/>
      <c r="G163" s="295"/>
      <c r="H163" s="226"/>
      <c r="I163" s="295"/>
      <c r="J163" s="173"/>
      <c r="K163" s="173"/>
      <c r="L163" s="226"/>
      <c r="M163" s="226"/>
      <c r="N163" s="173"/>
      <c r="O163" s="284"/>
      <c r="P163" s="282"/>
      <c r="Q163" s="226"/>
    </row>
    <row r="164" ht="15.75" customHeight="1">
      <c r="A164" s="170"/>
      <c r="B164" s="173"/>
      <c r="C164" s="173"/>
      <c r="D164" s="173"/>
      <c r="E164" s="282"/>
      <c r="F164" s="173"/>
      <c r="G164" s="295"/>
      <c r="H164" s="226"/>
      <c r="I164" s="295"/>
      <c r="J164" s="173"/>
      <c r="K164" s="173"/>
      <c r="L164" s="226"/>
      <c r="M164" s="226"/>
      <c r="N164" s="173"/>
      <c r="O164" s="284"/>
      <c r="P164" s="282"/>
      <c r="Q164" s="226"/>
    </row>
    <row r="165" ht="15.75" customHeight="1">
      <c r="A165" s="170"/>
      <c r="B165" s="173"/>
      <c r="C165" s="173"/>
      <c r="D165" s="173"/>
      <c r="E165" s="282"/>
      <c r="F165" s="173"/>
      <c r="G165" s="295"/>
      <c r="H165" s="226"/>
      <c r="I165" s="295"/>
      <c r="J165" s="173"/>
      <c r="K165" s="173"/>
      <c r="L165" s="226"/>
      <c r="M165" s="226"/>
      <c r="N165" s="173"/>
      <c r="O165" s="284"/>
      <c r="P165" s="282"/>
      <c r="Q165" s="226"/>
    </row>
    <row r="166" ht="15.75" customHeight="1">
      <c r="A166" s="170"/>
      <c r="B166" s="173"/>
      <c r="C166" s="173"/>
      <c r="D166" s="173"/>
      <c r="E166" s="282"/>
      <c r="F166" s="173"/>
      <c r="G166" s="295"/>
      <c r="H166" s="226"/>
      <c r="I166" s="295"/>
      <c r="J166" s="173"/>
      <c r="K166" s="173"/>
      <c r="L166" s="226"/>
      <c r="M166" s="226"/>
      <c r="N166" s="173"/>
      <c r="O166" s="284"/>
      <c r="P166" s="282"/>
      <c r="Q166" s="226"/>
    </row>
    <row r="167" ht="15.75" customHeight="1">
      <c r="A167" s="170"/>
      <c r="B167" s="173"/>
      <c r="C167" s="173"/>
      <c r="D167" s="173"/>
      <c r="E167" s="282"/>
      <c r="F167" s="173"/>
      <c r="G167" s="295"/>
      <c r="H167" s="226"/>
      <c r="I167" s="295"/>
      <c r="J167" s="173"/>
      <c r="K167" s="173"/>
      <c r="L167" s="226"/>
      <c r="M167" s="226"/>
      <c r="N167" s="173"/>
      <c r="O167" s="284"/>
      <c r="P167" s="170"/>
      <c r="Q167" s="226"/>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160:H160"/>
  </mergeCells>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84.43"/>
  </cols>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0">
        <v>1.0</v>
      </c>
      <c r="B2" s="173" t="s">
        <v>6</v>
      </c>
      <c r="C2" s="173"/>
      <c r="D2" s="173" t="s">
        <v>143</v>
      </c>
      <c r="E2" s="173" t="s">
        <v>136</v>
      </c>
      <c r="F2" s="173" t="s">
        <v>136</v>
      </c>
      <c r="G2" s="294" t="s">
        <v>4080</v>
      </c>
      <c r="I2" s="295" t="s">
        <v>135</v>
      </c>
      <c r="J2" s="173" t="s">
        <v>4081</v>
      </c>
      <c r="K2" s="173" t="s">
        <v>139</v>
      </c>
      <c r="L2" s="226"/>
      <c r="M2" s="173"/>
      <c r="N2" s="284"/>
      <c r="O2" s="282" t="s">
        <v>328</v>
      </c>
      <c r="P2" s="226"/>
    </row>
    <row r="3">
      <c r="A3" s="170">
        <v>2.0</v>
      </c>
      <c r="B3" s="173" t="s">
        <v>6</v>
      </c>
      <c r="C3" s="173"/>
      <c r="D3" s="173" t="s">
        <v>197</v>
      </c>
      <c r="E3" s="282" t="s">
        <v>135</v>
      </c>
      <c r="F3" s="173" t="s">
        <v>136</v>
      </c>
      <c r="G3" s="295" t="s">
        <v>411</v>
      </c>
      <c r="H3" s="226"/>
      <c r="I3" s="295" t="s">
        <v>136</v>
      </c>
      <c r="J3" s="173" t="s">
        <v>4082</v>
      </c>
      <c r="K3" s="173" t="s">
        <v>139</v>
      </c>
      <c r="L3" s="226"/>
      <c r="M3" s="173"/>
      <c r="N3" s="284"/>
      <c r="O3" s="282" t="s">
        <v>328</v>
      </c>
      <c r="P3" s="226"/>
    </row>
    <row r="4">
      <c r="A4" s="170">
        <v>3.0</v>
      </c>
      <c r="B4" s="173" t="s">
        <v>6</v>
      </c>
      <c r="C4" s="173"/>
      <c r="D4" s="173" t="s">
        <v>143</v>
      </c>
      <c r="E4" s="282" t="s">
        <v>135</v>
      </c>
      <c r="F4" s="173" t="s">
        <v>136</v>
      </c>
      <c r="G4" s="295" t="s">
        <v>4083</v>
      </c>
      <c r="H4" s="226"/>
      <c r="I4" s="295" t="s">
        <v>136</v>
      </c>
      <c r="J4" s="173" t="s">
        <v>4084</v>
      </c>
      <c r="K4" s="173" t="s">
        <v>139</v>
      </c>
      <c r="L4" s="226"/>
      <c r="M4" s="173"/>
      <c r="N4" s="284"/>
      <c r="O4" s="282" t="s">
        <v>328</v>
      </c>
      <c r="P4" s="226"/>
    </row>
    <row r="5">
      <c r="A5" s="170">
        <v>4.0</v>
      </c>
      <c r="B5" s="173" t="s">
        <v>6</v>
      </c>
      <c r="C5" s="173"/>
      <c r="D5" s="173" t="s">
        <v>143</v>
      </c>
      <c r="E5" s="282" t="s">
        <v>135</v>
      </c>
      <c r="F5" s="173" t="s">
        <v>136</v>
      </c>
      <c r="G5" s="295" t="s">
        <v>137</v>
      </c>
      <c r="H5" s="226"/>
      <c r="I5" s="295" t="s">
        <v>135</v>
      </c>
      <c r="J5" s="173" t="s">
        <v>4085</v>
      </c>
      <c r="K5" s="173" t="s">
        <v>139</v>
      </c>
      <c r="L5" s="226"/>
      <c r="M5" s="173"/>
      <c r="N5" s="284"/>
      <c r="O5" s="282" t="s">
        <v>328</v>
      </c>
      <c r="P5" s="226"/>
    </row>
    <row r="6">
      <c r="A6" s="170">
        <v>5.0</v>
      </c>
      <c r="B6" s="173" t="s">
        <v>6</v>
      </c>
      <c r="C6" s="173"/>
      <c r="D6" s="173" t="s">
        <v>202</v>
      </c>
      <c r="E6" s="282" t="s">
        <v>136</v>
      </c>
      <c r="F6" s="173" t="s">
        <v>136</v>
      </c>
      <c r="G6" s="295" t="s">
        <v>4086</v>
      </c>
      <c r="H6" s="226"/>
      <c r="I6" s="295" t="s">
        <v>136</v>
      </c>
      <c r="J6" s="173" t="s">
        <v>4087</v>
      </c>
      <c r="K6" s="173" t="s">
        <v>139</v>
      </c>
      <c r="L6" s="226"/>
      <c r="M6" s="170" t="s">
        <v>203</v>
      </c>
      <c r="N6" s="284"/>
      <c r="P6" s="226"/>
    </row>
    <row r="7">
      <c r="A7" s="170">
        <v>6.0</v>
      </c>
      <c r="B7" s="173" t="s">
        <v>6</v>
      </c>
      <c r="C7" s="173"/>
      <c r="D7" s="173" t="s">
        <v>143</v>
      </c>
      <c r="E7" s="282" t="s">
        <v>136</v>
      </c>
      <c r="F7" s="173" t="s">
        <v>136</v>
      </c>
      <c r="G7" s="295" t="s">
        <v>3951</v>
      </c>
      <c r="H7" s="226"/>
      <c r="I7" s="295" t="s">
        <v>135</v>
      </c>
      <c r="J7" s="173" t="s">
        <v>4088</v>
      </c>
      <c r="K7" s="173" t="s">
        <v>139</v>
      </c>
      <c r="L7" s="226"/>
      <c r="M7" s="173"/>
      <c r="N7" s="284"/>
      <c r="O7" s="282" t="s">
        <v>328</v>
      </c>
      <c r="P7" s="226"/>
    </row>
    <row r="8">
      <c r="A8" s="170">
        <v>7.0</v>
      </c>
      <c r="B8" s="173" t="s">
        <v>7</v>
      </c>
      <c r="C8" s="173"/>
      <c r="D8" s="173" t="s">
        <v>143</v>
      </c>
      <c r="E8" s="282" t="s">
        <v>135</v>
      </c>
      <c r="F8" s="173" t="s">
        <v>136</v>
      </c>
      <c r="G8" s="295" t="s">
        <v>4089</v>
      </c>
      <c r="H8" s="226"/>
      <c r="I8" s="295" t="s">
        <v>136</v>
      </c>
      <c r="J8" s="173" t="s">
        <v>4090</v>
      </c>
      <c r="K8" s="173" t="s">
        <v>139</v>
      </c>
      <c r="L8" s="226"/>
      <c r="M8" s="173"/>
      <c r="N8" s="284"/>
      <c r="O8" s="282" t="s">
        <v>328</v>
      </c>
      <c r="P8" s="226"/>
    </row>
    <row r="9">
      <c r="A9" s="170">
        <v>8.0</v>
      </c>
      <c r="B9" s="173" t="s">
        <v>6</v>
      </c>
      <c r="C9" s="173"/>
      <c r="D9" s="173" t="s">
        <v>170</v>
      </c>
      <c r="E9" s="282" t="s">
        <v>136</v>
      </c>
      <c r="F9" s="173" t="s">
        <v>136</v>
      </c>
      <c r="G9" s="295" t="s">
        <v>137</v>
      </c>
      <c r="H9" s="226"/>
      <c r="I9" s="295" t="s">
        <v>136</v>
      </c>
      <c r="J9" s="173" t="s">
        <v>4091</v>
      </c>
      <c r="K9" s="173" t="s">
        <v>139</v>
      </c>
      <c r="L9" s="226"/>
      <c r="M9" s="173" t="s">
        <v>243</v>
      </c>
      <c r="N9" s="284"/>
      <c r="O9" s="170" t="s">
        <v>148</v>
      </c>
      <c r="P9" s="226"/>
    </row>
  </sheetData>
  <mergeCells count="1">
    <mergeCell ref="G2:H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0">
        <v>1.0</v>
      </c>
      <c r="B2" s="173" t="s">
        <v>6</v>
      </c>
      <c r="C2" s="173" t="s">
        <v>4038</v>
      </c>
      <c r="D2" s="173" t="s">
        <v>238</v>
      </c>
      <c r="E2" s="282" t="s">
        <v>136</v>
      </c>
      <c r="F2" s="173" t="s">
        <v>136</v>
      </c>
      <c r="G2" s="283" t="s">
        <v>1053</v>
      </c>
      <c r="H2" s="283" t="s">
        <v>3930</v>
      </c>
      <c r="I2" s="283" t="s">
        <v>136</v>
      </c>
      <c r="J2" s="283" t="s">
        <v>4092</v>
      </c>
      <c r="K2" s="173" t="s">
        <v>139</v>
      </c>
      <c r="L2" s="226"/>
      <c r="M2" s="173" t="s">
        <v>238</v>
      </c>
      <c r="N2" s="284"/>
      <c r="O2" s="282" t="s">
        <v>328</v>
      </c>
      <c r="P2" s="226"/>
    </row>
    <row r="3">
      <c r="A3" s="170">
        <v>2.0</v>
      </c>
      <c r="B3" s="173" t="s">
        <v>6</v>
      </c>
      <c r="C3" s="173" t="s">
        <v>4038</v>
      </c>
      <c r="D3" s="173" t="s">
        <v>352</v>
      </c>
      <c r="E3" s="282" t="s">
        <v>136</v>
      </c>
      <c r="F3" s="173" t="s">
        <v>136</v>
      </c>
      <c r="G3" s="283" t="s">
        <v>1062</v>
      </c>
      <c r="H3" s="283" t="s">
        <v>3931</v>
      </c>
      <c r="I3" s="283" t="s">
        <v>136</v>
      </c>
      <c r="J3" s="283" t="s">
        <v>4093</v>
      </c>
      <c r="K3" s="173" t="s">
        <v>139</v>
      </c>
      <c r="L3" s="226"/>
      <c r="M3" s="173" t="s">
        <v>352</v>
      </c>
      <c r="N3" s="284"/>
      <c r="O3" s="282" t="s">
        <v>328</v>
      </c>
      <c r="P3" s="226"/>
    </row>
    <row r="4">
      <c r="A4" s="170">
        <v>3.0</v>
      </c>
      <c r="B4" s="173" t="s">
        <v>6</v>
      </c>
      <c r="C4" s="173" t="s">
        <v>4038</v>
      </c>
      <c r="D4" s="173" t="s">
        <v>302</v>
      </c>
      <c r="E4" s="282" t="s">
        <v>136</v>
      </c>
      <c r="F4" s="173" t="s">
        <v>136</v>
      </c>
      <c r="G4" s="283" t="s">
        <v>4094</v>
      </c>
      <c r="H4" s="283" t="s">
        <v>3930</v>
      </c>
      <c r="I4" s="283" t="s">
        <v>136</v>
      </c>
      <c r="J4" s="283" t="s">
        <v>4095</v>
      </c>
      <c r="K4" s="173" t="s">
        <v>139</v>
      </c>
      <c r="L4" s="226"/>
      <c r="M4" s="173" t="s">
        <v>302</v>
      </c>
      <c r="N4" s="284"/>
      <c r="O4" s="282" t="s">
        <v>328</v>
      </c>
      <c r="P4" s="226"/>
    </row>
    <row r="5">
      <c r="A5" s="170">
        <v>4.0</v>
      </c>
      <c r="B5" s="173" t="s">
        <v>6</v>
      </c>
      <c r="C5" s="173" t="s">
        <v>4038</v>
      </c>
      <c r="D5" s="173" t="s">
        <v>352</v>
      </c>
      <c r="E5" s="282" t="s">
        <v>135</v>
      </c>
      <c r="F5" s="173" t="s">
        <v>136</v>
      </c>
      <c r="G5" s="283" t="s">
        <v>4096</v>
      </c>
      <c r="H5" s="283" t="s">
        <v>3931</v>
      </c>
      <c r="I5" s="283" t="s">
        <v>136</v>
      </c>
      <c r="J5" s="283" t="s">
        <v>4097</v>
      </c>
      <c r="K5" s="173" t="s">
        <v>139</v>
      </c>
      <c r="L5" s="226"/>
      <c r="M5" s="173" t="s">
        <v>352</v>
      </c>
      <c r="N5" s="284"/>
      <c r="O5" s="282" t="s">
        <v>328</v>
      </c>
      <c r="P5" s="226"/>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9.43"/>
    <col customWidth="1" min="5" max="5" width="30.14"/>
    <col customWidth="1" min="6" max="6" width="60.86"/>
    <col customWidth="1" min="7" max="7" width="68.14"/>
    <col customWidth="1" min="8" max="8" width="124.71"/>
    <col customWidth="1" min="9" max="9" width="41.14"/>
    <col customWidth="1" min="10" max="10" width="19.14"/>
    <col customWidth="1" min="11" max="11" width="16.29"/>
    <col customWidth="1" min="13" max="13" width="9.43"/>
  </cols>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
        <v>1.0</v>
      </c>
      <c r="C2" s="173" t="s">
        <v>4038</v>
      </c>
      <c r="D2" s="17" t="s">
        <v>143</v>
      </c>
      <c r="E2" s="17" t="s">
        <v>135</v>
      </c>
      <c r="G2" s="283" t="s">
        <v>4057</v>
      </c>
      <c r="H2" s="283" t="s">
        <v>3958</v>
      </c>
      <c r="I2" s="283" t="s">
        <v>135</v>
      </c>
      <c r="J2" s="296">
        <v>45400.49930555555</v>
      </c>
      <c r="K2" s="173" t="s">
        <v>139</v>
      </c>
      <c r="M2" s="17" t="s">
        <v>143</v>
      </c>
    </row>
    <row r="3">
      <c r="A3" s="17">
        <v>2.0</v>
      </c>
      <c r="C3" s="173" t="s">
        <v>4038</v>
      </c>
      <c r="D3" s="173" t="s">
        <v>4038</v>
      </c>
      <c r="E3" s="17" t="s">
        <v>136</v>
      </c>
      <c r="G3" s="283" t="s">
        <v>3957</v>
      </c>
      <c r="H3" s="283" t="s">
        <v>3938</v>
      </c>
      <c r="I3" s="283" t="s">
        <v>136</v>
      </c>
      <c r="J3" s="296">
        <v>45400.50208333333</v>
      </c>
      <c r="K3" s="173" t="s">
        <v>139</v>
      </c>
      <c r="M3" s="173" t="s">
        <v>4038</v>
      </c>
    </row>
    <row r="4">
      <c r="A4" s="17">
        <v>3.0</v>
      </c>
      <c r="C4" s="173" t="s">
        <v>4038</v>
      </c>
      <c r="D4" s="17" t="s">
        <v>143</v>
      </c>
      <c r="E4" s="17" t="s">
        <v>136</v>
      </c>
      <c r="G4" s="283" t="s">
        <v>4098</v>
      </c>
      <c r="H4" s="283" t="s">
        <v>3930</v>
      </c>
      <c r="I4" s="283" t="s">
        <v>136</v>
      </c>
      <c r="J4" s="296">
        <v>45400.50347222222</v>
      </c>
      <c r="K4" s="173" t="s">
        <v>139</v>
      </c>
      <c r="M4" s="17" t="s">
        <v>143</v>
      </c>
    </row>
    <row r="5">
      <c r="A5" s="17">
        <v>4.0</v>
      </c>
      <c r="C5" s="173" t="s">
        <v>4038</v>
      </c>
      <c r="D5" s="173" t="s">
        <v>4038</v>
      </c>
      <c r="E5" s="17" t="s">
        <v>135</v>
      </c>
      <c r="G5" s="283" t="s">
        <v>3681</v>
      </c>
      <c r="H5" s="283" t="s">
        <v>3930</v>
      </c>
      <c r="I5" s="283" t="s">
        <v>136</v>
      </c>
      <c r="J5" s="296">
        <v>45400.504166666666</v>
      </c>
      <c r="K5" s="173" t="s">
        <v>139</v>
      </c>
      <c r="M5" s="173" t="s">
        <v>4038</v>
      </c>
    </row>
    <row r="6">
      <c r="A6" s="17">
        <v>5.0</v>
      </c>
      <c r="C6" s="173" t="s">
        <v>4038</v>
      </c>
      <c r="D6" s="173" t="s">
        <v>4038</v>
      </c>
      <c r="E6" s="17" t="s">
        <v>136</v>
      </c>
      <c r="G6" s="283" t="s">
        <v>4099</v>
      </c>
      <c r="H6" s="283" t="s">
        <v>3931</v>
      </c>
      <c r="I6" s="283" t="s">
        <v>136</v>
      </c>
      <c r="J6" s="296">
        <v>45400.50555555556</v>
      </c>
      <c r="K6" s="173" t="s">
        <v>139</v>
      </c>
      <c r="M6" s="173" t="s">
        <v>4038</v>
      </c>
    </row>
    <row r="7">
      <c r="A7" s="17">
        <v>6.0</v>
      </c>
      <c r="C7" s="173" t="s">
        <v>4038</v>
      </c>
      <c r="D7" s="17" t="s">
        <v>164</v>
      </c>
      <c r="E7" s="17" t="s">
        <v>136</v>
      </c>
      <c r="G7" s="283" t="s">
        <v>3666</v>
      </c>
      <c r="H7" s="283" t="s">
        <v>3938</v>
      </c>
      <c r="I7" s="283" t="s">
        <v>136</v>
      </c>
      <c r="J7" s="296">
        <v>45400.50555555556</v>
      </c>
      <c r="K7" s="173" t="s">
        <v>139</v>
      </c>
      <c r="M7" s="17" t="s">
        <v>164</v>
      </c>
    </row>
    <row r="8">
      <c r="A8" s="17">
        <v>7.0</v>
      </c>
      <c r="C8" s="173" t="s">
        <v>4038</v>
      </c>
      <c r="D8" s="17" t="s">
        <v>134</v>
      </c>
      <c r="E8" s="17" t="s">
        <v>136</v>
      </c>
      <c r="G8" s="283" t="s">
        <v>4100</v>
      </c>
      <c r="H8" s="283" t="s">
        <v>3938</v>
      </c>
      <c r="I8" s="283" t="s">
        <v>136</v>
      </c>
      <c r="J8" s="296">
        <v>45400.50625</v>
      </c>
      <c r="K8" s="173" t="s">
        <v>139</v>
      </c>
      <c r="M8" s="17" t="s">
        <v>134</v>
      </c>
    </row>
    <row r="9">
      <c r="A9" s="17">
        <v>8.0</v>
      </c>
      <c r="C9" s="173" t="s">
        <v>4038</v>
      </c>
      <c r="D9" s="173" t="s">
        <v>4038</v>
      </c>
      <c r="E9" s="17" t="s">
        <v>136</v>
      </c>
      <c r="G9" s="283" t="s">
        <v>4101</v>
      </c>
      <c r="H9" s="283" t="s">
        <v>3958</v>
      </c>
      <c r="I9" s="283" t="s">
        <v>136</v>
      </c>
      <c r="J9" s="296">
        <v>45400.50833333333</v>
      </c>
      <c r="K9" s="173" t="s">
        <v>139</v>
      </c>
      <c r="M9" s="173" t="s">
        <v>4038</v>
      </c>
    </row>
    <row r="10">
      <c r="A10" s="17">
        <v>9.0</v>
      </c>
      <c r="C10" s="173" t="s">
        <v>4038</v>
      </c>
      <c r="D10" s="17" t="s">
        <v>143</v>
      </c>
      <c r="E10" s="17" t="s">
        <v>136</v>
      </c>
      <c r="G10" s="283" t="s">
        <v>3647</v>
      </c>
      <c r="H10" s="283" t="s">
        <v>3930</v>
      </c>
      <c r="I10" s="283" t="s">
        <v>136</v>
      </c>
      <c r="J10" s="296">
        <v>45400.50833333333</v>
      </c>
      <c r="K10" s="173" t="s">
        <v>139</v>
      </c>
      <c r="M10" s="17" t="s">
        <v>143</v>
      </c>
    </row>
    <row r="11">
      <c r="A11" s="17">
        <v>10.0</v>
      </c>
      <c r="C11" s="173" t="s">
        <v>4038</v>
      </c>
      <c r="D11" s="17" t="s">
        <v>134</v>
      </c>
      <c r="E11" s="17" t="s">
        <v>136</v>
      </c>
      <c r="G11" s="283" t="s">
        <v>3666</v>
      </c>
      <c r="H11" s="283" t="s">
        <v>3938</v>
      </c>
      <c r="I11" s="283" t="s">
        <v>136</v>
      </c>
      <c r="J11" s="296">
        <v>45400.50833333333</v>
      </c>
      <c r="K11" s="173" t="s">
        <v>139</v>
      </c>
      <c r="M11" s="17" t="s">
        <v>134</v>
      </c>
    </row>
    <row r="12">
      <c r="A12" s="17">
        <v>11.0</v>
      </c>
      <c r="C12" s="173" t="s">
        <v>4038</v>
      </c>
      <c r="D12" s="17" t="s">
        <v>202</v>
      </c>
      <c r="E12" s="17" t="s">
        <v>135</v>
      </c>
      <c r="G12" s="283" t="s">
        <v>3600</v>
      </c>
      <c r="H12" s="283" t="s">
        <v>3931</v>
      </c>
      <c r="I12" s="283" t="s">
        <v>136</v>
      </c>
      <c r="J12" s="296">
        <v>45400.509722222225</v>
      </c>
      <c r="K12" s="173" t="s">
        <v>139</v>
      </c>
      <c r="M12" s="17" t="s">
        <v>202</v>
      </c>
    </row>
    <row r="13">
      <c r="A13" s="17">
        <v>12.0</v>
      </c>
      <c r="C13" s="173" t="s">
        <v>4038</v>
      </c>
      <c r="D13" s="17" t="s">
        <v>331</v>
      </c>
      <c r="E13" s="17" t="s">
        <v>136</v>
      </c>
      <c r="G13" s="283" t="s">
        <v>4102</v>
      </c>
      <c r="H13" s="283" t="s">
        <v>3931</v>
      </c>
      <c r="I13" s="283" t="s">
        <v>135</v>
      </c>
      <c r="J13" s="296">
        <v>45400.509722222225</v>
      </c>
      <c r="K13" s="173" t="s">
        <v>139</v>
      </c>
      <c r="M13" s="17" t="s">
        <v>331</v>
      </c>
    </row>
    <row r="14">
      <c r="A14" s="17">
        <v>13.0</v>
      </c>
      <c r="C14" s="173" t="s">
        <v>4038</v>
      </c>
      <c r="D14" s="17" t="s">
        <v>202</v>
      </c>
      <c r="E14" s="17" t="s">
        <v>136</v>
      </c>
      <c r="G14" s="283" t="s">
        <v>4103</v>
      </c>
      <c r="H14" s="283" t="s">
        <v>3930</v>
      </c>
      <c r="I14" s="283" t="s">
        <v>136</v>
      </c>
      <c r="J14" s="296">
        <v>45400.509722222225</v>
      </c>
      <c r="K14" s="173" t="s">
        <v>139</v>
      </c>
      <c r="M14" s="17" t="s">
        <v>202</v>
      </c>
    </row>
    <row r="15">
      <c r="A15" s="17">
        <v>14.0</v>
      </c>
      <c r="C15" s="173" t="s">
        <v>4038</v>
      </c>
      <c r="D15" s="173" t="s">
        <v>4038</v>
      </c>
      <c r="E15" s="17" t="s">
        <v>136</v>
      </c>
      <c r="G15" s="283" t="s">
        <v>3697</v>
      </c>
      <c r="H15" s="283" t="s">
        <v>3931</v>
      </c>
      <c r="I15" s="283" t="s">
        <v>135</v>
      </c>
      <c r="J15" s="296">
        <v>45400.520833333336</v>
      </c>
      <c r="K15" s="173" t="s">
        <v>139</v>
      </c>
      <c r="M15" s="173" t="s">
        <v>4038</v>
      </c>
    </row>
    <row r="16">
      <c r="C16" s="173"/>
    </row>
    <row r="17">
      <c r="C17" s="173"/>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4" max="4" width="19.43"/>
    <col customWidth="1" min="5" max="5" width="30.14"/>
    <col customWidth="1" min="6" max="6" width="60.86"/>
    <col customWidth="1" min="7" max="7" width="66.29"/>
    <col customWidth="1" min="8" max="8" width="124.71"/>
    <col customWidth="1" min="9" max="9" width="41.14"/>
    <col customWidth="1" min="10" max="10" width="18.43"/>
    <col customWidth="1" min="11" max="11" width="16.29"/>
  </cols>
  <sheetData>
    <row r="1">
      <c r="A1" s="123" t="s">
        <v>116</v>
      </c>
      <c r="B1" s="123" t="s">
        <v>117</v>
      </c>
      <c r="C1" s="123" t="s">
        <v>118</v>
      </c>
      <c r="D1" s="123" t="s">
        <v>119</v>
      </c>
      <c r="E1" s="123" t="s">
        <v>120</v>
      </c>
      <c r="F1" s="123" t="s">
        <v>121</v>
      </c>
      <c r="G1" s="123" t="s">
        <v>122</v>
      </c>
      <c r="H1" s="123" t="s">
        <v>123</v>
      </c>
      <c r="I1" s="123" t="s">
        <v>3780</v>
      </c>
      <c r="J1" s="123" t="s">
        <v>125</v>
      </c>
      <c r="K1" s="123" t="s">
        <v>126</v>
      </c>
      <c r="L1" s="123"/>
      <c r="M1" s="123" t="s">
        <v>129</v>
      </c>
      <c r="N1" s="123" t="s">
        <v>130</v>
      </c>
      <c r="O1" s="123" t="s">
        <v>131</v>
      </c>
      <c r="P1" s="123" t="s">
        <v>3880</v>
      </c>
      <c r="Q1" s="123"/>
    </row>
    <row r="2">
      <c r="A2" s="17">
        <v>1.0</v>
      </c>
      <c r="B2" s="17" t="s">
        <v>3655</v>
      </c>
      <c r="C2" s="17" t="s">
        <v>3655</v>
      </c>
      <c r="E2" s="17" t="s">
        <v>135</v>
      </c>
      <c r="F2" s="17" t="s">
        <v>136</v>
      </c>
      <c r="G2" s="174" t="s">
        <v>4104</v>
      </c>
      <c r="H2" s="174" t="s">
        <v>3931</v>
      </c>
      <c r="I2" s="174" t="s">
        <v>135</v>
      </c>
      <c r="J2" s="297" t="s">
        <v>4105</v>
      </c>
      <c r="K2" s="17" t="s">
        <v>3612</v>
      </c>
      <c r="M2" s="17" t="s">
        <v>3655</v>
      </c>
      <c r="O2" s="17" t="s">
        <v>328</v>
      </c>
    </row>
    <row r="3">
      <c r="A3" s="17">
        <v>2.0</v>
      </c>
      <c r="B3" s="17" t="s">
        <v>3655</v>
      </c>
      <c r="C3" s="17" t="s">
        <v>3655</v>
      </c>
      <c r="E3" s="17" t="s">
        <v>135</v>
      </c>
      <c r="F3" s="17" t="s">
        <v>136</v>
      </c>
      <c r="G3" s="171" t="s">
        <v>2348</v>
      </c>
      <c r="H3" s="171" t="s">
        <v>3931</v>
      </c>
      <c r="I3" s="171" t="s">
        <v>136</v>
      </c>
      <c r="J3" s="297" t="s">
        <v>4106</v>
      </c>
      <c r="K3" s="17" t="s">
        <v>3612</v>
      </c>
      <c r="M3" s="263" t="s">
        <v>3655</v>
      </c>
      <c r="O3" s="17" t="s">
        <v>328</v>
      </c>
    </row>
    <row r="4">
      <c r="A4" s="17">
        <v>3.0</v>
      </c>
      <c r="B4" s="17" t="s">
        <v>3655</v>
      </c>
      <c r="C4" s="17" t="s">
        <v>3655</v>
      </c>
      <c r="E4" s="17" t="s">
        <v>136</v>
      </c>
      <c r="F4" s="17" t="s">
        <v>136</v>
      </c>
      <c r="G4" s="174" t="s">
        <v>411</v>
      </c>
      <c r="H4" s="174" t="s">
        <v>3938</v>
      </c>
      <c r="I4" s="174" t="s">
        <v>136</v>
      </c>
      <c r="J4" s="298" t="s">
        <v>4107</v>
      </c>
      <c r="K4" s="17" t="s">
        <v>3612</v>
      </c>
      <c r="M4" s="263" t="s">
        <v>3655</v>
      </c>
      <c r="O4" s="17" t="s">
        <v>328</v>
      </c>
    </row>
    <row r="5">
      <c r="A5" s="17">
        <v>4.0</v>
      </c>
      <c r="B5" s="17" t="s">
        <v>3655</v>
      </c>
      <c r="C5" s="17" t="s">
        <v>3655</v>
      </c>
      <c r="E5" s="17" t="s">
        <v>135</v>
      </c>
      <c r="F5" s="17" t="s">
        <v>136</v>
      </c>
      <c r="G5" s="171" t="s">
        <v>2348</v>
      </c>
      <c r="H5" s="171" t="s">
        <v>3938</v>
      </c>
      <c r="I5" s="171" t="s">
        <v>136</v>
      </c>
      <c r="J5" s="297" t="s">
        <v>4108</v>
      </c>
      <c r="K5" s="17" t="s">
        <v>3612</v>
      </c>
      <c r="M5" s="17" t="s">
        <v>213</v>
      </c>
      <c r="O5" s="17" t="s">
        <v>328</v>
      </c>
    </row>
    <row r="6">
      <c r="A6" s="17">
        <v>5.0</v>
      </c>
      <c r="B6" s="17" t="s">
        <v>3655</v>
      </c>
      <c r="C6" s="17" t="s">
        <v>3655</v>
      </c>
      <c r="E6" s="17" t="s">
        <v>135</v>
      </c>
      <c r="F6" s="17" t="s">
        <v>136</v>
      </c>
      <c r="G6" s="174" t="s">
        <v>4109</v>
      </c>
      <c r="H6" s="174" t="s">
        <v>3931</v>
      </c>
      <c r="I6" s="174" t="s">
        <v>135</v>
      </c>
      <c r="J6" s="298" t="s">
        <v>4110</v>
      </c>
      <c r="K6" s="17" t="s">
        <v>3612</v>
      </c>
      <c r="M6" s="263" t="s">
        <v>3655</v>
      </c>
      <c r="O6" s="17" t="s">
        <v>328</v>
      </c>
    </row>
    <row r="7">
      <c r="A7" s="17">
        <v>6.0</v>
      </c>
      <c r="B7" s="17" t="s">
        <v>3655</v>
      </c>
      <c r="C7" s="17" t="s">
        <v>3655</v>
      </c>
      <c r="E7" s="17" t="s">
        <v>136</v>
      </c>
      <c r="F7" s="17" t="s">
        <v>136</v>
      </c>
      <c r="G7" s="171" t="s">
        <v>3597</v>
      </c>
      <c r="H7" s="171" t="s">
        <v>3931</v>
      </c>
      <c r="I7" s="171" t="s">
        <v>135</v>
      </c>
      <c r="J7" s="297" t="s">
        <v>4111</v>
      </c>
      <c r="K7" s="17" t="s">
        <v>3612</v>
      </c>
      <c r="M7" s="263" t="s">
        <v>3655</v>
      </c>
      <c r="O7" s="17" t="s">
        <v>328</v>
      </c>
    </row>
    <row r="8">
      <c r="A8" s="17">
        <v>7.0</v>
      </c>
      <c r="B8" s="17" t="s">
        <v>3655</v>
      </c>
      <c r="C8" s="17" t="s">
        <v>3655</v>
      </c>
      <c r="E8" s="17" t="s">
        <v>136</v>
      </c>
      <c r="F8" s="17" t="s">
        <v>136</v>
      </c>
      <c r="G8" s="174" t="s">
        <v>4112</v>
      </c>
      <c r="H8" s="174" t="s">
        <v>3931</v>
      </c>
      <c r="I8" s="174" t="s">
        <v>135</v>
      </c>
      <c r="J8" s="298" t="s">
        <v>4113</v>
      </c>
      <c r="K8" s="17" t="s">
        <v>3612</v>
      </c>
      <c r="M8" s="263" t="s">
        <v>3655</v>
      </c>
      <c r="O8" s="17" t="s">
        <v>328</v>
      </c>
    </row>
    <row r="9">
      <c r="C9" s="170"/>
    </row>
    <row r="10">
      <c r="C10" s="170"/>
    </row>
    <row r="11">
      <c r="C11" s="170"/>
    </row>
    <row r="12">
      <c r="C12" s="170"/>
    </row>
    <row r="13">
      <c r="C13" s="170"/>
    </row>
    <row r="14">
      <c r="C14" s="170"/>
    </row>
    <row r="15">
      <c r="C15" s="170"/>
    </row>
    <row r="16">
      <c r="C16" s="170"/>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57"/>
    <col customWidth="1" min="3" max="3" width="57.43"/>
    <col customWidth="1" min="4" max="6" width="8.57"/>
    <col customWidth="1" min="7" max="7" width="47.0"/>
    <col customWidth="1" min="8" max="8" width="40.43"/>
    <col customWidth="1" min="9" max="10" width="8.57"/>
    <col customWidth="1" min="11" max="11" width="17.29"/>
    <col customWidth="1" min="12" max="14" width="8.57"/>
    <col customWidth="1" min="15" max="15" width="17.57"/>
    <col customWidth="1" min="16" max="16" width="13.43"/>
    <col customWidth="1" min="17" max="17" width="19.29"/>
    <col customWidth="1" min="18" max="18" width="9.14"/>
    <col customWidth="1" min="19" max="26" width="8.57"/>
  </cols>
  <sheetData>
    <row r="1" ht="13.5" customHeight="1">
      <c r="A1" s="2" t="s">
        <v>116</v>
      </c>
      <c r="B1" s="2" t="s">
        <v>117</v>
      </c>
      <c r="C1" s="2" t="s">
        <v>118</v>
      </c>
      <c r="D1" s="2" t="s">
        <v>119</v>
      </c>
      <c r="E1" s="2" t="s">
        <v>120</v>
      </c>
      <c r="F1" s="2" t="s">
        <v>121</v>
      </c>
      <c r="G1" s="2" t="s">
        <v>122</v>
      </c>
      <c r="H1" s="2" t="s">
        <v>123</v>
      </c>
      <c r="I1" s="2" t="s">
        <v>4114</v>
      </c>
      <c r="J1" s="2" t="s">
        <v>4115</v>
      </c>
      <c r="K1" s="2" t="s">
        <v>125</v>
      </c>
      <c r="L1" s="2" t="s">
        <v>126</v>
      </c>
      <c r="O1" s="123" t="s">
        <v>129</v>
      </c>
      <c r="P1" s="123" t="s">
        <v>130</v>
      </c>
      <c r="Q1" s="123" t="s">
        <v>131</v>
      </c>
      <c r="R1" s="123" t="s">
        <v>3880</v>
      </c>
    </row>
    <row r="2" ht="13.5" customHeight="1">
      <c r="A2" s="7">
        <v>105.0</v>
      </c>
      <c r="B2" s="7" t="s">
        <v>6</v>
      </c>
      <c r="C2" s="7" t="s">
        <v>471</v>
      </c>
      <c r="D2" s="7" t="s">
        <v>243</v>
      </c>
      <c r="E2" s="7" t="s">
        <v>135</v>
      </c>
      <c r="F2" s="7" t="s">
        <v>135</v>
      </c>
      <c r="G2" s="7" t="s">
        <v>472</v>
      </c>
      <c r="H2" s="7" t="s">
        <v>473</v>
      </c>
      <c r="I2" s="7" t="s">
        <v>136</v>
      </c>
      <c r="K2" s="7" t="s">
        <v>474</v>
      </c>
      <c r="L2" s="7" t="s">
        <v>139</v>
      </c>
      <c r="O2" s="7" t="str">
        <f t="array" ref="O2:O47">UNIQUE(D2:D235)</f>
        <v>Iran</v>
      </c>
      <c r="P2" s="7">
        <f t="shared" ref="P2:P47" si="1">COUNTIF(D$2:D$235,O2)</f>
        <v>31</v>
      </c>
      <c r="Q2" s="289" t="str">
        <f t="array" ref="Q2">XLOOKUP(O2,Countries!A$2:A$98,Countries!B$2:B$98,"tbd",0)</f>
        <v>Middle East</v>
      </c>
    </row>
    <row r="3" ht="13.5" customHeight="1">
      <c r="A3" s="7">
        <v>106.0</v>
      </c>
      <c r="B3" s="7" t="s">
        <v>7</v>
      </c>
      <c r="C3" s="7" t="s">
        <v>475</v>
      </c>
      <c r="D3" s="7" t="s">
        <v>258</v>
      </c>
      <c r="E3" s="7" t="s">
        <v>135</v>
      </c>
      <c r="F3" s="7" t="s">
        <v>136</v>
      </c>
      <c r="G3" s="142" t="s">
        <v>157</v>
      </c>
      <c r="I3" s="7" t="s">
        <v>136</v>
      </c>
      <c r="K3" s="7" t="s">
        <v>476</v>
      </c>
      <c r="L3" s="7" t="s">
        <v>139</v>
      </c>
      <c r="O3" s="7" t="s">
        <v>258</v>
      </c>
      <c r="P3" s="7">
        <f t="shared" si="1"/>
        <v>3</v>
      </c>
      <c r="Q3" s="289" t="str">
        <f t="array" ref="Q3">XLOOKUP(O3,Countries!A$2:A$73,Countries!B$2:B$73,"tbd",0)</f>
        <v>U.S. + Canada</v>
      </c>
    </row>
    <row r="4" ht="13.5" customHeight="1">
      <c r="A4" s="7">
        <v>14.0</v>
      </c>
      <c r="B4" s="7" t="s">
        <v>7</v>
      </c>
      <c r="C4" s="7" t="s">
        <v>379</v>
      </c>
      <c r="D4" s="7" t="s">
        <v>202</v>
      </c>
      <c r="E4" s="7" t="s">
        <v>135</v>
      </c>
      <c r="F4" s="7" t="s">
        <v>136</v>
      </c>
      <c r="G4" s="142" t="s">
        <v>137</v>
      </c>
      <c r="I4" s="7" t="s">
        <v>136</v>
      </c>
      <c r="K4" s="7" t="s">
        <v>477</v>
      </c>
      <c r="L4" s="7" t="s">
        <v>139</v>
      </c>
      <c r="O4" s="7" t="s">
        <v>202</v>
      </c>
      <c r="P4" s="7">
        <f t="shared" si="1"/>
        <v>5</v>
      </c>
      <c r="Q4" s="7" t="str">
        <f t="array" ref="Q4">XLOOKUP(O4,Countries!A$2:A$73,Countries!B$2:B$73,"tbd",0)</f>
        <v>Europe</v>
      </c>
    </row>
    <row r="5" ht="13.5" customHeight="1">
      <c r="A5" s="7">
        <v>149.0</v>
      </c>
      <c r="B5" s="7" t="s">
        <v>6</v>
      </c>
      <c r="C5" s="7" t="s">
        <v>478</v>
      </c>
      <c r="D5" s="7" t="s">
        <v>153</v>
      </c>
      <c r="E5" s="7" t="s">
        <v>135</v>
      </c>
      <c r="F5" s="54" t="s">
        <v>135</v>
      </c>
      <c r="G5" s="7" t="s">
        <v>479</v>
      </c>
      <c r="I5" s="7" t="s">
        <v>136</v>
      </c>
      <c r="K5" s="7" t="s">
        <v>480</v>
      </c>
      <c r="L5" s="7" t="s">
        <v>139</v>
      </c>
      <c r="O5" s="7" t="s">
        <v>153</v>
      </c>
      <c r="P5" s="7">
        <f t="shared" si="1"/>
        <v>11</v>
      </c>
      <c r="Q5" s="7" t="str">
        <f t="array" ref="Q5">XLOOKUP(O5,Countries!A$2:A$73,Countries!B$2:B$73,"tbd",0)</f>
        <v>associated countries</v>
      </c>
    </row>
    <row r="6" ht="13.5" customHeight="1">
      <c r="A6" s="7">
        <v>191.0</v>
      </c>
      <c r="B6" s="7" t="s">
        <v>6</v>
      </c>
      <c r="C6" s="7" t="s">
        <v>481</v>
      </c>
      <c r="D6" s="7" t="s">
        <v>193</v>
      </c>
      <c r="E6" s="7" t="s">
        <v>136</v>
      </c>
      <c r="F6" s="7" t="s">
        <v>136</v>
      </c>
      <c r="G6" s="7" t="s">
        <v>185</v>
      </c>
      <c r="H6" s="7" t="s">
        <v>482</v>
      </c>
      <c r="I6" s="7" t="s">
        <v>136</v>
      </c>
      <c r="K6" s="7" t="s">
        <v>483</v>
      </c>
      <c r="L6" s="7" t="s">
        <v>139</v>
      </c>
      <c r="O6" s="7" t="s">
        <v>193</v>
      </c>
      <c r="P6" s="7">
        <f t="shared" si="1"/>
        <v>36</v>
      </c>
      <c r="Q6" s="7" t="str">
        <f t="array" ref="Q6">XLOOKUP(O6,Countries!A$2:A$73,Countries!B$2:B$73,"tbd",0)</f>
        <v>associated countries</v>
      </c>
    </row>
    <row r="7" ht="13.5" customHeight="1">
      <c r="A7" s="7">
        <v>62.0</v>
      </c>
      <c r="B7" s="7" t="s">
        <v>6</v>
      </c>
      <c r="C7" s="7" t="s">
        <v>484</v>
      </c>
      <c r="D7" s="7" t="s">
        <v>263</v>
      </c>
      <c r="E7" s="7" t="s">
        <v>135</v>
      </c>
      <c r="F7" s="7" t="s">
        <v>136</v>
      </c>
      <c r="G7" s="7" t="s">
        <v>157</v>
      </c>
      <c r="I7" s="7" t="s">
        <v>136</v>
      </c>
      <c r="K7" s="7" t="s">
        <v>485</v>
      </c>
      <c r="L7" s="7" t="s">
        <v>139</v>
      </c>
      <c r="O7" s="7" t="s">
        <v>263</v>
      </c>
      <c r="P7" s="7">
        <f t="shared" si="1"/>
        <v>10</v>
      </c>
      <c r="Q7" s="289" t="str">
        <f t="array" ref="Q7">XLOOKUP(O7,Countries!A$2:A$73,Countries!B$2:B$73,"tbd",0)</f>
        <v>U.S. + Canada</v>
      </c>
    </row>
    <row r="8" ht="13.5" customHeight="1">
      <c r="A8" s="7">
        <v>212.0</v>
      </c>
      <c r="B8" s="7" t="s">
        <v>6</v>
      </c>
      <c r="C8" s="7" t="s">
        <v>486</v>
      </c>
      <c r="D8" s="7" t="s">
        <v>219</v>
      </c>
      <c r="E8" s="7" t="s">
        <v>135</v>
      </c>
      <c r="F8" s="7" t="s">
        <v>136</v>
      </c>
      <c r="G8" s="142" t="s">
        <v>150</v>
      </c>
      <c r="I8" s="7" t="s">
        <v>136</v>
      </c>
      <c r="K8" s="7" t="s">
        <v>487</v>
      </c>
      <c r="L8" s="7" t="s">
        <v>139</v>
      </c>
      <c r="O8" s="7" t="s">
        <v>219</v>
      </c>
      <c r="P8" s="7">
        <f t="shared" si="1"/>
        <v>7</v>
      </c>
      <c r="Q8" s="289" t="str">
        <f t="array" ref="Q8">XLOOKUP(O8,Countries!A$2:A$73,Countries!B$2:B$73,"tbd",0)</f>
        <v>Asia</v>
      </c>
    </row>
    <row r="9" ht="13.5" customHeight="1">
      <c r="A9" s="7">
        <v>6.0</v>
      </c>
      <c r="B9" s="7" t="s">
        <v>6</v>
      </c>
      <c r="C9" s="7" t="s">
        <v>488</v>
      </c>
      <c r="D9" s="7" t="s">
        <v>274</v>
      </c>
      <c r="E9" s="7" t="s">
        <v>136</v>
      </c>
      <c r="F9" s="7" t="s">
        <v>136</v>
      </c>
      <c r="G9" s="142" t="s">
        <v>4116</v>
      </c>
      <c r="I9" s="7" t="s">
        <v>136</v>
      </c>
      <c r="K9" s="7" t="s">
        <v>490</v>
      </c>
      <c r="L9" s="7" t="s">
        <v>139</v>
      </c>
      <c r="O9" s="7" t="s">
        <v>274</v>
      </c>
      <c r="P9" s="7">
        <f t="shared" si="1"/>
        <v>1</v>
      </c>
      <c r="Q9" s="142" t="str">
        <f t="array" ref="Q9">XLOOKUP(O9,Countries!A$2:A$73,Countries!B$2:B$73,"tbd",0)</f>
        <v>widening countries</v>
      </c>
    </row>
    <row r="10" ht="13.5" customHeight="1">
      <c r="A10" s="7">
        <v>11.0</v>
      </c>
      <c r="B10" s="7" t="s">
        <v>6</v>
      </c>
      <c r="C10" s="7" t="s">
        <v>491</v>
      </c>
      <c r="D10" s="7" t="s">
        <v>193</v>
      </c>
      <c r="E10" s="7" t="s">
        <v>135</v>
      </c>
      <c r="F10" s="7" t="s">
        <v>136</v>
      </c>
      <c r="G10" s="7" t="s">
        <v>137</v>
      </c>
      <c r="I10" s="7" t="s">
        <v>136</v>
      </c>
      <c r="K10" s="7" t="s">
        <v>492</v>
      </c>
      <c r="L10" s="7" t="s">
        <v>139</v>
      </c>
      <c r="O10" s="7" t="s">
        <v>279</v>
      </c>
      <c r="P10" s="7">
        <f t="shared" si="1"/>
        <v>1</v>
      </c>
      <c r="Q10" s="289" t="str">
        <f t="array" ref="Q10">XLOOKUP(O10,Countries!A$2:A$73,Countries!B$2:B$73,"tbd",0)</f>
        <v>Middle East</v>
      </c>
    </row>
    <row r="11" ht="13.5" customHeight="1">
      <c r="A11" s="7">
        <v>96.0</v>
      </c>
      <c r="B11" s="7" t="s">
        <v>6</v>
      </c>
      <c r="C11" s="7" t="s">
        <v>493</v>
      </c>
      <c r="D11" s="7" t="s">
        <v>279</v>
      </c>
      <c r="E11" s="7" t="s">
        <v>135</v>
      </c>
      <c r="F11" s="7" t="s">
        <v>136</v>
      </c>
      <c r="G11" s="7" t="s">
        <v>185</v>
      </c>
      <c r="H11" s="142" t="s">
        <v>494</v>
      </c>
      <c r="I11" s="7" t="s">
        <v>136</v>
      </c>
      <c r="K11" s="7" t="s">
        <v>495</v>
      </c>
      <c r="L11" s="7" t="s">
        <v>139</v>
      </c>
      <c r="O11" s="7" t="s">
        <v>284</v>
      </c>
      <c r="P11" s="7">
        <f t="shared" si="1"/>
        <v>3</v>
      </c>
      <c r="Q11" s="289" t="str">
        <f t="array" ref="Q11">XLOOKUP(O11,Countries!A$2:A$73,Countries!B$2:B$73,"tbd",0)</f>
        <v>Middle East</v>
      </c>
    </row>
    <row r="12" ht="13.5" customHeight="1">
      <c r="A12" s="7">
        <v>65.0</v>
      </c>
      <c r="B12" s="7" t="s">
        <v>6</v>
      </c>
      <c r="C12" s="7" t="s">
        <v>496</v>
      </c>
      <c r="D12" s="7" t="s">
        <v>243</v>
      </c>
      <c r="E12" s="7" t="s">
        <v>135</v>
      </c>
      <c r="F12" s="7" t="s">
        <v>135</v>
      </c>
      <c r="G12" s="7" t="s">
        <v>497</v>
      </c>
      <c r="I12" s="7" t="s">
        <v>136</v>
      </c>
      <c r="K12" s="7" t="s">
        <v>498</v>
      </c>
      <c r="L12" s="7" t="s">
        <v>139</v>
      </c>
      <c r="O12" s="7" t="s">
        <v>233</v>
      </c>
      <c r="P12" s="7">
        <f t="shared" si="1"/>
        <v>6</v>
      </c>
      <c r="Q12" s="142" t="str">
        <f t="array" ref="Q12">XLOOKUP(O12,Countries!A$2:A$73,Countries!B$2:B$73,"tbd",0)</f>
        <v>widening countries</v>
      </c>
    </row>
    <row r="13" ht="13.5" customHeight="1">
      <c r="A13" s="7">
        <v>92.0</v>
      </c>
      <c r="B13" s="7" t="s">
        <v>6</v>
      </c>
      <c r="C13" s="7" t="s">
        <v>499</v>
      </c>
      <c r="D13" s="7" t="s">
        <v>284</v>
      </c>
      <c r="E13" s="7" t="s">
        <v>135</v>
      </c>
      <c r="F13" s="54" t="s">
        <v>135</v>
      </c>
      <c r="G13" s="7" t="s">
        <v>191</v>
      </c>
      <c r="I13" s="7" t="s">
        <v>136</v>
      </c>
      <c r="K13" s="7" t="s">
        <v>500</v>
      </c>
      <c r="L13" s="7" t="s">
        <v>139</v>
      </c>
      <c r="O13" s="7" t="s">
        <v>213</v>
      </c>
      <c r="P13" s="7">
        <f t="shared" si="1"/>
        <v>8</v>
      </c>
      <c r="Q13" s="142" t="str">
        <f t="array" ref="Q13">XLOOKUP(O13,Countries!A$2:A$73,Countries!B$2:B$73,"tbd",0)</f>
        <v>widening countries</v>
      </c>
    </row>
    <row r="14" ht="13.5" customHeight="1">
      <c r="A14" s="7">
        <v>40.0</v>
      </c>
      <c r="B14" s="7" t="s">
        <v>6</v>
      </c>
      <c r="C14" s="7" t="s">
        <v>501</v>
      </c>
      <c r="D14" s="7" t="s">
        <v>243</v>
      </c>
      <c r="E14" s="7" t="s">
        <v>135</v>
      </c>
      <c r="F14" s="7" t="s">
        <v>135</v>
      </c>
      <c r="G14" s="7" t="s">
        <v>502</v>
      </c>
      <c r="H14" s="7" t="s">
        <v>503</v>
      </c>
      <c r="I14" s="7" t="s">
        <v>136</v>
      </c>
      <c r="K14" s="7" t="s">
        <v>504</v>
      </c>
      <c r="L14" s="7" t="s">
        <v>139</v>
      </c>
      <c r="O14" s="7" t="s">
        <v>134</v>
      </c>
      <c r="P14" s="7">
        <f t="shared" si="1"/>
        <v>6</v>
      </c>
      <c r="Q14" s="7" t="str">
        <f t="array" ref="Q14">XLOOKUP(O14,Countries!A$2:A$73,Countries!B$2:B$73,"tbd",0)</f>
        <v>Europe</v>
      </c>
    </row>
    <row r="15" ht="13.5" customHeight="1">
      <c r="A15" s="7">
        <v>53.0</v>
      </c>
      <c r="B15" s="7" t="s">
        <v>6</v>
      </c>
      <c r="C15" s="7" t="s">
        <v>505</v>
      </c>
      <c r="D15" s="7" t="s">
        <v>243</v>
      </c>
      <c r="E15" s="7" t="s">
        <v>135</v>
      </c>
      <c r="F15" s="7" t="s">
        <v>136</v>
      </c>
      <c r="G15" s="142" t="s">
        <v>363</v>
      </c>
      <c r="I15" s="7" t="s">
        <v>136</v>
      </c>
      <c r="K15" s="7" t="s">
        <v>506</v>
      </c>
      <c r="L15" s="7" t="s">
        <v>139</v>
      </c>
      <c r="O15" s="7" t="s">
        <v>187</v>
      </c>
      <c r="P15" s="7">
        <f t="shared" si="1"/>
        <v>2</v>
      </c>
      <c r="Q15" s="7" t="str">
        <f t="array" ref="Q15">XLOOKUP(O15,Countries!A$2:A$73,Countries!B$2:B$73,"tbd",0)</f>
        <v>Europe</v>
      </c>
    </row>
    <row r="16" ht="13.5" customHeight="1">
      <c r="A16" s="7">
        <v>175.0</v>
      </c>
      <c r="B16" s="7" t="s">
        <v>6</v>
      </c>
      <c r="C16" s="7" t="s">
        <v>507</v>
      </c>
      <c r="D16" s="7" t="s">
        <v>193</v>
      </c>
      <c r="E16" s="7" t="s">
        <v>135</v>
      </c>
      <c r="F16" s="7" t="s">
        <v>136</v>
      </c>
      <c r="G16" s="7" t="s">
        <v>137</v>
      </c>
      <c r="I16" s="7" t="s">
        <v>136</v>
      </c>
      <c r="K16" s="7" t="s">
        <v>508</v>
      </c>
      <c r="L16" s="7" t="s">
        <v>139</v>
      </c>
      <c r="O16" s="7" t="s">
        <v>143</v>
      </c>
      <c r="P16" s="7">
        <f t="shared" si="1"/>
        <v>20</v>
      </c>
      <c r="Q16" s="7" t="str">
        <f t="array" ref="Q16">XLOOKUP(O16,Countries!A$2:A$73,Countries!B$2:B$73,"tbd",0)</f>
        <v>Europe</v>
      </c>
    </row>
    <row r="17" ht="13.5" customHeight="1">
      <c r="A17" s="7">
        <v>167.0</v>
      </c>
      <c r="B17" s="7" t="s">
        <v>6</v>
      </c>
      <c r="C17" s="7" t="s">
        <v>509</v>
      </c>
      <c r="D17" s="7" t="s">
        <v>233</v>
      </c>
      <c r="E17" s="7" t="s">
        <v>136</v>
      </c>
      <c r="F17" s="7" t="s">
        <v>136</v>
      </c>
      <c r="G17" s="7" t="s">
        <v>180</v>
      </c>
      <c r="I17" s="7" t="s">
        <v>136</v>
      </c>
      <c r="K17" s="7" t="s">
        <v>510</v>
      </c>
      <c r="L17" s="7" t="s">
        <v>139</v>
      </c>
      <c r="O17" s="7" t="s">
        <v>290</v>
      </c>
      <c r="P17" s="7">
        <f t="shared" si="1"/>
        <v>19</v>
      </c>
      <c r="Q17" s="289" t="str">
        <f t="array" ref="Q17">XLOOKUP(O17,Countries!A$2:A$73,Countries!B$2:B$73,"tbd",0)</f>
        <v>Middle East</v>
      </c>
    </row>
    <row r="18" ht="13.5" customHeight="1">
      <c r="A18" s="7">
        <v>64.0</v>
      </c>
      <c r="B18" s="7" t="s">
        <v>7</v>
      </c>
      <c r="C18" s="7" t="s">
        <v>511</v>
      </c>
      <c r="D18" s="7" t="s">
        <v>193</v>
      </c>
      <c r="E18" s="7" t="s">
        <v>135</v>
      </c>
      <c r="F18" s="7" t="s">
        <v>136</v>
      </c>
      <c r="G18" s="142" t="s">
        <v>292</v>
      </c>
      <c r="I18" s="7" t="s">
        <v>136</v>
      </c>
      <c r="K18" s="7" t="s">
        <v>512</v>
      </c>
      <c r="L18" s="7" t="s">
        <v>139</v>
      </c>
      <c r="O18" s="7" t="s">
        <v>296</v>
      </c>
      <c r="P18" s="7">
        <f t="shared" si="1"/>
        <v>2</v>
      </c>
      <c r="Q18" s="289" t="str">
        <f t="array" ref="Q18">XLOOKUP(O18,Countries!A$2:A$73,Countries!B$2:B$73,"tbd",0)</f>
        <v>Middle East</v>
      </c>
    </row>
    <row r="19" ht="13.5" customHeight="1">
      <c r="A19" s="7">
        <v>71.0</v>
      </c>
      <c r="B19" s="7" t="s">
        <v>7</v>
      </c>
      <c r="C19" s="7" t="s">
        <v>513</v>
      </c>
      <c r="D19" s="7" t="s">
        <v>213</v>
      </c>
      <c r="E19" s="7" t="s">
        <v>135</v>
      </c>
      <c r="F19" s="7" t="s">
        <v>136</v>
      </c>
      <c r="G19" s="7" t="s">
        <v>157</v>
      </c>
      <c r="I19" s="7" t="s">
        <v>136</v>
      </c>
      <c r="K19" s="7" t="s">
        <v>514</v>
      </c>
      <c r="L19" s="7" t="s">
        <v>139</v>
      </c>
      <c r="O19" s="7" t="s">
        <v>301</v>
      </c>
      <c r="P19" s="7">
        <f t="shared" si="1"/>
        <v>3</v>
      </c>
      <c r="Q19" s="289" t="str">
        <f t="array" ref="Q19">XLOOKUP(O19,Countries!A$2:A$73,Countries!B$2:B$73,"tbd",0)</f>
        <v>Middle East</v>
      </c>
    </row>
    <row r="20" ht="13.5" customHeight="1">
      <c r="A20" s="7">
        <v>132.0</v>
      </c>
      <c r="B20" s="7" t="s">
        <v>6</v>
      </c>
      <c r="C20" s="7" t="s">
        <v>515</v>
      </c>
      <c r="D20" s="7" t="s">
        <v>193</v>
      </c>
      <c r="E20" s="7" t="s">
        <v>136</v>
      </c>
      <c r="F20" s="7" t="s">
        <v>136</v>
      </c>
      <c r="G20" s="7" t="s">
        <v>185</v>
      </c>
      <c r="H20" s="142" t="s">
        <v>516</v>
      </c>
      <c r="I20" s="7" t="s">
        <v>136</v>
      </c>
      <c r="K20" s="7" t="s">
        <v>517</v>
      </c>
      <c r="L20" s="7" t="s">
        <v>139</v>
      </c>
      <c r="O20" s="7" t="s">
        <v>268</v>
      </c>
      <c r="P20" s="7">
        <f t="shared" si="1"/>
        <v>2</v>
      </c>
      <c r="Q20" s="7" t="str">
        <f t="array" ref="Q20">XLOOKUP(O20,Countries!A$2:A$73,Countries!B$2:B$73,"tbd",0)</f>
        <v>associated countries</v>
      </c>
    </row>
    <row r="21" ht="13.5" customHeight="1">
      <c r="A21" s="7">
        <v>74.0</v>
      </c>
      <c r="B21" s="7" t="s">
        <v>6</v>
      </c>
      <c r="C21" s="7" t="s">
        <v>518</v>
      </c>
      <c r="D21" s="7" t="s">
        <v>243</v>
      </c>
      <c r="E21" s="7" t="s">
        <v>135</v>
      </c>
      <c r="F21" s="7" t="s">
        <v>136</v>
      </c>
      <c r="G21" s="7" t="s">
        <v>157</v>
      </c>
      <c r="H21" s="142" t="s">
        <v>519</v>
      </c>
      <c r="I21" s="7" t="s">
        <v>136</v>
      </c>
      <c r="K21" s="7" t="s">
        <v>520</v>
      </c>
      <c r="L21" s="7" t="s">
        <v>139</v>
      </c>
      <c r="O21" s="7" t="s">
        <v>244</v>
      </c>
      <c r="P21" s="7">
        <f t="shared" si="1"/>
        <v>7</v>
      </c>
      <c r="Q21" s="289" t="str">
        <f t="array" ref="Q21">XLOOKUP(O21,Countries!A$2:A$73,Countries!B$2:B$73,"tbd",0)</f>
        <v>Asia</v>
      </c>
    </row>
    <row r="22" ht="13.5" customHeight="1">
      <c r="A22" s="7">
        <v>16.0</v>
      </c>
      <c r="B22" s="7" t="s">
        <v>6</v>
      </c>
      <c r="C22" s="7" t="s">
        <v>133</v>
      </c>
      <c r="D22" s="7" t="s">
        <v>134</v>
      </c>
      <c r="E22" s="7" t="s">
        <v>135</v>
      </c>
      <c r="F22" s="7" t="s">
        <v>136</v>
      </c>
      <c r="G22" s="7" t="s">
        <v>137</v>
      </c>
      <c r="I22" s="7" t="s">
        <v>136</v>
      </c>
      <c r="K22" s="7" t="s">
        <v>521</v>
      </c>
      <c r="L22" s="7" t="s">
        <v>139</v>
      </c>
      <c r="O22" s="7" t="s">
        <v>313</v>
      </c>
      <c r="P22" s="7">
        <f t="shared" si="1"/>
        <v>2</v>
      </c>
      <c r="Q22" s="289" t="str">
        <f t="array" ref="Q22">XLOOKUP(O22,Countries!A$2:A$73,Countries!B$2:B$73,"tbd",0)</f>
        <v>Middle/South America</v>
      </c>
    </row>
    <row r="23" ht="13.5" customHeight="1">
      <c r="A23" s="7">
        <v>222.0</v>
      </c>
      <c r="B23" s="7" t="s">
        <v>6</v>
      </c>
      <c r="C23" s="7" t="s">
        <v>522</v>
      </c>
      <c r="D23" s="7" t="s">
        <v>187</v>
      </c>
      <c r="E23" s="7" t="s">
        <v>136</v>
      </c>
      <c r="F23" s="7" t="s">
        <v>136</v>
      </c>
      <c r="G23" s="7" t="s">
        <v>479</v>
      </c>
      <c r="I23" s="7" t="s">
        <v>136</v>
      </c>
      <c r="K23" s="7" t="s">
        <v>523</v>
      </c>
      <c r="L23" s="7" t="s">
        <v>139</v>
      </c>
      <c r="O23" s="7" t="s">
        <v>318</v>
      </c>
      <c r="P23" s="7">
        <f t="shared" si="1"/>
        <v>2</v>
      </c>
      <c r="Q23" s="289" t="str">
        <f t="array" ref="Q23">XLOOKUP(O23,Countries!A$2:A$73,Countries!B$2:B$73,"tbd",0)</f>
        <v>Middle/South America</v>
      </c>
    </row>
    <row r="24" ht="13.5" customHeight="1">
      <c r="A24" s="7">
        <v>235.0</v>
      </c>
      <c r="B24" s="7" t="s">
        <v>7</v>
      </c>
      <c r="C24" s="7" t="s">
        <v>513</v>
      </c>
      <c r="D24" s="7" t="s">
        <v>213</v>
      </c>
      <c r="E24" s="7" t="s">
        <v>135</v>
      </c>
      <c r="F24" s="7" t="s">
        <v>136</v>
      </c>
      <c r="G24" s="7" t="s">
        <v>157</v>
      </c>
      <c r="H24" s="7" t="s">
        <v>524</v>
      </c>
      <c r="I24" s="7" t="s">
        <v>136</v>
      </c>
      <c r="K24" s="7" t="s">
        <v>525</v>
      </c>
      <c r="L24" s="7" t="s">
        <v>139</v>
      </c>
      <c r="O24" s="7" t="s">
        <v>203</v>
      </c>
      <c r="P24" s="7">
        <f t="shared" si="1"/>
        <v>4</v>
      </c>
      <c r="Q24" s="289" t="str">
        <f t="array" ref="Q24">XLOOKUP(O24,Countries!A$2:A$73,Countries!B$2:B$73,"tbd",0)</f>
        <v>Asia</v>
      </c>
    </row>
    <row r="25" ht="13.5" customHeight="1">
      <c r="A25" s="7">
        <v>70.0</v>
      </c>
      <c r="B25" s="7" t="s">
        <v>6</v>
      </c>
      <c r="C25" s="7" t="s">
        <v>526</v>
      </c>
      <c r="D25" s="7" t="s">
        <v>143</v>
      </c>
      <c r="E25" s="7" t="s">
        <v>136</v>
      </c>
      <c r="F25" s="7" t="s">
        <v>136</v>
      </c>
      <c r="G25" s="7" t="s">
        <v>157</v>
      </c>
      <c r="I25" s="7" t="s">
        <v>136</v>
      </c>
      <c r="K25" s="7" t="s">
        <v>527</v>
      </c>
      <c r="L25" s="7" t="s">
        <v>139</v>
      </c>
      <c r="O25" s="7" t="s">
        <v>164</v>
      </c>
      <c r="P25" s="7">
        <f t="shared" si="1"/>
        <v>8</v>
      </c>
      <c r="Q25" s="7" t="str">
        <f t="array" ref="Q25">XLOOKUP(O25,Countries!A$2:A$73,Countries!B$2:B$73,"tbd",0)</f>
        <v>Europe</v>
      </c>
    </row>
    <row r="26" ht="13.5" customHeight="1">
      <c r="A26" s="7">
        <v>232.0</v>
      </c>
      <c r="B26" s="7" t="s">
        <v>6</v>
      </c>
      <c r="C26" s="7" t="s">
        <v>526</v>
      </c>
      <c r="D26" s="7" t="s">
        <v>143</v>
      </c>
      <c r="E26" s="7" t="s">
        <v>135</v>
      </c>
      <c r="F26" s="7" t="s">
        <v>136</v>
      </c>
      <c r="G26" s="7" t="s">
        <v>157</v>
      </c>
      <c r="I26" s="7" t="s">
        <v>136</v>
      </c>
      <c r="K26" s="7" t="s">
        <v>528</v>
      </c>
      <c r="L26" s="7" t="s">
        <v>139</v>
      </c>
      <c r="O26" s="7" t="s">
        <v>314</v>
      </c>
      <c r="P26" s="7">
        <f t="shared" si="1"/>
        <v>1</v>
      </c>
      <c r="Q26" s="289" t="str">
        <f t="array" ref="Q26">XLOOKUP(O26,Countries!A$2:A$73,Countries!B$2:B$73,"tbd",0)</f>
        <v>associated countries</v>
      </c>
    </row>
    <row r="27" ht="13.5" customHeight="1">
      <c r="A27" s="7">
        <v>46.0</v>
      </c>
      <c r="B27" s="7" t="s">
        <v>6</v>
      </c>
      <c r="C27" s="7" t="s">
        <v>529</v>
      </c>
      <c r="D27" s="7" t="s">
        <v>290</v>
      </c>
      <c r="E27" s="7" t="s">
        <v>135</v>
      </c>
      <c r="F27" s="7" t="s">
        <v>136</v>
      </c>
      <c r="G27" s="7" t="s">
        <v>191</v>
      </c>
      <c r="I27" s="7" t="s">
        <v>136</v>
      </c>
      <c r="K27" s="7" t="s">
        <v>530</v>
      </c>
      <c r="L27" s="7" t="s">
        <v>139</v>
      </c>
      <c r="O27" s="7" t="s">
        <v>176</v>
      </c>
      <c r="P27" s="7">
        <f t="shared" si="1"/>
        <v>1</v>
      </c>
      <c r="Q27" s="142" t="str">
        <f t="array" ref="Q27">XLOOKUP(O27,Countries!A$2:A$73,Countries!B$2:B$73,"tbd",0)</f>
        <v>widening countries</v>
      </c>
    </row>
    <row r="28" ht="13.5" customHeight="1">
      <c r="A28" s="7">
        <v>118.0</v>
      </c>
      <c r="B28" s="7" t="s">
        <v>6</v>
      </c>
      <c r="C28" s="7" t="s">
        <v>531</v>
      </c>
      <c r="D28" s="7" t="s">
        <v>296</v>
      </c>
      <c r="E28" s="7" t="s">
        <v>135</v>
      </c>
      <c r="F28" s="7" t="s">
        <v>136</v>
      </c>
      <c r="G28" s="7" t="s">
        <v>221</v>
      </c>
      <c r="I28" s="7" t="s">
        <v>136</v>
      </c>
      <c r="K28" s="7" t="s">
        <v>532</v>
      </c>
      <c r="L28" s="7" t="s">
        <v>139</v>
      </c>
      <c r="O28" s="7" t="s">
        <v>166</v>
      </c>
      <c r="P28" s="7">
        <f t="shared" si="1"/>
        <v>1</v>
      </c>
      <c r="Q28" s="289" t="str">
        <f t="array" ref="Q28">XLOOKUP(O28,Countries!A$2:A$73,Countries!B$2:B$73,"tbd",0)</f>
        <v>Oceania</v>
      </c>
    </row>
    <row r="29" ht="13.5" customHeight="1">
      <c r="A29" s="7">
        <v>101.0</v>
      </c>
      <c r="B29" s="7" t="s">
        <v>6</v>
      </c>
      <c r="C29" s="7" t="s">
        <v>533</v>
      </c>
      <c r="D29" s="7" t="s">
        <v>243</v>
      </c>
      <c r="E29" s="7" t="s">
        <v>135</v>
      </c>
      <c r="F29" s="7" t="s">
        <v>135</v>
      </c>
      <c r="G29" s="7" t="s">
        <v>534</v>
      </c>
      <c r="I29" s="7" t="s">
        <v>136</v>
      </c>
      <c r="K29" s="7" t="s">
        <v>535</v>
      </c>
      <c r="L29" s="7" t="s">
        <v>139</v>
      </c>
      <c r="O29" s="7" t="s">
        <v>248</v>
      </c>
      <c r="P29" s="7">
        <f t="shared" si="1"/>
        <v>1</v>
      </c>
      <c r="Q29" s="7" t="str">
        <f t="array" ref="Q29">XLOOKUP(O29,Countries!A$2:A$73,Countries!B$2:B$73,"tbd",0)</f>
        <v>Europe</v>
      </c>
    </row>
    <row r="30" ht="13.5" customHeight="1">
      <c r="A30" s="7">
        <v>25.0</v>
      </c>
      <c r="B30" s="7" t="s">
        <v>6</v>
      </c>
      <c r="C30" s="7" t="s">
        <v>536</v>
      </c>
      <c r="D30" s="7" t="s">
        <v>193</v>
      </c>
      <c r="E30" s="7" t="s">
        <v>135</v>
      </c>
      <c r="F30" s="7" t="s">
        <v>136</v>
      </c>
      <c r="G30" s="7" t="s">
        <v>157</v>
      </c>
      <c r="I30" s="7" t="s">
        <v>136</v>
      </c>
      <c r="K30" s="7" t="s">
        <v>537</v>
      </c>
      <c r="L30" s="7" t="s">
        <v>139</v>
      </c>
      <c r="O30" s="7" t="s">
        <v>239</v>
      </c>
      <c r="P30" s="7">
        <f t="shared" si="1"/>
        <v>4</v>
      </c>
      <c r="Q30" s="289" t="str">
        <f t="array" ref="Q30">XLOOKUP(O30,Countries!A$2:A$73,Countries!B$2:B$73,"tbd",0)</f>
        <v>Asia</v>
      </c>
    </row>
    <row r="31" ht="13.5" customHeight="1">
      <c r="A31" s="7">
        <v>151.0</v>
      </c>
      <c r="B31" s="7" t="s">
        <v>6</v>
      </c>
      <c r="C31" s="7" t="s">
        <v>515</v>
      </c>
      <c r="D31" s="7" t="s">
        <v>193</v>
      </c>
      <c r="E31" s="7" t="s">
        <v>135</v>
      </c>
      <c r="F31" s="7" t="s">
        <v>136</v>
      </c>
      <c r="G31" s="142" t="s">
        <v>349</v>
      </c>
      <c r="I31" s="7" t="s">
        <v>136</v>
      </c>
      <c r="K31" s="7" t="s">
        <v>538</v>
      </c>
      <c r="L31" s="7" t="s">
        <v>139</v>
      </c>
      <c r="O31" s="7" t="s">
        <v>218</v>
      </c>
      <c r="P31" s="7">
        <f t="shared" si="1"/>
        <v>6</v>
      </c>
      <c r="Q31" s="7" t="str">
        <f t="array" ref="Q31">XLOOKUP(O31,Countries!A$2:A$73,Countries!B$2:B$73,"tbd",0)</f>
        <v>associated countries</v>
      </c>
    </row>
    <row r="32" ht="13.5" customHeight="1">
      <c r="A32" s="7">
        <v>91.0</v>
      </c>
      <c r="B32" s="7" t="s">
        <v>6</v>
      </c>
      <c r="C32" s="7" t="s">
        <v>539</v>
      </c>
      <c r="D32" s="7" t="s">
        <v>290</v>
      </c>
      <c r="E32" s="7" t="s">
        <v>135</v>
      </c>
      <c r="F32" s="7" t="s">
        <v>136</v>
      </c>
      <c r="G32" s="7" t="s">
        <v>191</v>
      </c>
      <c r="I32" s="7" t="s">
        <v>136</v>
      </c>
      <c r="K32" s="7" t="s">
        <v>540</v>
      </c>
      <c r="L32" s="7" t="s">
        <v>139</v>
      </c>
      <c r="O32" s="7" t="s">
        <v>229</v>
      </c>
      <c r="P32" s="7">
        <f t="shared" si="1"/>
        <v>2</v>
      </c>
      <c r="Q32" s="289" t="str">
        <f t="array" ref="Q32">XLOOKUP(O32,Countries!A$2:A$73,Countries!B$2:B$73,"tbd",0)</f>
        <v>Asia</v>
      </c>
    </row>
    <row r="33" ht="13.5" customHeight="1">
      <c r="A33" s="7">
        <v>157.0</v>
      </c>
      <c r="B33" s="7" t="s">
        <v>6</v>
      </c>
      <c r="C33" s="7" t="s">
        <v>541</v>
      </c>
      <c r="D33" s="7" t="s">
        <v>301</v>
      </c>
      <c r="E33" s="7" t="s">
        <v>135</v>
      </c>
      <c r="F33" s="7" t="s">
        <v>135</v>
      </c>
      <c r="G33" s="7" t="s">
        <v>191</v>
      </c>
      <c r="I33" s="7" t="s">
        <v>136</v>
      </c>
      <c r="K33" s="7" t="s">
        <v>542</v>
      </c>
      <c r="L33" s="7" t="s">
        <v>139</v>
      </c>
      <c r="O33" s="7" t="s">
        <v>214</v>
      </c>
      <c r="P33" s="7">
        <f t="shared" si="1"/>
        <v>2</v>
      </c>
      <c r="Q33" s="289" t="str">
        <f t="array" ref="Q33">XLOOKUP(O33,Countries!A$2:A$73,Countries!B$2:B$73,"tbd",0)</f>
        <v>Asia</v>
      </c>
    </row>
    <row r="34" ht="13.5" customHeight="1">
      <c r="A34" s="7">
        <v>187.0</v>
      </c>
      <c r="B34" s="7" t="s">
        <v>6</v>
      </c>
      <c r="C34" s="7" t="s">
        <v>543</v>
      </c>
      <c r="D34" s="7" t="s">
        <v>243</v>
      </c>
      <c r="E34" s="7" t="s">
        <v>135</v>
      </c>
      <c r="F34" s="7" t="s">
        <v>135</v>
      </c>
      <c r="G34" s="7" t="s">
        <v>467</v>
      </c>
      <c r="H34" s="7" t="s">
        <v>544</v>
      </c>
      <c r="I34" s="7" t="s">
        <v>136</v>
      </c>
      <c r="K34" s="7" t="s">
        <v>545</v>
      </c>
      <c r="L34" s="7" t="s">
        <v>139</v>
      </c>
      <c r="O34" s="7" t="s">
        <v>285</v>
      </c>
      <c r="P34" s="7">
        <f t="shared" si="1"/>
        <v>2</v>
      </c>
      <c r="Q34" s="289" t="str">
        <f t="array" ref="Q34">XLOOKUP(O34,Countries!A$2:A$73,Countries!B$2:B$73,"tbd",0)</f>
        <v>associated countries</v>
      </c>
    </row>
    <row r="35" ht="13.5" customHeight="1">
      <c r="A35" s="7">
        <v>121.0</v>
      </c>
      <c r="B35" s="7" t="s">
        <v>6</v>
      </c>
      <c r="C35" s="7" t="s">
        <v>546</v>
      </c>
      <c r="D35" s="7" t="s">
        <v>268</v>
      </c>
      <c r="E35" s="7" t="s">
        <v>136</v>
      </c>
      <c r="F35" s="7" t="s">
        <v>136</v>
      </c>
      <c r="G35" s="7" t="s">
        <v>157</v>
      </c>
      <c r="H35" s="7" t="s">
        <v>547</v>
      </c>
      <c r="I35" s="7" t="s">
        <v>136</v>
      </c>
      <c r="K35" s="7" t="s">
        <v>548</v>
      </c>
      <c r="L35" s="7" t="s">
        <v>139</v>
      </c>
      <c r="O35" s="7" t="s">
        <v>341</v>
      </c>
      <c r="P35" s="7">
        <f t="shared" si="1"/>
        <v>1</v>
      </c>
      <c r="Q35" s="289" t="str">
        <f t="array" ref="Q35">XLOOKUP(O35,Countries!A$2:A$73,Countries!B$2:B$73,"tbd",0)</f>
        <v>Middle/South America</v>
      </c>
    </row>
    <row r="36" ht="13.5" customHeight="1">
      <c r="A36" s="7">
        <v>229.0</v>
      </c>
      <c r="B36" s="7" t="s">
        <v>7</v>
      </c>
      <c r="C36" s="7" t="s">
        <v>549</v>
      </c>
      <c r="D36" s="7" t="s">
        <v>244</v>
      </c>
      <c r="E36" s="7" t="s">
        <v>135</v>
      </c>
      <c r="F36" s="7" t="s">
        <v>136</v>
      </c>
      <c r="G36" s="7" t="s">
        <v>550</v>
      </c>
      <c r="H36" s="7" t="s">
        <v>551</v>
      </c>
      <c r="I36" s="7" t="s">
        <v>136</v>
      </c>
      <c r="K36" s="7" t="s">
        <v>552</v>
      </c>
      <c r="L36" s="7" t="s">
        <v>139</v>
      </c>
      <c r="O36" s="7" t="s">
        <v>194</v>
      </c>
      <c r="P36" s="7">
        <f t="shared" si="1"/>
        <v>2</v>
      </c>
      <c r="Q36" s="289" t="str">
        <f t="array" ref="Q36">XLOOKUP(O36,Countries!A$2:A$73,Countries!B$2:B$73,"tbd",0)</f>
        <v>Africa</v>
      </c>
    </row>
    <row r="37" ht="13.5" customHeight="1">
      <c r="A37" s="7">
        <v>144.0</v>
      </c>
      <c r="B37" s="7" t="s">
        <v>6</v>
      </c>
      <c r="C37" s="7" t="s">
        <v>553</v>
      </c>
      <c r="D37" s="7" t="s">
        <v>313</v>
      </c>
      <c r="E37" s="7" t="s">
        <v>136</v>
      </c>
      <c r="F37" s="54" t="s">
        <v>135</v>
      </c>
      <c r="G37" s="7" t="s">
        <v>554</v>
      </c>
      <c r="H37" s="142" t="s">
        <v>555</v>
      </c>
      <c r="I37" s="7" t="s">
        <v>136</v>
      </c>
      <c r="K37" s="7" t="s">
        <v>556</v>
      </c>
      <c r="L37" s="7" t="s">
        <v>139</v>
      </c>
      <c r="O37" s="7" t="s">
        <v>228</v>
      </c>
      <c r="P37" s="7">
        <f t="shared" si="1"/>
        <v>1</v>
      </c>
      <c r="Q37" s="142" t="str">
        <f t="array" ref="Q37">XLOOKUP(O37,Countries!A$2:A$73,Countries!B$2:B$73,"tbd",0)</f>
        <v>widening countries</v>
      </c>
    </row>
    <row r="38" ht="13.5" customHeight="1">
      <c r="A38" s="7">
        <v>131.0</v>
      </c>
      <c r="B38" s="7" t="s">
        <v>7</v>
      </c>
      <c r="C38" s="7" t="s">
        <v>557</v>
      </c>
      <c r="D38" s="7" t="s">
        <v>318</v>
      </c>
      <c r="E38" s="7" t="s">
        <v>135</v>
      </c>
      <c r="F38" s="7" t="s">
        <v>136</v>
      </c>
      <c r="G38" s="7" t="s">
        <v>157</v>
      </c>
      <c r="I38" s="7" t="s">
        <v>136</v>
      </c>
      <c r="K38" s="7" t="s">
        <v>558</v>
      </c>
      <c r="L38" s="7" t="s">
        <v>139</v>
      </c>
      <c r="O38" s="7" t="s">
        <v>209</v>
      </c>
      <c r="P38" s="7">
        <f t="shared" si="1"/>
        <v>2</v>
      </c>
      <c r="Q38" s="7" t="str">
        <f t="array" ref="Q38">XLOOKUP(O38,Countries!A$2:A$73,Countries!B$2:B$73,"tbd",0)</f>
        <v>associated countries</v>
      </c>
    </row>
    <row r="39" ht="13.5" customHeight="1">
      <c r="A39" s="7">
        <v>164.0</v>
      </c>
      <c r="B39" s="7" t="s">
        <v>7</v>
      </c>
      <c r="C39" s="7" t="s">
        <v>179</v>
      </c>
      <c r="D39" s="7" t="s">
        <v>153</v>
      </c>
      <c r="E39" s="7" t="s">
        <v>136</v>
      </c>
      <c r="F39" s="7" t="s">
        <v>136</v>
      </c>
      <c r="G39" s="7" t="s">
        <v>137</v>
      </c>
      <c r="I39" s="7" t="s">
        <v>136</v>
      </c>
      <c r="K39" s="7" t="s">
        <v>559</v>
      </c>
      <c r="L39" s="7" t="s">
        <v>139</v>
      </c>
      <c r="O39" s="7" t="s">
        <v>238</v>
      </c>
      <c r="P39" s="7">
        <f t="shared" si="1"/>
        <v>1</v>
      </c>
      <c r="Q39" s="142" t="str">
        <f t="array" ref="Q39">XLOOKUP(O39,Countries!A$2:A$73,Countries!B$2:B$73,"tbd",0)</f>
        <v>widening countries</v>
      </c>
    </row>
    <row r="40" ht="13.5" customHeight="1">
      <c r="A40" s="7">
        <v>156.0</v>
      </c>
      <c r="B40" s="7" t="s">
        <v>6</v>
      </c>
      <c r="C40" s="7" t="s">
        <v>560</v>
      </c>
      <c r="D40" s="7" t="s">
        <v>213</v>
      </c>
      <c r="E40" s="7" t="s">
        <v>135</v>
      </c>
      <c r="F40" s="7" t="s">
        <v>136</v>
      </c>
      <c r="G40" s="7" t="s">
        <v>191</v>
      </c>
      <c r="I40" s="7" t="s">
        <v>136</v>
      </c>
      <c r="K40" s="7" t="s">
        <v>561</v>
      </c>
      <c r="L40" s="7" t="s">
        <v>139</v>
      </c>
      <c r="O40" s="7" t="s">
        <v>347</v>
      </c>
      <c r="P40" s="7">
        <f t="shared" si="1"/>
        <v>1</v>
      </c>
      <c r="Q40" s="289" t="str">
        <f t="array" ref="Q40">XLOOKUP(O40,Countries!A$2:A$73,Countries!B$2:B$73,"tbd",0)</f>
        <v>Middle/South America</v>
      </c>
    </row>
    <row r="41" ht="13.5" customHeight="1">
      <c r="A41" s="7">
        <v>45.0</v>
      </c>
      <c r="B41" s="7" t="s">
        <v>6</v>
      </c>
      <c r="C41" s="7" t="s">
        <v>562</v>
      </c>
      <c r="D41" s="7" t="s">
        <v>153</v>
      </c>
      <c r="E41" s="7" t="s">
        <v>135</v>
      </c>
      <c r="F41" s="7" t="s">
        <v>136</v>
      </c>
      <c r="G41" s="7" t="s">
        <v>191</v>
      </c>
      <c r="I41" s="7" t="s">
        <v>136</v>
      </c>
      <c r="K41" s="7" t="s">
        <v>563</v>
      </c>
      <c r="L41" s="7" t="s">
        <v>139</v>
      </c>
      <c r="O41" s="7" t="s">
        <v>352</v>
      </c>
      <c r="P41" s="7">
        <f t="shared" si="1"/>
        <v>1</v>
      </c>
      <c r="Q41" s="142" t="str">
        <f t="array" ref="Q41">XLOOKUP(O41,Countries!A$2:A$73,Countries!B$2:B$73,"tbd",0)</f>
        <v>widening countries</v>
      </c>
    </row>
    <row r="42" ht="13.5" customHeight="1">
      <c r="A42" s="7">
        <v>216.0</v>
      </c>
      <c r="B42" s="7" t="s">
        <v>7</v>
      </c>
      <c r="C42" s="7" t="s">
        <v>564</v>
      </c>
      <c r="D42" s="7" t="s">
        <v>268</v>
      </c>
      <c r="E42" s="7" t="s">
        <v>135</v>
      </c>
      <c r="F42" s="7" t="s">
        <v>136</v>
      </c>
      <c r="G42" s="142" t="s">
        <v>174</v>
      </c>
      <c r="I42" s="7" t="s">
        <v>136</v>
      </c>
      <c r="K42" s="7" t="s">
        <v>565</v>
      </c>
      <c r="L42" s="7" t="s">
        <v>139</v>
      </c>
      <c r="O42" s="7" t="s">
        <v>170</v>
      </c>
      <c r="P42" s="7">
        <f t="shared" si="1"/>
        <v>1</v>
      </c>
      <c r="Q42" s="7" t="str">
        <f t="array" ref="Q42">XLOOKUP(O42,Countries!A$2:A$73,Countries!B$2:B$73,"tbd",0)</f>
        <v>Europe</v>
      </c>
    </row>
    <row r="43" ht="13.5" customHeight="1">
      <c r="A43" s="7">
        <v>32.0</v>
      </c>
      <c r="B43" s="7" t="s">
        <v>6</v>
      </c>
      <c r="C43" s="7" t="s">
        <v>566</v>
      </c>
      <c r="D43" s="7" t="s">
        <v>203</v>
      </c>
      <c r="E43" s="7" t="s">
        <v>136</v>
      </c>
      <c r="F43" s="7" t="s">
        <v>136</v>
      </c>
      <c r="G43" s="7" t="s">
        <v>185</v>
      </c>
      <c r="H43" s="7" t="s">
        <v>567</v>
      </c>
      <c r="I43" s="7" t="s">
        <v>136</v>
      </c>
      <c r="K43" s="7" t="s">
        <v>568</v>
      </c>
      <c r="L43" s="7" t="s">
        <v>139</v>
      </c>
      <c r="O43" s="7" t="s">
        <v>302</v>
      </c>
      <c r="P43" s="7">
        <f t="shared" si="1"/>
        <v>1</v>
      </c>
      <c r="Q43" s="7" t="str">
        <f t="array" ref="Q43">XLOOKUP(O43,Countries!A$2:A$73,Countries!B$2:B$73,"tbd",0)</f>
        <v>associated countries</v>
      </c>
    </row>
    <row r="44" ht="13.5" customHeight="1">
      <c r="A44" s="7">
        <v>227.0</v>
      </c>
      <c r="B44" s="7" t="s">
        <v>7</v>
      </c>
      <c r="C44" s="7" t="s">
        <v>569</v>
      </c>
      <c r="D44" s="7" t="s">
        <v>244</v>
      </c>
      <c r="E44" s="7" t="s">
        <v>136</v>
      </c>
      <c r="F44" s="54" t="s">
        <v>135</v>
      </c>
      <c r="G44" s="7" t="s">
        <v>185</v>
      </c>
      <c r="H44" s="7" t="s">
        <v>570</v>
      </c>
      <c r="I44" s="7" t="s">
        <v>136</v>
      </c>
      <c r="K44" s="7" t="s">
        <v>571</v>
      </c>
      <c r="L44" s="7" t="s">
        <v>139</v>
      </c>
      <c r="O44" s="7" t="s">
        <v>358</v>
      </c>
      <c r="P44" s="7">
        <f t="shared" si="1"/>
        <v>1</v>
      </c>
      <c r="Q44" s="289" t="str">
        <f t="array" ref="Q44">XLOOKUP(O44,Countries!A$2:A$73,Countries!B$2:B$73,"tbd",0)</f>
        <v>Middle East</v>
      </c>
    </row>
    <row r="45" ht="13.5" customHeight="1">
      <c r="A45" s="7">
        <v>72.0</v>
      </c>
      <c r="B45" s="7" t="s">
        <v>6</v>
      </c>
      <c r="C45" s="7" t="s">
        <v>572</v>
      </c>
      <c r="D45" s="7" t="s">
        <v>233</v>
      </c>
      <c r="E45" s="7" t="s">
        <v>135</v>
      </c>
      <c r="F45" s="7" t="s">
        <v>136</v>
      </c>
      <c r="G45" s="7" t="s">
        <v>157</v>
      </c>
      <c r="H45" s="7" t="s">
        <v>573</v>
      </c>
      <c r="I45" s="7" t="s">
        <v>136</v>
      </c>
      <c r="K45" s="7" t="s">
        <v>574</v>
      </c>
      <c r="L45" s="7" t="s">
        <v>139</v>
      </c>
      <c r="O45" s="7" t="s">
        <v>182</v>
      </c>
      <c r="P45" s="7">
        <f t="shared" si="1"/>
        <v>1</v>
      </c>
      <c r="Q45" s="289" t="str">
        <f t="array" ref="Q45">XLOOKUP(O45,Countries!A$2:A$73,Countries!B$2:B$73,"tbd",0)</f>
        <v>Africa</v>
      </c>
    </row>
    <row r="46" ht="13.5" customHeight="1">
      <c r="A46" s="7">
        <v>27.0</v>
      </c>
      <c r="B46" s="7" t="s">
        <v>6</v>
      </c>
      <c r="C46" s="7" t="s">
        <v>515</v>
      </c>
      <c r="D46" s="7" t="s">
        <v>193</v>
      </c>
      <c r="E46" s="7" t="s">
        <v>136</v>
      </c>
      <c r="F46" s="7" t="s">
        <v>135</v>
      </c>
      <c r="G46" s="7" t="s">
        <v>157</v>
      </c>
      <c r="I46" s="7" t="s">
        <v>136</v>
      </c>
      <c r="K46" s="7" t="s">
        <v>575</v>
      </c>
      <c r="L46" s="7" t="s">
        <v>139</v>
      </c>
      <c r="O46" s="7" t="s">
        <v>365</v>
      </c>
      <c r="P46" s="7">
        <f t="shared" si="1"/>
        <v>1</v>
      </c>
      <c r="Q46" s="142" t="str">
        <f t="array" ref="Q46">XLOOKUP(O46,Countries!A$2:A$73,Countries!B$2:B$73,"tbd",0)</f>
        <v>widening countries</v>
      </c>
    </row>
    <row r="47" ht="13.5" customHeight="1">
      <c r="A47" s="7">
        <v>134.0</v>
      </c>
      <c r="B47" s="7" t="s">
        <v>7</v>
      </c>
      <c r="C47" s="7" t="s">
        <v>576</v>
      </c>
      <c r="D47" s="7" t="s">
        <v>244</v>
      </c>
      <c r="E47" s="7" t="s">
        <v>135</v>
      </c>
      <c r="F47" s="7" t="s">
        <v>136</v>
      </c>
      <c r="G47" s="7" t="s">
        <v>185</v>
      </c>
      <c r="H47" s="7" t="s">
        <v>577</v>
      </c>
      <c r="I47" s="7" t="s">
        <v>136</v>
      </c>
      <c r="K47" s="7" t="s">
        <v>578</v>
      </c>
      <c r="L47" s="7" t="s">
        <v>139</v>
      </c>
      <c r="O47" s="7" t="s">
        <v>255</v>
      </c>
      <c r="P47" s="7">
        <f t="shared" si="1"/>
        <v>1</v>
      </c>
      <c r="Q47" s="289" t="str">
        <f t="array" ref="Q47">XLOOKUP(O47,Countries!A$2:A$73,Countries!B$2:B$73,"tbd",0)</f>
        <v>Asia</v>
      </c>
    </row>
    <row r="48" ht="13.5" customHeight="1">
      <c r="A48" s="7">
        <v>1.0</v>
      </c>
      <c r="B48" s="7" t="s">
        <v>7</v>
      </c>
      <c r="C48" s="7" t="s">
        <v>195</v>
      </c>
      <c r="D48" s="7" t="s">
        <v>164</v>
      </c>
      <c r="F48" s="7" t="s">
        <v>136</v>
      </c>
      <c r="G48" s="7" t="s">
        <v>185</v>
      </c>
      <c r="H48" s="7" t="s">
        <v>579</v>
      </c>
      <c r="I48" s="7" t="s">
        <v>136</v>
      </c>
      <c r="J48" s="7" t="s">
        <v>4117</v>
      </c>
      <c r="K48" s="7" t="s">
        <v>580</v>
      </c>
      <c r="L48" s="7" t="s">
        <v>139</v>
      </c>
    </row>
    <row r="49" ht="13.5" customHeight="1">
      <c r="A49" s="7">
        <v>123.0</v>
      </c>
      <c r="B49" s="7" t="s">
        <v>6</v>
      </c>
      <c r="C49" s="7" t="s">
        <v>581</v>
      </c>
      <c r="D49" s="7" t="s">
        <v>314</v>
      </c>
      <c r="E49" s="7" t="s">
        <v>136</v>
      </c>
      <c r="F49" s="7" t="s">
        <v>136</v>
      </c>
      <c r="G49" s="7" t="s">
        <v>582</v>
      </c>
      <c r="H49" s="7" t="s">
        <v>583</v>
      </c>
      <c r="I49" s="7" t="s">
        <v>136</v>
      </c>
      <c r="K49" s="7" t="s">
        <v>584</v>
      </c>
      <c r="L49" s="7" t="s">
        <v>139</v>
      </c>
    </row>
    <row r="50" ht="13.5" customHeight="1">
      <c r="A50" s="7">
        <v>84.0</v>
      </c>
      <c r="B50" s="7" t="s">
        <v>7</v>
      </c>
      <c r="C50" s="7" t="s">
        <v>515</v>
      </c>
      <c r="D50" s="7" t="s">
        <v>193</v>
      </c>
      <c r="E50" s="7" t="s">
        <v>135</v>
      </c>
      <c r="F50" s="7" t="s">
        <v>136</v>
      </c>
      <c r="G50" s="7" t="s">
        <v>479</v>
      </c>
      <c r="I50" s="7" t="s">
        <v>136</v>
      </c>
      <c r="K50" s="7" t="s">
        <v>585</v>
      </c>
      <c r="L50" s="7" t="s">
        <v>139</v>
      </c>
    </row>
    <row r="51" ht="13.5" customHeight="1">
      <c r="A51" s="7">
        <v>12.0</v>
      </c>
      <c r="B51" s="7" t="s">
        <v>7</v>
      </c>
      <c r="C51" s="7" t="s">
        <v>200</v>
      </c>
      <c r="D51" s="7" t="s">
        <v>143</v>
      </c>
      <c r="E51" s="7" t="s">
        <v>136</v>
      </c>
      <c r="F51" s="7" t="s">
        <v>136</v>
      </c>
      <c r="G51" s="7" t="s">
        <v>174</v>
      </c>
      <c r="I51" s="7" t="s">
        <v>136</v>
      </c>
      <c r="K51" s="7" t="s">
        <v>586</v>
      </c>
      <c r="L51" s="7" t="s">
        <v>139</v>
      </c>
      <c r="P51" s="7">
        <v>20.0</v>
      </c>
      <c r="Q51" s="142" t="s">
        <v>451</v>
      </c>
    </row>
    <row r="52" ht="13.5" customHeight="1">
      <c r="A52" s="7">
        <v>161.0</v>
      </c>
      <c r="B52" s="7" t="s">
        <v>7</v>
      </c>
      <c r="C52" s="7" t="s">
        <v>587</v>
      </c>
      <c r="D52" s="7" t="s">
        <v>176</v>
      </c>
      <c r="E52" s="7" t="s">
        <v>135</v>
      </c>
      <c r="F52" s="7" t="s">
        <v>136</v>
      </c>
      <c r="G52" s="7" t="s">
        <v>191</v>
      </c>
      <c r="I52" s="7" t="s">
        <v>136</v>
      </c>
      <c r="K52" s="7" t="s">
        <v>588</v>
      </c>
      <c r="L52" s="7" t="s">
        <v>139</v>
      </c>
      <c r="P52" s="7">
        <v>109.0</v>
      </c>
      <c r="Q52" s="289" t="s">
        <v>22</v>
      </c>
    </row>
    <row r="53" ht="13.5" customHeight="1">
      <c r="A53" s="7">
        <v>179.0</v>
      </c>
      <c r="B53" s="7" t="s">
        <v>6</v>
      </c>
      <c r="C53" s="7" t="s">
        <v>589</v>
      </c>
      <c r="D53" s="7" t="s">
        <v>233</v>
      </c>
      <c r="E53" s="7" t="s">
        <v>136</v>
      </c>
      <c r="F53" s="7" t="s">
        <v>136</v>
      </c>
      <c r="G53" s="7" t="s">
        <v>137</v>
      </c>
      <c r="I53" s="7" t="s">
        <v>136</v>
      </c>
      <c r="K53" s="7" t="s">
        <v>590</v>
      </c>
      <c r="L53" s="7" t="s">
        <v>139</v>
      </c>
    </row>
    <row r="54" ht="13.5" customHeight="1">
      <c r="A54" s="7">
        <v>63.0</v>
      </c>
      <c r="B54" s="7" t="s">
        <v>6</v>
      </c>
      <c r="C54" s="7" t="s">
        <v>591</v>
      </c>
      <c r="D54" s="7" t="s">
        <v>166</v>
      </c>
      <c r="E54" s="7" t="s">
        <v>135</v>
      </c>
      <c r="F54" s="7" t="s">
        <v>136</v>
      </c>
      <c r="G54" s="7" t="s">
        <v>157</v>
      </c>
      <c r="I54" s="7" t="s">
        <v>136</v>
      </c>
      <c r="K54" s="7" t="s">
        <v>592</v>
      </c>
      <c r="L54" s="7" t="s">
        <v>139</v>
      </c>
    </row>
    <row r="55" ht="13.5" customHeight="1">
      <c r="A55" s="7">
        <v>51.0</v>
      </c>
      <c r="B55" s="7" t="s">
        <v>6</v>
      </c>
      <c r="C55" s="7" t="s">
        <v>593</v>
      </c>
      <c r="D55" s="7" t="s">
        <v>290</v>
      </c>
      <c r="E55" s="7" t="s">
        <v>135</v>
      </c>
      <c r="F55" s="54" t="s">
        <v>135</v>
      </c>
      <c r="G55" s="7" t="s">
        <v>594</v>
      </c>
      <c r="I55" s="7" t="s">
        <v>136</v>
      </c>
      <c r="K55" s="7" t="s">
        <v>595</v>
      </c>
      <c r="L55" s="7" t="s">
        <v>139</v>
      </c>
    </row>
    <row r="56" ht="13.5" customHeight="1">
      <c r="A56" s="7">
        <v>36.0</v>
      </c>
      <c r="B56" s="7" t="s">
        <v>6</v>
      </c>
      <c r="C56" s="7" t="s">
        <v>515</v>
      </c>
      <c r="D56" s="7" t="s">
        <v>193</v>
      </c>
      <c r="E56" s="7" t="s">
        <v>135</v>
      </c>
      <c r="F56" s="7" t="s">
        <v>135</v>
      </c>
      <c r="G56" s="142" t="s">
        <v>596</v>
      </c>
      <c r="I56" s="7" t="s">
        <v>136</v>
      </c>
      <c r="K56" s="7" t="s">
        <v>597</v>
      </c>
      <c r="L56" s="7" t="s">
        <v>139</v>
      </c>
    </row>
    <row r="57" ht="13.5" customHeight="1">
      <c r="A57" s="7">
        <v>100.0</v>
      </c>
      <c r="B57" s="7" t="s">
        <v>7</v>
      </c>
      <c r="C57" s="7" t="s">
        <v>598</v>
      </c>
      <c r="D57" s="7" t="s">
        <v>193</v>
      </c>
      <c r="E57" s="7" t="s">
        <v>135</v>
      </c>
      <c r="F57" s="7" t="s">
        <v>136</v>
      </c>
      <c r="G57" s="7" t="s">
        <v>599</v>
      </c>
      <c r="H57" s="7" t="s">
        <v>600</v>
      </c>
      <c r="I57" s="7" t="s">
        <v>136</v>
      </c>
      <c r="K57" s="7" t="s">
        <v>601</v>
      </c>
      <c r="L57" s="7" t="s">
        <v>139</v>
      </c>
    </row>
    <row r="58" ht="13.5" customHeight="1">
      <c r="A58" s="7">
        <v>54.0</v>
      </c>
      <c r="B58" s="7" t="s">
        <v>6</v>
      </c>
      <c r="C58" s="7" t="s">
        <v>602</v>
      </c>
      <c r="D58" s="7" t="s">
        <v>143</v>
      </c>
      <c r="E58" s="7" t="s">
        <v>136</v>
      </c>
      <c r="F58" s="7" t="s">
        <v>136</v>
      </c>
      <c r="G58" s="7" t="s">
        <v>603</v>
      </c>
      <c r="I58" s="7" t="s">
        <v>136</v>
      </c>
      <c r="K58" s="7" t="s">
        <v>604</v>
      </c>
      <c r="L58" s="7" t="s">
        <v>139</v>
      </c>
    </row>
    <row r="59" ht="13.5" customHeight="1">
      <c r="A59" s="7">
        <v>165.0</v>
      </c>
      <c r="B59" s="7" t="s">
        <v>6</v>
      </c>
      <c r="C59" s="7" t="s">
        <v>605</v>
      </c>
      <c r="D59" s="7" t="s">
        <v>143</v>
      </c>
      <c r="E59" s="7" t="s">
        <v>136</v>
      </c>
      <c r="F59" s="7" t="s">
        <v>136</v>
      </c>
      <c r="G59" s="7" t="s">
        <v>606</v>
      </c>
      <c r="I59" s="7" t="s">
        <v>136</v>
      </c>
      <c r="K59" s="7" t="s">
        <v>607</v>
      </c>
      <c r="L59" s="7" t="s">
        <v>139</v>
      </c>
    </row>
    <row r="60" ht="13.5" customHeight="1">
      <c r="A60" s="7">
        <v>186.0</v>
      </c>
      <c r="B60" s="7" t="s">
        <v>7</v>
      </c>
      <c r="C60" s="7" t="s">
        <v>608</v>
      </c>
      <c r="D60" s="7" t="s">
        <v>193</v>
      </c>
      <c r="E60" s="7" t="s">
        <v>136</v>
      </c>
      <c r="F60" s="54" t="s">
        <v>135</v>
      </c>
      <c r="G60" s="7" t="s">
        <v>292</v>
      </c>
      <c r="I60" s="7" t="s">
        <v>136</v>
      </c>
      <c r="K60" s="7" t="s">
        <v>609</v>
      </c>
      <c r="L60" s="7" t="s">
        <v>139</v>
      </c>
    </row>
    <row r="61" ht="13.5" customHeight="1">
      <c r="A61" s="7">
        <v>48.0</v>
      </c>
      <c r="B61" s="7" t="s">
        <v>7</v>
      </c>
      <c r="C61" s="7" t="s">
        <v>610</v>
      </c>
      <c r="D61" s="7" t="s">
        <v>258</v>
      </c>
      <c r="E61" s="7" t="s">
        <v>135</v>
      </c>
      <c r="F61" s="54" t="s">
        <v>135</v>
      </c>
      <c r="G61" s="7" t="s">
        <v>157</v>
      </c>
      <c r="I61" s="7" t="s">
        <v>136</v>
      </c>
      <c r="K61" s="7" t="s">
        <v>611</v>
      </c>
      <c r="L61" s="7" t="s">
        <v>139</v>
      </c>
    </row>
    <row r="62" ht="13.5" customHeight="1">
      <c r="A62" s="7">
        <v>201.0</v>
      </c>
      <c r="B62" s="7" t="s">
        <v>7</v>
      </c>
      <c r="C62" s="7" t="s">
        <v>610</v>
      </c>
      <c r="D62" s="7" t="s">
        <v>258</v>
      </c>
      <c r="E62" s="7" t="s">
        <v>135</v>
      </c>
      <c r="F62" s="54" t="s">
        <v>135</v>
      </c>
      <c r="G62" s="7" t="s">
        <v>157</v>
      </c>
      <c r="I62" s="7" t="s">
        <v>136</v>
      </c>
      <c r="K62" s="7" t="s">
        <v>612</v>
      </c>
      <c r="L62" s="7" t="s">
        <v>139</v>
      </c>
    </row>
    <row r="63" ht="13.5" customHeight="1">
      <c r="A63" s="7">
        <v>173.0</v>
      </c>
      <c r="B63" s="7" t="s">
        <v>7</v>
      </c>
      <c r="C63" s="7" t="s">
        <v>453</v>
      </c>
      <c r="D63" s="7" t="s">
        <v>248</v>
      </c>
      <c r="E63" s="7" t="s">
        <v>135</v>
      </c>
      <c r="F63" s="7" t="s">
        <v>136</v>
      </c>
      <c r="G63" s="7" t="s">
        <v>613</v>
      </c>
      <c r="I63" s="7" t="s">
        <v>136</v>
      </c>
      <c r="K63" s="7" t="s">
        <v>614</v>
      </c>
      <c r="L63" s="7" t="s">
        <v>139</v>
      </c>
    </row>
    <row r="64" ht="13.5" customHeight="1">
      <c r="A64" s="7">
        <v>154.0</v>
      </c>
      <c r="B64" s="7" t="s">
        <v>6</v>
      </c>
      <c r="C64" s="7" t="s">
        <v>615</v>
      </c>
      <c r="D64" s="7" t="s">
        <v>239</v>
      </c>
      <c r="E64" s="7" t="s">
        <v>136</v>
      </c>
      <c r="F64" s="7" t="s">
        <v>136</v>
      </c>
      <c r="G64" s="7" t="s">
        <v>157</v>
      </c>
      <c r="I64" s="7" t="s">
        <v>136</v>
      </c>
      <c r="K64" s="7" t="s">
        <v>616</v>
      </c>
      <c r="L64" s="7" t="s">
        <v>139</v>
      </c>
    </row>
    <row r="65" ht="13.5" customHeight="1">
      <c r="A65" s="7">
        <v>136.0</v>
      </c>
      <c r="B65" s="7" t="s">
        <v>6</v>
      </c>
      <c r="C65" s="7" t="s">
        <v>617</v>
      </c>
      <c r="D65" s="7" t="s">
        <v>290</v>
      </c>
      <c r="E65" s="7" t="s">
        <v>136</v>
      </c>
      <c r="F65" s="54" t="s">
        <v>135</v>
      </c>
      <c r="G65" s="7" t="s">
        <v>618</v>
      </c>
      <c r="H65" s="7" t="s">
        <v>619</v>
      </c>
      <c r="I65" s="7" t="s">
        <v>136</v>
      </c>
      <c r="K65" s="7" t="s">
        <v>620</v>
      </c>
      <c r="L65" s="7" t="s">
        <v>139</v>
      </c>
    </row>
    <row r="66" ht="13.5" customHeight="1">
      <c r="A66" s="7">
        <v>108.0</v>
      </c>
      <c r="B66" s="7" t="s">
        <v>6</v>
      </c>
      <c r="C66" s="7" t="s">
        <v>621</v>
      </c>
      <c r="D66" s="7" t="s">
        <v>296</v>
      </c>
      <c r="E66" s="7" t="s">
        <v>136</v>
      </c>
      <c r="F66" s="7" t="s">
        <v>136</v>
      </c>
      <c r="G66" s="7" t="s">
        <v>596</v>
      </c>
      <c r="I66" s="7" t="s">
        <v>136</v>
      </c>
      <c r="K66" s="7" t="s">
        <v>622</v>
      </c>
      <c r="L66" s="7" t="s">
        <v>139</v>
      </c>
    </row>
    <row r="67" ht="13.5" customHeight="1">
      <c r="A67" s="7">
        <v>117.0</v>
      </c>
      <c r="B67" s="7" t="s">
        <v>6</v>
      </c>
      <c r="C67" s="7" t="s">
        <v>623</v>
      </c>
      <c r="D67" s="7" t="s">
        <v>143</v>
      </c>
      <c r="E67" s="7" t="s">
        <v>135</v>
      </c>
      <c r="F67" s="7" t="s">
        <v>136</v>
      </c>
      <c r="G67" s="7" t="s">
        <v>606</v>
      </c>
      <c r="I67" s="7" t="s">
        <v>136</v>
      </c>
      <c r="K67" s="7" t="s">
        <v>624</v>
      </c>
      <c r="L67" s="7" t="s">
        <v>139</v>
      </c>
    </row>
    <row r="68" ht="13.5" customHeight="1">
      <c r="A68" s="7">
        <v>196.0</v>
      </c>
      <c r="B68" s="7" t="s">
        <v>7</v>
      </c>
      <c r="C68" s="7" t="s">
        <v>243</v>
      </c>
      <c r="D68" s="7" t="s">
        <v>243</v>
      </c>
      <c r="E68" s="7" t="s">
        <v>135</v>
      </c>
      <c r="F68" s="54" t="s">
        <v>135</v>
      </c>
      <c r="G68" s="7" t="s">
        <v>185</v>
      </c>
      <c r="I68" s="7" t="s">
        <v>135</v>
      </c>
      <c r="K68" s="7" t="s">
        <v>625</v>
      </c>
      <c r="L68" s="7" t="s">
        <v>139</v>
      </c>
    </row>
    <row r="69" ht="13.5" customHeight="1">
      <c r="A69" s="7">
        <v>130.0</v>
      </c>
      <c r="B69" s="7" t="s">
        <v>6</v>
      </c>
      <c r="C69" s="7" t="s">
        <v>557</v>
      </c>
      <c r="D69" s="7" t="s">
        <v>318</v>
      </c>
      <c r="E69" s="7" t="s">
        <v>135</v>
      </c>
      <c r="F69" s="7" t="s">
        <v>136</v>
      </c>
      <c r="G69" s="7" t="s">
        <v>191</v>
      </c>
      <c r="H69" s="7" t="s">
        <v>626</v>
      </c>
      <c r="I69" s="7" t="s">
        <v>136</v>
      </c>
      <c r="K69" s="7" t="s">
        <v>627</v>
      </c>
      <c r="L69" s="7" t="s">
        <v>139</v>
      </c>
    </row>
    <row r="70" ht="13.5" customHeight="1">
      <c r="A70" s="7">
        <v>155.0</v>
      </c>
      <c r="B70" s="7" t="s">
        <v>6</v>
      </c>
      <c r="C70" s="7" t="s">
        <v>628</v>
      </c>
      <c r="D70" s="7" t="s">
        <v>243</v>
      </c>
      <c r="E70" s="7" t="s">
        <v>135</v>
      </c>
      <c r="F70" s="7" t="s">
        <v>136</v>
      </c>
      <c r="G70" s="7" t="s">
        <v>157</v>
      </c>
      <c r="I70" s="7" t="s">
        <v>136</v>
      </c>
      <c r="K70" s="7" t="s">
        <v>629</v>
      </c>
      <c r="L70" s="7" t="s">
        <v>139</v>
      </c>
    </row>
    <row r="71" ht="13.5" customHeight="1">
      <c r="A71" s="7">
        <v>236.0</v>
      </c>
      <c r="B71" s="7" t="s">
        <v>7</v>
      </c>
      <c r="C71" s="7" t="s">
        <v>630</v>
      </c>
      <c r="D71" s="7" t="s">
        <v>243</v>
      </c>
      <c r="E71" s="7" t="s">
        <v>135</v>
      </c>
      <c r="F71" s="7" t="s">
        <v>136</v>
      </c>
      <c r="G71" s="7" t="s">
        <v>180</v>
      </c>
      <c r="H71" s="7" t="s">
        <v>631</v>
      </c>
      <c r="I71" s="7" t="s">
        <v>136</v>
      </c>
      <c r="K71" s="7" t="s">
        <v>632</v>
      </c>
      <c r="L71" s="7" t="s">
        <v>139</v>
      </c>
    </row>
    <row r="72" ht="13.5" customHeight="1">
      <c r="A72" s="7">
        <v>23.0</v>
      </c>
      <c r="B72" s="7" t="s">
        <v>7</v>
      </c>
      <c r="C72" s="7" t="s">
        <v>633</v>
      </c>
      <c r="D72" s="7" t="s">
        <v>164</v>
      </c>
      <c r="E72" s="7" t="s">
        <v>135</v>
      </c>
      <c r="F72" s="7" t="s">
        <v>136</v>
      </c>
      <c r="G72" s="7" t="s">
        <v>137</v>
      </c>
      <c r="H72" s="7" t="s">
        <v>634</v>
      </c>
      <c r="I72" s="7" t="s">
        <v>136</v>
      </c>
      <c r="K72" s="7" t="s">
        <v>635</v>
      </c>
      <c r="L72" s="7" t="s">
        <v>139</v>
      </c>
    </row>
    <row r="73" ht="13.5" customHeight="1">
      <c r="A73" s="7">
        <v>58.0</v>
      </c>
      <c r="B73" s="7" t="s">
        <v>6</v>
      </c>
      <c r="C73" s="7" t="s">
        <v>636</v>
      </c>
      <c r="D73" s="7" t="s">
        <v>263</v>
      </c>
      <c r="E73" s="7" t="s">
        <v>136</v>
      </c>
      <c r="F73" s="7" t="s">
        <v>136</v>
      </c>
      <c r="G73" s="7" t="s">
        <v>271</v>
      </c>
      <c r="I73" s="7" t="s">
        <v>136</v>
      </c>
      <c r="K73" s="7" t="s">
        <v>637</v>
      </c>
      <c r="L73" s="7" t="s">
        <v>139</v>
      </c>
    </row>
    <row r="74" ht="13.5" customHeight="1">
      <c r="A74" s="7">
        <v>198.0</v>
      </c>
      <c r="B74" s="7" t="s">
        <v>7</v>
      </c>
      <c r="C74" s="7" t="s">
        <v>515</v>
      </c>
      <c r="D74" s="7" t="s">
        <v>193</v>
      </c>
      <c r="E74" s="7" t="s">
        <v>136</v>
      </c>
      <c r="F74" s="7" t="s">
        <v>136</v>
      </c>
      <c r="G74" s="7" t="s">
        <v>335</v>
      </c>
      <c r="I74" s="7" t="s">
        <v>136</v>
      </c>
      <c r="K74" s="7" t="s">
        <v>638</v>
      </c>
      <c r="L74" s="7" t="s">
        <v>139</v>
      </c>
    </row>
    <row r="75" ht="13.5" customHeight="1">
      <c r="A75" s="7">
        <v>97.0</v>
      </c>
      <c r="B75" s="7" t="s">
        <v>7</v>
      </c>
      <c r="C75" s="7" t="s">
        <v>639</v>
      </c>
      <c r="D75" s="7" t="s">
        <v>244</v>
      </c>
      <c r="E75" s="7" t="s">
        <v>135</v>
      </c>
      <c r="F75" s="7" t="s">
        <v>136</v>
      </c>
      <c r="G75" s="7" t="s">
        <v>168</v>
      </c>
      <c r="I75" s="7" t="s">
        <v>136</v>
      </c>
      <c r="K75" s="7" t="s">
        <v>640</v>
      </c>
      <c r="L75" s="7" t="s">
        <v>139</v>
      </c>
    </row>
    <row r="76" ht="13.5" customHeight="1">
      <c r="A76" s="7">
        <v>193.0</v>
      </c>
      <c r="B76" s="7" t="s">
        <v>6</v>
      </c>
      <c r="C76" s="7" t="s">
        <v>641</v>
      </c>
      <c r="D76" s="7" t="s">
        <v>218</v>
      </c>
      <c r="E76" s="7" t="s">
        <v>135</v>
      </c>
      <c r="F76" s="7" t="s">
        <v>136</v>
      </c>
      <c r="G76" s="7" t="s">
        <v>642</v>
      </c>
      <c r="I76" s="7" t="s">
        <v>136</v>
      </c>
      <c r="K76" s="7" t="s">
        <v>643</v>
      </c>
      <c r="L76" s="7" t="s">
        <v>139</v>
      </c>
    </row>
    <row r="77" ht="13.5" customHeight="1">
      <c r="A77" s="7">
        <v>95.0</v>
      </c>
      <c r="B77" s="7" t="s">
        <v>6</v>
      </c>
      <c r="C77" s="7" t="s">
        <v>644</v>
      </c>
      <c r="D77" s="7" t="s">
        <v>193</v>
      </c>
      <c r="E77" s="7" t="s">
        <v>135</v>
      </c>
      <c r="F77" s="7" t="s">
        <v>136</v>
      </c>
      <c r="G77" s="7" t="s">
        <v>157</v>
      </c>
      <c r="I77" s="7" t="s">
        <v>136</v>
      </c>
      <c r="K77" s="7" t="s">
        <v>645</v>
      </c>
      <c r="L77" s="7" t="s">
        <v>139</v>
      </c>
    </row>
    <row r="78" ht="13.5" customHeight="1">
      <c r="A78" s="7">
        <v>66.0</v>
      </c>
      <c r="B78" s="7" t="s">
        <v>6</v>
      </c>
      <c r="C78" s="7" t="s">
        <v>646</v>
      </c>
      <c r="D78" s="7" t="s">
        <v>229</v>
      </c>
      <c r="E78" s="7" t="s">
        <v>135</v>
      </c>
      <c r="F78" s="7" t="s">
        <v>135</v>
      </c>
      <c r="G78" s="7" t="s">
        <v>157</v>
      </c>
      <c r="H78" s="7" t="s">
        <v>647</v>
      </c>
      <c r="I78" s="7" t="s">
        <v>136</v>
      </c>
      <c r="K78" s="7" t="s">
        <v>648</v>
      </c>
      <c r="L78" s="7" t="s">
        <v>139</v>
      </c>
    </row>
    <row r="79" ht="13.5" customHeight="1">
      <c r="A79" s="7">
        <v>67.0</v>
      </c>
      <c r="B79" s="7" t="s">
        <v>6</v>
      </c>
      <c r="C79" s="7" t="s">
        <v>649</v>
      </c>
      <c r="D79" s="7" t="s">
        <v>214</v>
      </c>
      <c r="E79" s="7" t="s">
        <v>135</v>
      </c>
      <c r="F79" s="7" t="s">
        <v>136</v>
      </c>
      <c r="G79" s="7" t="s">
        <v>650</v>
      </c>
      <c r="I79" s="7" t="s">
        <v>136</v>
      </c>
      <c r="K79" s="7" t="s">
        <v>651</v>
      </c>
      <c r="L79" s="7" t="s">
        <v>139</v>
      </c>
    </row>
    <row r="80" ht="13.5" customHeight="1">
      <c r="A80" s="7">
        <v>128.0</v>
      </c>
      <c r="B80" s="7" t="s">
        <v>6</v>
      </c>
      <c r="C80" s="7" t="s">
        <v>652</v>
      </c>
      <c r="D80" s="7" t="s">
        <v>143</v>
      </c>
      <c r="E80" s="7" t="s">
        <v>135</v>
      </c>
      <c r="F80" s="7" t="s">
        <v>136</v>
      </c>
      <c r="G80" s="7" t="s">
        <v>157</v>
      </c>
      <c r="I80" s="7" t="s">
        <v>136</v>
      </c>
      <c r="K80" s="7" t="s">
        <v>653</v>
      </c>
      <c r="L80" s="7" t="s">
        <v>139</v>
      </c>
    </row>
    <row r="81" ht="13.5" customHeight="1">
      <c r="A81" s="7">
        <v>230.0</v>
      </c>
      <c r="B81" s="7" t="s">
        <v>6</v>
      </c>
      <c r="C81" s="7" t="s">
        <v>654</v>
      </c>
      <c r="D81" s="7" t="s">
        <v>285</v>
      </c>
      <c r="E81" s="7" t="s">
        <v>135</v>
      </c>
      <c r="F81" s="7" t="s">
        <v>136</v>
      </c>
      <c r="G81" s="7" t="s">
        <v>594</v>
      </c>
      <c r="H81" s="7" t="s">
        <v>655</v>
      </c>
      <c r="I81" s="7" t="s">
        <v>136</v>
      </c>
      <c r="K81" s="7" t="s">
        <v>656</v>
      </c>
      <c r="L81" s="7" t="s">
        <v>139</v>
      </c>
    </row>
    <row r="82" ht="13.5" customHeight="1">
      <c r="A82" s="7">
        <v>233.0</v>
      </c>
      <c r="B82" s="7" t="s">
        <v>7</v>
      </c>
      <c r="C82" s="7" t="s">
        <v>200</v>
      </c>
      <c r="D82" s="7" t="s">
        <v>143</v>
      </c>
      <c r="E82" s="7" t="s">
        <v>135</v>
      </c>
      <c r="F82" s="7" t="s">
        <v>136</v>
      </c>
      <c r="G82" s="7" t="s">
        <v>596</v>
      </c>
      <c r="I82" s="7" t="s">
        <v>136</v>
      </c>
      <c r="K82" s="7" t="s">
        <v>657</v>
      </c>
      <c r="L82" s="7" t="s">
        <v>139</v>
      </c>
    </row>
    <row r="83" ht="13.5" customHeight="1">
      <c r="A83" s="7">
        <v>78.0</v>
      </c>
      <c r="B83" s="7" t="s">
        <v>7</v>
      </c>
      <c r="C83" s="7" t="s">
        <v>515</v>
      </c>
      <c r="D83" s="7" t="s">
        <v>193</v>
      </c>
      <c r="E83" s="7" t="s">
        <v>136</v>
      </c>
      <c r="F83" s="7" t="s">
        <v>135</v>
      </c>
      <c r="G83" s="7" t="s">
        <v>157</v>
      </c>
      <c r="H83" s="7" t="s">
        <v>658</v>
      </c>
      <c r="I83" s="7" t="s">
        <v>136</v>
      </c>
      <c r="K83" s="7" t="s">
        <v>659</v>
      </c>
      <c r="L83" s="7" t="s">
        <v>139</v>
      </c>
    </row>
    <row r="84" ht="13.5" customHeight="1">
      <c r="A84" s="7">
        <v>35.0</v>
      </c>
      <c r="B84" s="7" t="s">
        <v>6</v>
      </c>
      <c r="C84" s="7" t="s">
        <v>515</v>
      </c>
      <c r="D84" s="7" t="s">
        <v>193</v>
      </c>
      <c r="E84" s="7" t="s">
        <v>135</v>
      </c>
      <c r="F84" s="7" t="s">
        <v>136</v>
      </c>
      <c r="G84" s="7" t="s">
        <v>157</v>
      </c>
      <c r="H84" s="7" t="s">
        <v>660</v>
      </c>
      <c r="I84" s="7" t="s">
        <v>136</v>
      </c>
      <c r="K84" s="7" t="s">
        <v>661</v>
      </c>
      <c r="L84" s="7" t="s">
        <v>139</v>
      </c>
    </row>
    <row r="85" ht="13.5" customHeight="1">
      <c r="A85" s="7">
        <v>126.0</v>
      </c>
      <c r="B85" s="7" t="s">
        <v>6</v>
      </c>
      <c r="C85" s="7" t="s">
        <v>602</v>
      </c>
      <c r="D85" s="7" t="s">
        <v>341</v>
      </c>
      <c r="E85" s="7" t="s">
        <v>135</v>
      </c>
      <c r="F85" s="7" t="s">
        <v>136</v>
      </c>
      <c r="G85" s="7" t="s">
        <v>271</v>
      </c>
      <c r="I85" s="7" t="s">
        <v>136</v>
      </c>
      <c r="K85" s="7" t="s">
        <v>662</v>
      </c>
      <c r="L85" s="7" t="s">
        <v>139</v>
      </c>
    </row>
    <row r="86" ht="13.5" customHeight="1">
      <c r="A86" s="7">
        <v>55.0</v>
      </c>
      <c r="B86" s="7" t="s">
        <v>6</v>
      </c>
      <c r="C86" s="7" t="s">
        <v>484</v>
      </c>
      <c r="D86" s="7" t="s">
        <v>263</v>
      </c>
      <c r="E86" s="7" t="s">
        <v>135</v>
      </c>
      <c r="F86" s="7" t="s">
        <v>136</v>
      </c>
      <c r="G86" s="7" t="s">
        <v>663</v>
      </c>
      <c r="H86" s="7" t="s">
        <v>664</v>
      </c>
      <c r="I86" s="7" t="s">
        <v>136</v>
      </c>
      <c r="K86" s="7" t="s">
        <v>665</v>
      </c>
      <c r="L86" s="7" t="s">
        <v>139</v>
      </c>
    </row>
    <row r="87" ht="13.5" customHeight="1">
      <c r="A87" s="7">
        <v>15.0</v>
      </c>
      <c r="B87" s="7" t="s">
        <v>6</v>
      </c>
      <c r="C87" s="7" t="s">
        <v>270</v>
      </c>
      <c r="D87" s="7" t="s">
        <v>134</v>
      </c>
      <c r="E87" s="7" t="s">
        <v>135</v>
      </c>
      <c r="F87" s="7" t="s">
        <v>136</v>
      </c>
      <c r="G87" s="7" t="s">
        <v>271</v>
      </c>
      <c r="I87" s="7" t="s">
        <v>136</v>
      </c>
      <c r="K87" s="7" t="s">
        <v>666</v>
      </c>
      <c r="L87" s="7" t="s">
        <v>139</v>
      </c>
    </row>
    <row r="88" ht="13.5" customHeight="1">
      <c r="A88" s="7">
        <v>33.0</v>
      </c>
      <c r="B88" s="7" t="s">
        <v>7</v>
      </c>
      <c r="C88" s="7" t="s">
        <v>276</v>
      </c>
      <c r="D88" s="7" t="s">
        <v>218</v>
      </c>
      <c r="E88" s="7" t="s">
        <v>135</v>
      </c>
      <c r="F88" s="7" t="s">
        <v>136</v>
      </c>
      <c r="G88" s="7" t="s">
        <v>221</v>
      </c>
      <c r="I88" s="7" t="s">
        <v>136</v>
      </c>
      <c r="K88" s="7" t="s">
        <v>667</v>
      </c>
      <c r="L88" s="7" t="s">
        <v>139</v>
      </c>
    </row>
    <row r="89" ht="13.5" customHeight="1">
      <c r="A89" s="7">
        <v>171.0</v>
      </c>
      <c r="B89" s="7" t="s">
        <v>6</v>
      </c>
      <c r="C89" s="7" t="s">
        <v>668</v>
      </c>
      <c r="D89" s="7" t="s">
        <v>143</v>
      </c>
      <c r="E89" s="7" t="s">
        <v>135</v>
      </c>
      <c r="F89" s="7" t="s">
        <v>136</v>
      </c>
      <c r="G89" s="7" t="s">
        <v>157</v>
      </c>
      <c r="I89" s="7" t="s">
        <v>136</v>
      </c>
      <c r="K89" s="7" t="s">
        <v>669</v>
      </c>
      <c r="L89" s="7" t="s">
        <v>139</v>
      </c>
    </row>
    <row r="90" ht="13.5" customHeight="1">
      <c r="A90" s="7">
        <v>86.0</v>
      </c>
      <c r="B90" s="7" t="s">
        <v>7</v>
      </c>
      <c r="C90" s="7" t="s">
        <v>670</v>
      </c>
      <c r="D90" s="7" t="s">
        <v>193</v>
      </c>
      <c r="E90" s="7" t="s">
        <v>135</v>
      </c>
      <c r="F90" s="7" t="s">
        <v>136</v>
      </c>
      <c r="G90" s="7" t="s">
        <v>671</v>
      </c>
      <c r="H90" s="7" t="s">
        <v>672</v>
      </c>
      <c r="I90" s="7" t="s">
        <v>136</v>
      </c>
      <c r="K90" s="7" t="s">
        <v>673</v>
      </c>
      <c r="L90" s="7" t="s">
        <v>139</v>
      </c>
    </row>
    <row r="91" ht="13.5" customHeight="1">
      <c r="A91" s="7">
        <v>150.0</v>
      </c>
      <c r="B91" s="7" t="s">
        <v>7</v>
      </c>
      <c r="C91" s="7" t="s">
        <v>674</v>
      </c>
      <c r="D91" s="7" t="s">
        <v>153</v>
      </c>
      <c r="E91" s="7" t="s">
        <v>135</v>
      </c>
      <c r="F91" s="7" t="s">
        <v>136</v>
      </c>
      <c r="G91" s="7" t="s">
        <v>157</v>
      </c>
      <c r="H91" s="7" t="s">
        <v>675</v>
      </c>
      <c r="I91" s="7" t="s">
        <v>136</v>
      </c>
      <c r="K91" s="7" t="s">
        <v>676</v>
      </c>
      <c r="L91" s="7" t="s">
        <v>139</v>
      </c>
    </row>
    <row r="92" ht="13.5" customHeight="1">
      <c r="A92" s="7">
        <v>107.0</v>
      </c>
      <c r="B92" s="7" t="s">
        <v>6</v>
      </c>
      <c r="C92" s="7" t="s">
        <v>677</v>
      </c>
      <c r="D92" s="7" t="s">
        <v>290</v>
      </c>
      <c r="E92" s="7" t="s">
        <v>135</v>
      </c>
      <c r="F92" s="54" t="s">
        <v>135</v>
      </c>
      <c r="G92" s="7" t="s">
        <v>678</v>
      </c>
      <c r="H92" s="7" t="s">
        <v>658</v>
      </c>
      <c r="I92" s="7" t="s">
        <v>136</v>
      </c>
      <c r="K92" s="7" t="s">
        <v>679</v>
      </c>
      <c r="L92" s="7" t="s">
        <v>139</v>
      </c>
    </row>
    <row r="93" ht="13.5" customHeight="1">
      <c r="A93" s="7">
        <v>49.0</v>
      </c>
      <c r="B93" s="7" t="s">
        <v>6</v>
      </c>
      <c r="C93" s="7" t="s">
        <v>680</v>
      </c>
      <c r="D93" s="7" t="s">
        <v>193</v>
      </c>
      <c r="E93" s="7" t="s">
        <v>135</v>
      </c>
      <c r="F93" s="54" t="s">
        <v>135</v>
      </c>
      <c r="G93" s="7" t="s">
        <v>157</v>
      </c>
      <c r="I93" s="7" t="s">
        <v>136</v>
      </c>
      <c r="K93" s="7" t="s">
        <v>681</v>
      </c>
      <c r="L93" s="7" t="s">
        <v>139</v>
      </c>
    </row>
    <row r="94" ht="13.5" customHeight="1">
      <c r="A94" s="7">
        <v>146.0</v>
      </c>
      <c r="B94" s="7" t="s">
        <v>6</v>
      </c>
      <c r="C94" s="7" t="s">
        <v>682</v>
      </c>
      <c r="D94" s="7" t="s">
        <v>263</v>
      </c>
      <c r="E94" s="7" t="s">
        <v>135</v>
      </c>
      <c r="F94" s="7" t="s">
        <v>136</v>
      </c>
      <c r="G94" s="7" t="s">
        <v>157</v>
      </c>
      <c r="I94" s="7" t="s">
        <v>136</v>
      </c>
      <c r="K94" s="7" t="s">
        <v>683</v>
      </c>
      <c r="L94" s="7" t="s">
        <v>139</v>
      </c>
    </row>
    <row r="95" ht="13.5" customHeight="1">
      <c r="A95" s="7">
        <v>211.0</v>
      </c>
      <c r="B95" s="7" t="s">
        <v>6</v>
      </c>
      <c r="C95" s="7" t="s">
        <v>684</v>
      </c>
      <c r="D95" s="7" t="s">
        <v>193</v>
      </c>
      <c r="E95" s="7" t="s">
        <v>135</v>
      </c>
      <c r="F95" s="7" t="s">
        <v>136</v>
      </c>
      <c r="G95" s="7" t="s">
        <v>150</v>
      </c>
      <c r="H95" s="142" t="s">
        <v>685</v>
      </c>
      <c r="I95" s="7" t="s">
        <v>136</v>
      </c>
      <c r="K95" s="7" t="s">
        <v>686</v>
      </c>
      <c r="L95" s="7" t="s">
        <v>139</v>
      </c>
    </row>
    <row r="96" ht="13.5" customHeight="1">
      <c r="A96" s="7">
        <v>60.0</v>
      </c>
      <c r="B96" s="7" t="s">
        <v>6</v>
      </c>
      <c r="C96" s="7" t="s">
        <v>687</v>
      </c>
      <c r="D96" s="7" t="s">
        <v>263</v>
      </c>
      <c r="E96" s="7" t="s">
        <v>136</v>
      </c>
      <c r="F96" s="7" t="s">
        <v>136</v>
      </c>
      <c r="G96" s="7" t="s">
        <v>479</v>
      </c>
      <c r="I96" s="7" t="s">
        <v>136</v>
      </c>
      <c r="K96" s="7" t="s">
        <v>688</v>
      </c>
      <c r="L96" s="7" t="s">
        <v>139</v>
      </c>
    </row>
    <row r="97" ht="13.5" customHeight="1">
      <c r="A97" s="7">
        <v>41.0</v>
      </c>
      <c r="B97" s="7" t="s">
        <v>6</v>
      </c>
      <c r="C97" s="7" t="s">
        <v>689</v>
      </c>
      <c r="D97" s="7" t="s">
        <v>134</v>
      </c>
      <c r="E97" s="7" t="s">
        <v>135</v>
      </c>
      <c r="F97" s="7" t="s">
        <v>136</v>
      </c>
      <c r="G97" s="7" t="s">
        <v>271</v>
      </c>
      <c r="I97" s="7" t="s">
        <v>136</v>
      </c>
      <c r="K97" s="7" t="s">
        <v>690</v>
      </c>
      <c r="L97" s="7" t="s">
        <v>139</v>
      </c>
    </row>
    <row r="98" ht="13.5" customHeight="1">
      <c r="A98" s="7">
        <v>141.0</v>
      </c>
      <c r="B98" s="7" t="s">
        <v>6</v>
      </c>
      <c r="C98" s="7" t="s">
        <v>691</v>
      </c>
      <c r="D98" s="7" t="s">
        <v>193</v>
      </c>
      <c r="E98" s="7" t="s">
        <v>136</v>
      </c>
      <c r="F98" s="54" t="s">
        <v>135</v>
      </c>
      <c r="G98" s="7" t="s">
        <v>271</v>
      </c>
      <c r="I98" s="7" t="s">
        <v>136</v>
      </c>
      <c r="K98" s="7" t="s">
        <v>692</v>
      </c>
      <c r="L98" s="7" t="s">
        <v>139</v>
      </c>
    </row>
    <row r="99" ht="13.5" customHeight="1">
      <c r="A99" s="7">
        <v>79.0</v>
      </c>
      <c r="B99" s="7" t="s">
        <v>7</v>
      </c>
      <c r="C99" s="7" t="s">
        <v>693</v>
      </c>
      <c r="D99" s="7" t="s">
        <v>193</v>
      </c>
      <c r="E99" s="7" t="s">
        <v>135</v>
      </c>
      <c r="F99" s="7" t="s">
        <v>136</v>
      </c>
      <c r="G99" s="7" t="s">
        <v>185</v>
      </c>
      <c r="H99" s="7" t="s">
        <v>694</v>
      </c>
      <c r="I99" s="7" t="s">
        <v>136</v>
      </c>
      <c r="K99" s="7" t="s">
        <v>695</v>
      </c>
      <c r="L99" s="7" t="s">
        <v>139</v>
      </c>
    </row>
    <row r="100" ht="13.5" customHeight="1">
      <c r="A100" s="7">
        <v>88.0</v>
      </c>
      <c r="B100" s="7" t="s">
        <v>7</v>
      </c>
      <c r="C100" s="7" t="s">
        <v>696</v>
      </c>
      <c r="D100" s="7" t="s">
        <v>263</v>
      </c>
      <c r="E100" s="7" t="s">
        <v>135</v>
      </c>
      <c r="F100" s="7" t="s">
        <v>136</v>
      </c>
      <c r="G100" s="7" t="s">
        <v>185</v>
      </c>
      <c r="H100" s="142" t="s">
        <v>697</v>
      </c>
      <c r="I100" s="7" t="s">
        <v>136</v>
      </c>
      <c r="K100" s="7" t="s">
        <v>698</v>
      </c>
      <c r="L100" s="7" t="s">
        <v>139</v>
      </c>
    </row>
    <row r="101" ht="13.5" customHeight="1">
      <c r="A101" s="7">
        <v>159.0</v>
      </c>
      <c r="B101" s="7" t="s">
        <v>6</v>
      </c>
      <c r="C101" s="7" t="s">
        <v>699</v>
      </c>
      <c r="D101" s="7" t="s">
        <v>290</v>
      </c>
      <c r="E101" s="7" t="s">
        <v>135</v>
      </c>
      <c r="F101" s="7" t="s">
        <v>136</v>
      </c>
      <c r="G101" s="7" t="s">
        <v>599</v>
      </c>
      <c r="H101" s="7" t="s">
        <v>700</v>
      </c>
      <c r="I101" s="7" t="s">
        <v>136</v>
      </c>
      <c r="K101" s="7" t="s">
        <v>701</v>
      </c>
      <c r="L101" s="7" t="s">
        <v>139</v>
      </c>
    </row>
    <row r="102" ht="13.5" customHeight="1">
      <c r="A102" s="7">
        <v>29.0</v>
      </c>
      <c r="B102" s="7" t="s">
        <v>7</v>
      </c>
      <c r="C102" s="7" t="s">
        <v>702</v>
      </c>
      <c r="D102" s="7" t="s">
        <v>193</v>
      </c>
      <c r="E102" s="7" t="s">
        <v>135</v>
      </c>
      <c r="F102" s="54" t="s">
        <v>135</v>
      </c>
      <c r="G102" s="142" t="s">
        <v>454</v>
      </c>
      <c r="I102" s="7" t="s">
        <v>136</v>
      </c>
      <c r="K102" s="7" t="s">
        <v>703</v>
      </c>
      <c r="L102" s="7" t="s">
        <v>139</v>
      </c>
    </row>
    <row r="103" ht="13.5" customHeight="1">
      <c r="A103" s="7">
        <v>120.0</v>
      </c>
      <c r="B103" s="7" t="s">
        <v>6</v>
      </c>
      <c r="C103" s="7" t="s">
        <v>704</v>
      </c>
      <c r="D103" s="7" t="s">
        <v>263</v>
      </c>
      <c r="E103" s="7" t="s">
        <v>136</v>
      </c>
      <c r="F103" s="54" t="s">
        <v>135</v>
      </c>
      <c r="G103" s="7" t="s">
        <v>185</v>
      </c>
      <c r="H103" s="142" t="s">
        <v>705</v>
      </c>
      <c r="I103" s="7" t="s">
        <v>136</v>
      </c>
      <c r="K103" s="7" t="s">
        <v>706</v>
      </c>
      <c r="L103" s="7" t="s">
        <v>139</v>
      </c>
    </row>
    <row r="104" ht="13.5" customHeight="1">
      <c r="A104" s="7">
        <v>57.0</v>
      </c>
      <c r="B104" s="7" t="s">
        <v>6</v>
      </c>
      <c r="C104" s="7" t="s">
        <v>707</v>
      </c>
      <c r="D104" s="7" t="s">
        <v>219</v>
      </c>
      <c r="E104" s="7" t="s">
        <v>135</v>
      </c>
      <c r="F104" s="7" t="s">
        <v>136</v>
      </c>
      <c r="G104" s="7" t="s">
        <v>708</v>
      </c>
      <c r="I104" s="7" t="s">
        <v>136</v>
      </c>
      <c r="K104" s="7" t="s">
        <v>709</v>
      </c>
      <c r="L104" s="7" t="s">
        <v>139</v>
      </c>
    </row>
    <row r="105" ht="13.5" customHeight="1">
      <c r="A105" s="7">
        <v>68.0</v>
      </c>
      <c r="B105" s="7" t="s">
        <v>6</v>
      </c>
      <c r="C105" s="7" t="s">
        <v>710</v>
      </c>
      <c r="D105" s="7" t="s">
        <v>290</v>
      </c>
      <c r="E105" s="7" t="s">
        <v>135</v>
      </c>
      <c r="F105" s="54" t="s">
        <v>135</v>
      </c>
      <c r="G105" s="7" t="s">
        <v>191</v>
      </c>
      <c r="H105" s="142" t="s">
        <v>711</v>
      </c>
      <c r="I105" s="7" t="s">
        <v>136</v>
      </c>
      <c r="K105" s="7" t="s">
        <v>712</v>
      </c>
      <c r="L105" s="7" t="s">
        <v>139</v>
      </c>
    </row>
    <row r="106" ht="13.5" customHeight="1">
      <c r="A106" s="7">
        <v>137.0</v>
      </c>
      <c r="B106" s="7" t="s">
        <v>6</v>
      </c>
      <c r="C106" s="7" t="s">
        <v>713</v>
      </c>
      <c r="D106" s="7" t="s">
        <v>290</v>
      </c>
      <c r="E106" s="7" t="s">
        <v>135</v>
      </c>
      <c r="F106" s="54" t="s">
        <v>135</v>
      </c>
      <c r="G106" s="7" t="s">
        <v>191</v>
      </c>
      <c r="I106" s="7" t="s">
        <v>136</v>
      </c>
      <c r="K106" s="7" t="s">
        <v>714</v>
      </c>
      <c r="L106" s="7" t="s">
        <v>139</v>
      </c>
    </row>
    <row r="107" ht="13.5" customHeight="1">
      <c r="A107" s="7">
        <v>231.0</v>
      </c>
      <c r="B107" s="7" t="s">
        <v>7</v>
      </c>
      <c r="C107" s="7" t="s">
        <v>715</v>
      </c>
      <c r="D107" s="7" t="s">
        <v>194</v>
      </c>
      <c r="E107" s="7" t="s">
        <v>136</v>
      </c>
      <c r="F107" s="54" t="s">
        <v>135</v>
      </c>
      <c r="G107" s="7" t="s">
        <v>157</v>
      </c>
      <c r="I107" s="7" t="s">
        <v>136</v>
      </c>
      <c r="K107" s="7" t="s">
        <v>716</v>
      </c>
      <c r="L107" s="7" t="s">
        <v>139</v>
      </c>
    </row>
    <row r="108" ht="13.5" customHeight="1">
      <c r="A108" s="7">
        <v>127.0</v>
      </c>
      <c r="B108" s="7" t="s">
        <v>6</v>
      </c>
      <c r="C108" s="7" t="s">
        <v>717</v>
      </c>
      <c r="D108" s="7" t="s">
        <v>301</v>
      </c>
      <c r="E108" s="7" t="s">
        <v>135</v>
      </c>
      <c r="F108" s="7" t="s">
        <v>136</v>
      </c>
      <c r="G108" s="7" t="s">
        <v>157</v>
      </c>
      <c r="I108" s="7" t="s">
        <v>136</v>
      </c>
      <c r="K108" s="7" t="s">
        <v>718</v>
      </c>
      <c r="L108" s="7" t="s">
        <v>139</v>
      </c>
    </row>
    <row r="109" ht="13.5" customHeight="1">
      <c r="A109" s="7">
        <v>30.0</v>
      </c>
      <c r="B109" s="7" t="s">
        <v>6</v>
      </c>
      <c r="C109" s="7" t="s">
        <v>719</v>
      </c>
      <c r="D109" s="7" t="s">
        <v>143</v>
      </c>
      <c r="E109" s="7" t="s">
        <v>135</v>
      </c>
      <c r="F109" s="7" t="s">
        <v>136</v>
      </c>
      <c r="G109" s="7" t="s">
        <v>271</v>
      </c>
      <c r="I109" s="7" t="s">
        <v>136</v>
      </c>
      <c r="K109" s="7" t="s">
        <v>720</v>
      </c>
      <c r="L109" s="7" t="s">
        <v>139</v>
      </c>
    </row>
    <row r="110" ht="13.5" customHeight="1">
      <c r="A110" s="7">
        <v>93.0</v>
      </c>
      <c r="B110" s="7" t="s">
        <v>6</v>
      </c>
      <c r="C110" s="7" t="s">
        <v>721</v>
      </c>
      <c r="D110" s="7" t="s">
        <v>243</v>
      </c>
      <c r="E110" s="7" t="s">
        <v>136</v>
      </c>
      <c r="F110" s="7" t="s">
        <v>135</v>
      </c>
      <c r="G110" s="7" t="s">
        <v>479</v>
      </c>
      <c r="H110" s="7" t="s">
        <v>722</v>
      </c>
      <c r="I110" s="7" t="s">
        <v>136</v>
      </c>
      <c r="K110" s="7" t="s">
        <v>723</v>
      </c>
      <c r="L110" s="7" t="s">
        <v>139</v>
      </c>
    </row>
    <row r="111" ht="13.5" customHeight="1">
      <c r="A111" s="7">
        <v>83.0</v>
      </c>
      <c r="B111" s="7" t="s">
        <v>6</v>
      </c>
      <c r="C111" s="7" t="s">
        <v>724</v>
      </c>
      <c r="D111" s="7" t="s">
        <v>290</v>
      </c>
      <c r="E111" s="7" t="s">
        <v>135</v>
      </c>
      <c r="F111" s="7" t="s">
        <v>136</v>
      </c>
      <c r="G111" s="7" t="s">
        <v>185</v>
      </c>
      <c r="H111" s="7" t="s">
        <v>725</v>
      </c>
      <c r="I111" s="7" t="s">
        <v>136</v>
      </c>
      <c r="K111" s="7" t="s">
        <v>726</v>
      </c>
      <c r="L111" s="7" t="s">
        <v>139</v>
      </c>
    </row>
    <row r="112" ht="13.5" customHeight="1">
      <c r="A112" s="7">
        <v>47.0</v>
      </c>
      <c r="B112" s="7" t="s">
        <v>6</v>
      </c>
      <c r="C112" s="7" t="s">
        <v>727</v>
      </c>
      <c r="D112" s="7" t="s">
        <v>290</v>
      </c>
      <c r="E112" s="7" t="s">
        <v>135</v>
      </c>
      <c r="F112" s="7" t="s">
        <v>136</v>
      </c>
      <c r="G112" s="7" t="s">
        <v>157</v>
      </c>
      <c r="I112" s="7" t="s">
        <v>136</v>
      </c>
      <c r="K112" s="7" t="s">
        <v>728</v>
      </c>
      <c r="L112" s="7" t="s">
        <v>139</v>
      </c>
    </row>
    <row r="113" ht="13.5" customHeight="1">
      <c r="A113" s="7">
        <v>43.0</v>
      </c>
      <c r="B113" s="7" t="s">
        <v>6</v>
      </c>
      <c r="C113" s="7" t="s">
        <v>729</v>
      </c>
      <c r="D113" s="7" t="s">
        <v>301</v>
      </c>
      <c r="E113" s="7" t="s">
        <v>135</v>
      </c>
      <c r="F113" s="7" t="s">
        <v>135</v>
      </c>
      <c r="G113" s="7" t="s">
        <v>157</v>
      </c>
      <c r="I113" s="7" t="s">
        <v>136</v>
      </c>
      <c r="K113" s="7" t="s">
        <v>730</v>
      </c>
      <c r="L113" s="7" t="s">
        <v>139</v>
      </c>
    </row>
    <row r="114" ht="13.5" customHeight="1">
      <c r="A114" s="7">
        <v>185.0</v>
      </c>
      <c r="B114" s="7" t="s">
        <v>7</v>
      </c>
      <c r="C114" s="7" t="s">
        <v>731</v>
      </c>
      <c r="D114" s="7" t="s">
        <v>219</v>
      </c>
      <c r="E114" s="7" t="s">
        <v>135</v>
      </c>
      <c r="F114" s="7" t="s">
        <v>136</v>
      </c>
      <c r="G114" s="7" t="s">
        <v>732</v>
      </c>
      <c r="I114" s="7" t="s">
        <v>136</v>
      </c>
      <c r="K114" s="7" t="s">
        <v>733</v>
      </c>
      <c r="L114" s="7" t="s">
        <v>139</v>
      </c>
    </row>
    <row r="115" ht="13.5" customHeight="1">
      <c r="A115" s="7">
        <v>192.0</v>
      </c>
      <c r="B115" s="7" t="s">
        <v>6</v>
      </c>
      <c r="C115" s="7" t="s">
        <v>734</v>
      </c>
      <c r="D115" s="7" t="s">
        <v>290</v>
      </c>
      <c r="E115" s="7" t="s">
        <v>135</v>
      </c>
      <c r="F115" s="7" t="s">
        <v>135</v>
      </c>
      <c r="G115" s="7" t="s">
        <v>191</v>
      </c>
      <c r="I115" s="7" t="s">
        <v>136</v>
      </c>
      <c r="K115" s="7" t="s">
        <v>735</v>
      </c>
      <c r="L115" s="7" t="s">
        <v>139</v>
      </c>
    </row>
    <row r="116" ht="13.5" customHeight="1">
      <c r="A116" s="7">
        <v>9.0</v>
      </c>
      <c r="B116" s="7" t="s">
        <v>7</v>
      </c>
      <c r="C116" s="7" t="s">
        <v>235</v>
      </c>
      <c r="D116" s="7" t="s">
        <v>164</v>
      </c>
      <c r="E116" s="7" t="s">
        <v>135</v>
      </c>
      <c r="F116" s="7" t="s">
        <v>136</v>
      </c>
      <c r="G116" s="7" t="s">
        <v>736</v>
      </c>
      <c r="I116" s="7" t="s">
        <v>136</v>
      </c>
      <c r="K116" s="7" t="s">
        <v>737</v>
      </c>
      <c r="L116" s="7" t="s">
        <v>139</v>
      </c>
    </row>
    <row r="117" ht="13.5" customHeight="1">
      <c r="A117" s="7">
        <v>160.0</v>
      </c>
      <c r="B117" s="7" t="s">
        <v>7</v>
      </c>
      <c r="C117" s="7" t="s">
        <v>738</v>
      </c>
      <c r="D117" s="7" t="s">
        <v>219</v>
      </c>
      <c r="E117" s="7" t="s">
        <v>135</v>
      </c>
      <c r="F117" s="7" t="s">
        <v>136</v>
      </c>
      <c r="G117" s="7" t="s">
        <v>606</v>
      </c>
      <c r="I117" s="7" t="s">
        <v>136</v>
      </c>
      <c r="K117" s="7" t="s">
        <v>739</v>
      </c>
      <c r="L117" s="7" t="s">
        <v>139</v>
      </c>
    </row>
    <row r="118" ht="13.5" customHeight="1">
      <c r="A118" s="7">
        <v>111.0</v>
      </c>
      <c r="B118" s="7" t="s">
        <v>6</v>
      </c>
      <c r="C118" s="7" t="s">
        <v>740</v>
      </c>
      <c r="D118" s="7" t="s">
        <v>203</v>
      </c>
      <c r="E118" s="7" t="s">
        <v>135</v>
      </c>
      <c r="F118" s="7" t="s">
        <v>136</v>
      </c>
      <c r="G118" s="7" t="s">
        <v>741</v>
      </c>
      <c r="I118" s="7" t="s">
        <v>136</v>
      </c>
      <c r="K118" s="7" t="s">
        <v>742</v>
      </c>
      <c r="L118" s="7" t="s">
        <v>139</v>
      </c>
    </row>
    <row r="119" ht="13.5" customHeight="1">
      <c r="A119" s="7">
        <v>162.0</v>
      </c>
      <c r="B119" s="7" t="s">
        <v>6</v>
      </c>
      <c r="C119" s="7" t="s">
        <v>536</v>
      </c>
      <c r="D119" s="7" t="s">
        <v>193</v>
      </c>
      <c r="E119" s="7" t="s">
        <v>135</v>
      </c>
      <c r="F119" s="7" t="s">
        <v>136</v>
      </c>
      <c r="G119" s="7" t="s">
        <v>185</v>
      </c>
      <c r="I119" s="7" t="s">
        <v>136</v>
      </c>
      <c r="K119" s="7" t="s">
        <v>743</v>
      </c>
      <c r="L119" s="7" t="s">
        <v>139</v>
      </c>
    </row>
    <row r="120" ht="13.5" customHeight="1">
      <c r="A120" s="7">
        <v>182.0</v>
      </c>
      <c r="B120" s="7" t="s">
        <v>6</v>
      </c>
      <c r="C120" s="7" t="s">
        <v>342</v>
      </c>
      <c r="D120" s="7" t="s">
        <v>218</v>
      </c>
      <c r="E120" s="7" t="s">
        <v>136</v>
      </c>
      <c r="F120" s="7" t="s">
        <v>136</v>
      </c>
      <c r="G120" s="7" t="s">
        <v>479</v>
      </c>
      <c r="H120" s="7" t="s">
        <v>744</v>
      </c>
      <c r="I120" s="7" t="s">
        <v>136</v>
      </c>
      <c r="K120" s="7" t="s">
        <v>745</v>
      </c>
      <c r="L120" s="7" t="s">
        <v>139</v>
      </c>
    </row>
    <row r="121" ht="13.5" customHeight="1">
      <c r="A121" s="7">
        <v>153.0</v>
      </c>
      <c r="B121" s="7" t="s">
        <v>6</v>
      </c>
      <c r="C121" s="7" t="s">
        <v>746</v>
      </c>
      <c r="D121" s="7" t="s">
        <v>239</v>
      </c>
      <c r="E121" s="7" t="s">
        <v>136</v>
      </c>
      <c r="F121" s="7" t="s">
        <v>136</v>
      </c>
      <c r="G121" s="7" t="s">
        <v>157</v>
      </c>
      <c r="H121" s="7" t="s">
        <v>747</v>
      </c>
      <c r="I121" s="7" t="s">
        <v>136</v>
      </c>
      <c r="K121" s="7" t="s">
        <v>748</v>
      </c>
      <c r="L121" s="7" t="s">
        <v>139</v>
      </c>
    </row>
    <row r="122" ht="13.5" customHeight="1">
      <c r="A122" s="7">
        <v>98.0</v>
      </c>
      <c r="B122" s="7" t="s">
        <v>7</v>
      </c>
      <c r="C122" s="7" t="s">
        <v>628</v>
      </c>
      <c r="D122" s="7" t="s">
        <v>243</v>
      </c>
      <c r="E122" s="7" t="s">
        <v>135</v>
      </c>
      <c r="F122" s="7" t="s">
        <v>135</v>
      </c>
      <c r="G122" s="7" t="s">
        <v>157</v>
      </c>
      <c r="I122" s="7" t="s">
        <v>136</v>
      </c>
      <c r="K122" s="7" t="s">
        <v>749</v>
      </c>
      <c r="L122" s="7" t="s">
        <v>139</v>
      </c>
    </row>
    <row r="123" ht="13.5" customHeight="1">
      <c r="A123" s="7">
        <v>181.0</v>
      </c>
      <c r="B123" s="7" t="s">
        <v>7</v>
      </c>
      <c r="C123" s="7" t="s">
        <v>342</v>
      </c>
      <c r="D123" s="7" t="s">
        <v>218</v>
      </c>
      <c r="E123" s="7" t="s">
        <v>136</v>
      </c>
      <c r="F123" s="7" t="s">
        <v>136</v>
      </c>
      <c r="G123" s="7" t="s">
        <v>750</v>
      </c>
      <c r="I123" s="7" t="s">
        <v>136</v>
      </c>
      <c r="K123" s="7" t="s">
        <v>751</v>
      </c>
      <c r="L123" s="7" t="s">
        <v>139</v>
      </c>
    </row>
    <row r="124" ht="13.5" customHeight="1">
      <c r="A124" s="7">
        <v>18.0</v>
      </c>
      <c r="B124" s="7" t="s">
        <v>6</v>
      </c>
      <c r="C124" s="7" t="s">
        <v>356</v>
      </c>
      <c r="D124" s="7" t="s">
        <v>228</v>
      </c>
      <c r="E124" s="7" t="s">
        <v>135</v>
      </c>
      <c r="F124" s="7" t="s">
        <v>136</v>
      </c>
      <c r="G124" s="7" t="s">
        <v>271</v>
      </c>
      <c r="I124" s="7" t="s">
        <v>136</v>
      </c>
      <c r="K124" s="7" t="s">
        <v>752</v>
      </c>
      <c r="L124" s="7" t="s">
        <v>139</v>
      </c>
    </row>
    <row r="125" ht="13.5" customHeight="1">
      <c r="A125" s="7">
        <v>81.0</v>
      </c>
      <c r="B125" s="7" t="s">
        <v>7</v>
      </c>
      <c r="C125" s="7" t="s">
        <v>576</v>
      </c>
      <c r="D125" s="7" t="s">
        <v>244</v>
      </c>
      <c r="E125" s="7" t="s">
        <v>135</v>
      </c>
      <c r="F125" s="7" t="s">
        <v>136</v>
      </c>
      <c r="G125" s="7" t="s">
        <v>185</v>
      </c>
      <c r="H125" s="7" t="s">
        <v>753</v>
      </c>
      <c r="I125" s="7" t="s">
        <v>136</v>
      </c>
      <c r="K125" s="7" t="s">
        <v>754</v>
      </c>
      <c r="L125" s="7" t="s">
        <v>139</v>
      </c>
    </row>
    <row r="126" ht="13.5" customHeight="1">
      <c r="A126" s="7">
        <v>215.0</v>
      </c>
      <c r="B126" s="7" t="s">
        <v>6</v>
      </c>
      <c r="C126" s="7" t="s">
        <v>755</v>
      </c>
      <c r="D126" s="7" t="s">
        <v>143</v>
      </c>
      <c r="E126" s="7" t="s">
        <v>135</v>
      </c>
      <c r="F126" s="7" t="s">
        <v>136</v>
      </c>
      <c r="G126" s="7" t="s">
        <v>157</v>
      </c>
      <c r="I126" s="7" t="s">
        <v>136</v>
      </c>
      <c r="K126" s="7" t="s">
        <v>756</v>
      </c>
      <c r="L126" s="7" t="s">
        <v>139</v>
      </c>
    </row>
    <row r="127" ht="13.5" customHeight="1">
      <c r="A127" s="7">
        <v>73.0</v>
      </c>
      <c r="B127" s="7" t="s">
        <v>7</v>
      </c>
      <c r="C127" s="7" t="s">
        <v>572</v>
      </c>
      <c r="D127" s="7" t="s">
        <v>233</v>
      </c>
      <c r="E127" s="7" t="s">
        <v>135</v>
      </c>
      <c r="F127" s="7" t="s">
        <v>136</v>
      </c>
      <c r="G127" s="7" t="s">
        <v>157</v>
      </c>
      <c r="H127" s="7" t="s">
        <v>757</v>
      </c>
      <c r="I127" s="7" t="s">
        <v>136</v>
      </c>
      <c r="K127" s="7" t="s">
        <v>758</v>
      </c>
      <c r="L127" s="7" t="s">
        <v>139</v>
      </c>
    </row>
    <row r="128" ht="13.5" customHeight="1">
      <c r="A128" s="7">
        <v>50.0</v>
      </c>
      <c r="B128" s="7" t="s">
        <v>6</v>
      </c>
      <c r="C128" s="7" t="s">
        <v>759</v>
      </c>
      <c r="D128" s="7" t="s">
        <v>243</v>
      </c>
      <c r="E128" s="7" t="s">
        <v>135</v>
      </c>
      <c r="F128" s="7" t="s">
        <v>136</v>
      </c>
      <c r="G128" s="7" t="s">
        <v>760</v>
      </c>
      <c r="H128" s="7" t="s">
        <v>761</v>
      </c>
      <c r="I128" s="7" t="s">
        <v>136</v>
      </c>
      <c r="K128" s="7" t="s">
        <v>762</v>
      </c>
      <c r="L128" s="7" t="s">
        <v>139</v>
      </c>
    </row>
    <row r="129" ht="13.5" customHeight="1">
      <c r="A129" s="7">
        <v>234.0</v>
      </c>
      <c r="B129" s="7" t="s">
        <v>6</v>
      </c>
      <c r="C129" s="7" t="s">
        <v>628</v>
      </c>
      <c r="D129" s="7" t="s">
        <v>243</v>
      </c>
      <c r="E129" s="7" t="s">
        <v>135</v>
      </c>
      <c r="F129" s="7" t="s">
        <v>135</v>
      </c>
      <c r="G129" s="7" t="s">
        <v>157</v>
      </c>
      <c r="I129" s="7" t="s">
        <v>136</v>
      </c>
      <c r="K129" s="7" t="s">
        <v>763</v>
      </c>
      <c r="L129" s="7" t="s">
        <v>139</v>
      </c>
    </row>
    <row r="130" ht="13.5" customHeight="1">
      <c r="A130" s="7">
        <v>59.0</v>
      </c>
      <c r="B130" s="7" t="s">
        <v>7</v>
      </c>
      <c r="C130" s="7" t="s">
        <v>764</v>
      </c>
      <c r="D130" s="7" t="s">
        <v>243</v>
      </c>
      <c r="E130" s="7" t="s">
        <v>135</v>
      </c>
      <c r="F130" s="7" t="s">
        <v>136</v>
      </c>
      <c r="G130" s="7" t="s">
        <v>191</v>
      </c>
      <c r="I130" s="7" t="s">
        <v>136</v>
      </c>
      <c r="K130" s="7" t="s">
        <v>765</v>
      </c>
      <c r="L130" s="7" t="s">
        <v>139</v>
      </c>
    </row>
    <row r="131" ht="13.5" customHeight="1">
      <c r="A131" s="7">
        <v>103.0</v>
      </c>
      <c r="B131" s="7" t="s">
        <v>7</v>
      </c>
      <c r="C131" s="7" t="s">
        <v>766</v>
      </c>
      <c r="D131" s="7" t="s">
        <v>244</v>
      </c>
      <c r="E131" s="7" t="s">
        <v>135</v>
      </c>
      <c r="F131" s="7" t="s">
        <v>136</v>
      </c>
      <c r="G131" s="7" t="s">
        <v>767</v>
      </c>
      <c r="I131" s="7" t="s">
        <v>136</v>
      </c>
      <c r="K131" s="7" t="s">
        <v>768</v>
      </c>
      <c r="L131" s="7" t="s">
        <v>139</v>
      </c>
    </row>
    <row r="132" ht="13.5" customHeight="1">
      <c r="A132" s="7">
        <v>214.0</v>
      </c>
      <c r="B132" s="7" t="s">
        <v>6</v>
      </c>
      <c r="C132" s="7" t="s">
        <v>769</v>
      </c>
      <c r="D132" s="7" t="s">
        <v>243</v>
      </c>
      <c r="E132" s="7" t="s">
        <v>135</v>
      </c>
      <c r="F132" s="54" t="s">
        <v>135</v>
      </c>
      <c r="G132" s="7" t="s">
        <v>157</v>
      </c>
      <c r="I132" s="7" t="s">
        <v>136</v>
      </c>
      <c r="K132" s="7" t="s">
        <v>770</v>
      </c>
      <c r="L132" s="7" t="s">
        <v>139</v>
      </c>
    </row>
    <row r="133" ht="13.5" customHeight="1">
      <c r="A133" s="7">
        <v>116.0</v>
      </c>
      <c r="B133" s="7" t="s">
        <v>6</v>
      </c>
      <c r="C133" s="7" t="s">
        <v>771</v>
      </c>
      <c r="D133" s="7" t="s">
        <v>263</v>
      </c>
      <c r="E133" s="7" t="s">
        <v>135</v>
      </c>
      <c r="F133" s="7" t="s">
        <v>136</v>
      </c>
      <c r="G133" s="7" t="s">
        <v>599</v>
      </c>
      <c r="H133" s="142" t="s">
        <v>772</v>
      </c>
      <c r="I133" s="7" t="s">
        <v>136</v>
      </c>
      <c r="K133" s="7" t="s">
        <v>773</v>
      </c>
      <c r="L133" s="7" t="s">
        <v>139</v>
      </c>
    </row>
    <row r="134" ht="13.5" customHeight="1">
      <c r="A134" s="7">
        <v>170.0</v>
      </c>
      <c r="B134" s="7" t="s">
        <v>6</v>
      </c>
      <c r="C134" s="7" t="s">
        <v>774</v>
      </c>
      <c r="D134" s="7" t="s">
        <v>243</v>
      </c>
      <c r="E134" s="7" t="s">
        <v>135</v>
      </c>
      <c r="F134" s="7" t="s">
        <v>136</v>
      </c>
      <c r="G134" s="7" t="s">
        <v>191</v>
      </c>
      <c r="H134" s="7" t="s">
        <v>775</v>
      </c>
      <c r="I134" s="7" t="s">
        <v>136</v>
      </c>
      <c r="K134" s="7" t="s">
        <v>776</v>
      </c>
      <c r="L134" s="7" t="s">
        <v>139</v>
      </c>
    </row>
    <row r="135" ht="13.5" customHeight="1">
      <c r="A135" s="7">
        <v>220.0</v>
      </c>
      <c r="B135" s="7" t="s">
        <v>6</v>
      </c>
      <c r="C135" s="7" t="s">
        <v>777</v>
      </c>
      <c r="D135" s="7" t="s">
        <v>143</v>
      </c>
      <c r="E135" s="7" t="s">
        <v>135</v>
      </c>
      <c r="F135" s="7" t="s">
        <v>136</v>
      </c>
      <c r="G135" s="7" t="s">
        <v>191</v>
      </c>
      <c r="I135" s="7" t="s">
        <v>136</v>
      </c>
      <c r="K135" s="7" t="s">
        <v>778</v>
      </c>
      <c r="L135" s="7" t="s">
        <v>139</v>
      </c>
    </row>
    <row r="136" ht="13.5" customHeight="1">
      <c r="A136" s="7">
        <v>20.0</v>
      </c>
      <c r="B136" s="7" t="s">
        <v>7</v>
      </c>
      <c r="C136" s="7" t="s">
        <v>379</v>
      </c>
      <c r="D136" s="7" t="s">
        <v>202</v>
      </c>
      <c r="E136" s="7" t="s">
        <v>136</v>
      </c>
      <c r="F136" s="7" t="s">
        <v>136</v>
      </c>
      <c r="G136" s="7" t="s">
        <v>221</v>
      </c>
      <c r="I136" s="7" t="s">
        <v>136</v>
      </c>
      <c r="K136" s="7" t="s">
        <v>779</v>
      </c>
      <c r="L136" s="7" t="s">
        <v>139</v>
      </c>
    </row>
    <row r="137" ht="13.5" customHeight="1">
      <c r="A137" s="7">
        <v>140.0</v>
      </c>
      <c r="B137" s="7" t="s">
        <v>6</v>
      </c>
      <c r="C137" s="7" t="s">
        <v>511</v>
      </c>
      <c r="D137" s="7" t="s">
        <v>209</v>
      </c>
      <c r="E137" s="7" t="s">
        <v>135</v>
      </c>
      <c r="F137" s="7" t="s">
        <v>136</v>
      </c>
      <c r="G137" s="7" t="s">
        <v>157</v>
      </c>
      <c r="I137" s="7" t="s">
        <v>136</v>
      </c>
      <c r="K137" s="7" t="s">
        <v>780</v>
      </c>
      <c r="L137" s="7" t="s">
        <v>139</v>
      </c>
    </row>
    <row r="138" ht="13.5" customHeight="1">
      <c r="A138" s="7">
        <v>69.0</v>
      </c>
      <c r="B138" s="7" t="s">
        <v>6</v>
      </c>
      <c r="C138" s="7" t="s">
        <v>755</v>
      </c>
      <c r="D138" s="7" t="s">
        <v>143</v>
      </c>
      <c r="E138" s="7" t="s">
        <v>135</v>
      </c>
      <c r="F138" s="54" t="s">
        <v>135</v>
      </c>
      <c r="G138" s="7" t="s">
        <v>157</v>
      </c>
      <c r="I138" s="7" t="s">
        <v>136</v>
      </c>
      <c r="K138" s="7" t="s">
        <v>781</v>
      </c>
      <c r="L138" s="7" t="s">
        <v>139</v>
      </c>
    </row>
    <row r="139" ht="13.5" customHeight="1">
      <c r="A139" s="7">
        <v>104.0</v>
      </c>
      <c r="B139" s="7" t="s">
        <v>7</v>
      </c>
      <c r="C139" s="7" t="s">
        <v>782</v>
      </c>
      <c r="D139" s="7" t="s">
        <v>194</v>
      </c>
      <c r="E139" s="7" t="s">
        <v>135</v>
      </c>
      <c r="F139" s="54" t="s">
        <v>135</v>
      </c>
      <c r="G139" s="7" t="s">
        <v>157</v>
      </c>
      <c r="I139" s="7" t="s">
        <v>136</v>
      </c>
      <c r="K139" s="7" t="s">
        <v>783</v>
      </c>
      <c r="L139" s="7" t="s">
        <v>139</v>
      </c>
    </row>
    <row r="140" ht="13.5" customHeight="1">
      <c r="A140" s="7">
        <v>218.0</v>
      </c>
      <c r="B140" s="7" t="s">
        <v>7</v>
      </c>
      <c r="C140" s="7" t="s">
        <v>384</v>
      </c>
      <c r="D140" s="7" t="s">
        <v>143</v>
      </c>
      <c r="E140" s="7" t="s">
        <v>136</v>
      </c>
      <c r="F140" s="7" t="s">
        <v>136</v>
      </c>
      <c r="G140" s="7" t="s">
        <v>767</v>
      </c>
      <c r="I140" s="7" t="s">
        <v>136</v>
      </c>
      <c r="K140" s="7" t="s">
        <v>784</v>
      </c>
      <c r="L140" s="7" t="s">
        <v>139</v>
      </c>
    </row>
    <row r="141" ht="13.5" customHeight="1">
      <c r="A141" s="7">
        <v>19.0</v>
      </c>
      <c r="B141" s="7" t="s">
        <v>7</v>
      </c>
      <c r="C141" s="7" t="s">
        <v>785</v>
      </c>
      <c r="D141" s="7" t="s">
        <v>202</v>
      </c>
      <c r="E141" s="7" t="s">
        <v>135</v>
      </c>
      <c r="F141" s="7" t="s">
        <v>136</v>
      </c>
      <c r="G141" s="7" t="s">
        <v>191</v>
      </c>
      <c r="I141" s="7" t="s">
        <v>136</v>
      </c>
      <c r="K141" s="7" t="s">
        <v>786</v>
      </c>
      <c r="L141" s="7" t="s">
        <v>139</v>
      </c>
    </row>
    <row r="142" ht="13.5" customHeight="1">
      <c r="A142" s="7">
        <v>26.0</v>
      </c>
      <c r="B142" s="7" t="s">
        <v>7</v>
      </c>
      <c r="C142" s="7" t="s">
        <v>787</v>
      </c>
      <c r="D142" s="7" t="s">
        <v>164</v>
      </c>
      <c r="E142" s="7" t="s">
        <v>135</v>
      </c>
      <c r="F142" s="7" t="s">
        <v>136</v>
      </c>
      <c r="G142" s="7" t="s">
        <v>271</v>
      </c>
      <c r="I142" s="7" t="s">
        <v>136</v>
      </c>
      <c r="K142" s="7" t="s">
        <v>788</v>
      </c>
      <c r="L142" s="7" t="s">
        <v>139</v>
      </c>
    </row>
    <row r="143" ht="13.5" customHeight="1">
      <c r="A143" s="7">
        <v>172.0</v>
      </c>
      <c r="B143" s="7" t="s">
        <v>6</v>
      </c>
      <c r="C143" s="7" t="s">
        <v>789</v>
      </c>
      <c r="D143" s="7" t="s">
        <v>143</v>
      </c>
      <c r="E143" s="7" t="s">
        <v>135</v>
      </c>
      <c r="F143" s="7" t="s">
        <v>136</v>
      </c>
      <c r="G143" s="7" t="s">
        <v>157</v>
      </c>
      <c r="I143" s="7" t="s">
        <v>136</v>
      </c>
      <c r="K143" s="7" t="s">
        <v>790</v>
      </c>
      <c r="L143" s="7" t="s">
        <v>139</v>
      </c>
    </row>
    <row r="144" ht="13.5" customHeight="1">
      <c r="A144" s="7">
        <v>224.0</v>
      </c>
      <c r="B144" s="7" t="s">
        <v>6</v>
      </c>
      <c r="C144" s="7" t="s">
        <v>791</v>
      </c>
      <c r="D144" s="7" t="s">
        <v>285</v>
      </c>
      <c r="E144" s="7" t="s">
        <v>136</v>
      </c>
      <c r="F144" s="7" t="s">
        <v>136</v>
      </c>
      <c r="G144" s="7" t="s">
        <v>320</v>
      </c>
      <c r="I144" s="7" t="s">
        <v>136</v>
      </c>
      <c r="K144" s="7" t="s">
        <v>792</v>
      </c>
      <c r="L144" s="7" t="s">
        <v>139</v>
      </c>
    </row>
    <row r="145" ht="13.5" customHeight="1">
      <c r="A145" s="7">
        <v>199.0</v>
      </c>
      <c r="B145" s="7" t="s">
        <v>6</v>
      </c>
      <c r="C145" s="7" t="s">
        <v>793</v>
      </c>
      <c r="D145" s="7" t="s">
        <v>193</v>
      </c>
      <c r="E145" s="7" t="s">
        <v>136</v>
      </c>
      <c r="F145" s="7" t="s">
        <v>136</v>
      </c>
      <c r="G145" s="7" t="s">
        <v>185</v>
      </c>
      <c r="H145" s="142" t="s">
        <v>794</v>
      </c>
      <c r="I145" s="7" t="s">
        <v>136</v>
      </c>
      <c r="K145" s="7" t="s">
        <v>795</v>
      </c>
      <c r="L145" s="7" t="s">
        <v>139</v>
      </c>
    </row>
    <row r="146" ht="13.5" customHeight="1">
      <c r="A146" s="7">
        <v>17.0</v>
      </c>
      <c r="B146" s="7" t="s">
        <v>6</v>
      </c>
      <c r="C146" s="7" t="s">
        <v>796</v>
      </c>
      <c r="D146" s="7" t="s">
        <v>243</v>
      </c>
      <c r="E146" s="7" t="s">
        <v>135</v>
      </c>
      <c r="F146" s="7" t="s">
        <v>135</v>
      </c>
      <c r="G146" s="7" t="s">
        <v>191</v>
      </c>
      <c r="I146" s="7" t="s">
        <v>136</v>
      </c>
      <c r="K146" s="7" t="s">
        <v>797</v>
      </c>
      <c r="L146" s="7" t="s">
        <v>139</v>
      </c>
    </row>
    <row r="147" ht="13.5" customHeight="1">
      <c r="A147" s="7">
        <v>22.0</v>
      </c>
      <c r="B147" s="7" t="s">
        <v>6</v>
      </c>
      <c r="C147" s="7" t="s">
        <v>235</v>
      </c>
      <c r="D147" s="7" t="s">
        <v>164</v>
      </c>
      <c r="E147" s="7" t="s">
        <v>135</v>
      </c>
      <c r="F147" s="7" t="s">
        <v>136</v>
      </c>
      <c r="G147" s="7" t="s">
        <v>798</v>
      </c>
      <c r="H147" s="7" t="s">
        <v>799</v>
      </c>
      <c r="I147" s="7" t="s">
        <v>136</v>
      </c>
      <c r="K147" s="7" t="s">
        <v>800</v>
      </c>
      <c r="L147" s="7" t="s">
        <v>139</v>
      </c>
    </row>
    <row r="148" ht="13.5" customHeight="1">
      <c r="A148" s="7">
        <v>202.0</v>
      </c>
      <c r="B148" s="7" t="s">
        <v>7</v>
      </c>
      <c r="C148" s="7" t="s">
        <v>801</v>
      </c>
      <c r="D148" s="7" t="s">
        <v>193</v>
      </c>
      <c r="E148" s="7" t="s">
        <v>136</v>
      </c>
      <c r="F148" s="7" t="s">
        <v>136</v>
      </c>
      <c r="G148" s="7" t="s">
        <v>185</v>
      </c>
      <c r="H148" s="142" t="s">
        <v>802</v>
      </c>
      <c r="I148" s="7" t="s">
        <v>136</v>
      </c>
      <c r="K148" s="7" t="s">
        <v>803</v>
      </c>
      <c r="L148" s="7" t="s">
        <v>139</v>
      </c>
    </row>
    <row r="149" ht="13.5" customHeight="1">
      <c r="A149" s="7">
        <v>169.0</v>
      </c>
      <c r="B149" s="7" t="s">
        <v>6</v>
      </c>
      <c r="C149" s="7" t="s">
        <v>804</v>
      </c>
      <c r="D149" s="7" t="s">
        <v>239</v>
      </c>
      <c r="E149" s="7" t="s">
        <v>136</v>
      </c>
      <c r="F149" s="7" t="s">
        <v>136</v>
      </c>
      <c r="G149" s="7" t="s">
        <v>157</v>
      </c>
      <c r="I149" s="7" t="s">
        <v>136</v>
      </c>
      <c r="K149" s="7" t="s">
        <v>805</v>
      </c>
      <c r="L149" s="7" t="s">
        <v>139</v>
      </c>
    </row>
    <row r="150" ht="13.5" customHeight="1">
      <c r="A150" s="7">
        <v>102.0</v>
      </c>
      <c r="B150" s="7" t="s">
        <v>7</v>
      </c>
      <c r="C150" s="7" t="s">
        <v>806</v>
      </c>
      <c r="D150" s="7" t="s">
        <v>193</v>
      </c>
      <c r="E150" s="7" t="s">
        <v>136</v>
      </c>
      <c r="F150" s="7" t="s">
        <v>136</v>
      </c>
      <c r="G150" s="7" t="s">
        <v>157</v>
      </c>
      <c r="I150" s="7" t="s">
        <v>136</v>
      </c>
      <c r="K150" s="7" t="s">
        <v>807</v>
      </c>
      <c r="L150" s="7" t="s">
        <v>139</v>
      </c>
    </row>
    <row r="151" ht="13.5" customHeight="1">
      <c r="A151" s="7">
        <v>148.0</v>
      </c>
      <c r="B151" s="7" t="s">
        <v>6</v>
      </c>
      <c r="C151" s="7" t="s">
        <v>808</v>
      </c>
      <c r="D151" s="7" t="s">
        <v>153</v>
      </c>
      <c r="E151" s="7" t="s">
        <v>135</v>
      </c>
      <c r="F151" s="7" t="s">
        <v>136</v>
      </c>
      <c r="G151" s="7" t="s">
        <v>479</v>
      </c>
      <c r="I151" s="7" t="s">
        <v>136</v>
      </c>
      <c r="K151" s="7" t="s">
        <v>809</v>
      </c>
      <c r="L151" s="7" t="s">
        <v>139</v>
      </c>
    </row>
    <row r="152" ht="13.5" customHeight="1">
      <c r="A152" s="7">
        <v>174.0</v>
      </c>
      <c r="B152" s="7" t="s">
        <v>7</v>
      </c>
      <c r="C152" s="7" t="s">
        <v>810</v>
      </c>
      <c r="D152" s="7" t="s">
        <v>153</v>
      </c>
      <c r="E152" s="7" t="s">
        <v>135</v>
      </c>
      <c r="F152" s="7" t="s">
        <v>135</v>
      </c>
      <c r="G152" s="7" t="s">
        <v>811</v>
      </c>
      <c r="I152" s="7" t="s">
        <v>136</v>
      </c>
      <c r="K152" s="7" t="s">
        <v>812</v>
      </c>
      <c r="L152" s="7" t="s">
        <v>139</v>
      </c>
    </row>
    <row r="153" ht="13.5" customHeight="1">
      <c r="A153" s="7">
        <v>163.0</v>
      </c>
      <c r="B153" s="7" t="s">
        <v>6</v>
      </c>
      <c r="C153" s="7" t="s">
        <v>813</v>
      </c>
      <c r="D153" s="7" t="s">
        <v>202</v>
      </c>
      <c r="E153" s="7" t="s">
        <v>135</v>
      </c>
      <c r="F153" s="7" t="s">
        <v>136</v>
      </c>
      <c r="G153" s="7" t="s">
        <v>814</v>
      </c>
      <c r="I153" s="7" t="s">
        <v>136</v>
      </c>
      <c r="K153" s="7" t="s">
        <v>815</v>
      </c>
      <c r="L153" s="7" t="s">
        <v>139</v>
      </c>
    </row>
    <row r="154" ht="13.5" customHeight="1">
      <c r="A154" s="7">
        <v>135.0</v>
      </c>
      <c r="B154" s="7" t="s">
        <v>7</v>
      </c>
      <c r="C154" s="7" t="s">
        <v>617</v>
      </c>
      <c r="D154" s="7" t="s">
        <v>193</v>
      </c>
      <c r="E154" s="7" t="s">
        <v>136</v>
      </c>
      <c r="F154" s="54" t="s">
        <v>135</v>
      </c>
      <c r="G154" s="7" t="s">
        <v>191</v>
      </c>
      <c r="H154" s="7" t="s">
        <v>816</v>
      </c>
      <c r="I154" s="7" t="s">
        <v>136</v>
      </c>
      <c r="K154" s="7" t="s">
        <v>817</v>
      </c>
      <c r="L154" s="7" t="s">
        <v>139</v>
      </c>
    </row>
    <row r="155" ht="13.5" customHeight="1">
      <c r="A155" s="7">
        <v>87.0</v>
      </c>
      <c r="B155" s="7" t="s">
        <v>7</v>
      </c>
      <c r="C155" s="7" t="s">
        <v>818</v>
      </c>
      <c r="D155" s="7" t="s">
        <v>193</v>
      </c>
      <c r="E155" s="7" t="s">
        <v>135</v>
      </c>
      <c r="F155" s="7" t="s">
        <v>135</v>
      </c>
      <c r="G155" s="7" t="s">
        <v>671</v>
      </c>
      <c r="H155" s="7" t="s">
        <v>819</v>
      </c>
      <c r="I155" s="7" t="s">
        <v>136</v>
      </c>
      <c r="K155" s="7" t="s">
        <v>820</v>
      </c>
      <c r="L155" s="7" t="s">
        <v>139</v>
      </c>
    </row>
    <row r="156" ht="13.5" customHeight="1">
      <c r="A156" s="7">
        <v>166.0</v>
      </c>
      <c r="B156" s="7" t="s">
        <v>7</v>
      </c>
      <c r="C156" s="7" t="s">
        <v>821</v>
      </c>
      <c r="D156" s="7" t="s">
        <v>238</v>
      </c>
      <c r="E156" s="7" t="s">
        <v>136</v>
      </c>
      <c r="F156" s="7" t="s">
        <v>136</v>
      </c>
      <c r="G156" s="7" t="s">
        <v>822</v>
      </c>
      <c r="H156" s="7" t="s">
        <v>411</v>
      </c>
      <c r="I156" s="7" t="s">
        <v>136</v>
      </c>
      <c r="K156" s="7" t="s">
        <v>823</v>
      </c>
      <c r="L156" s="7" t="s">
        <v>139</v>
      </c>
    </row>
    <row r="157" ht="13.5" customHeight="1">
      <c r="A157" s="7">
        <v>221.0</v>
      </c>
      <c r="B157" s="7" t="s">
        <v>6</v>
      </c>
      <c r="C157" s="7" t="s">
        <v>824</v>
      </c>
      <c r="D157" s="7" t="s">
        <v>347</v>
      </c>
      <c r="E157" s="7" t="s">
        <v>136</v>
      </c>
      <c r="F157" s="7" t="s">
        <v>136</v>
      </c>
      <c r="G157" s="7" t="s">
        <v>157</v>
      </c>
      <c r="I157" s="7" t="s">
        <v>136</v>
      </c>
      <c r="K157" s="7" t="s">
        <v>825</v>
      </c>
      <c r="L157" s="7" t="s">
        <v>139</v>
      </c>
    </row>
    <row r="158" ht="13.5" customHeight="1">
      <c r="A158" s="7">
        <v>145.0</v>
      </c>
      <c r="B158" s="7" t="s">
        <v>7</v>
      </c>
      <c r="C158" s="7" t="s">
        <v>826</v>
      </c>
      <c r="D158" s="7" t="s">
        <v>313</v>
      </c>
      <c r="E158" s="7" t="s">
        <v>135</v>
      </c>
      <c r="F158" s="7" t="s">
        <v>136</v>
      </c>
      <c r="G158" s="7" t="s">
        <v>191</v>
      </c>
      <c r="I158" s="7" t="s">
        <v>136</v>
      </c>
      <c r="K158" s="7" t="s">
        <v>827</v>
      </c>
      <c r="L158" s="7" t="s">
        <v>139</v>
      </c>
    </row>
    <row r="159" ht="13.5" customHeight="1">
      <c r="A159" s="7">
        <v>190.0</v>
      </c>
      <c r="B159" s="7" t="s">
        <v>6</v>
      </c>
      <c r="C159" s="7" t="s">
        <v>828</v>
      </c>
      <c r="D159" s="7" t="s">
        <v>239</v>
      </c>
      <c r="E159" s="7" t="s">
        <v>136</v>
      </c>
      <c r="F159" s="7" t="s">
        <v>135</v>
      </c>
      <c r="G159" s="7" t="s">
        <v>157</v>
      </c>
      <c r="I159" s="7" t="s">
        <v>136</v>
      </c>
      <c r="K159" s="7" t="s">
        <v>829</v>
      </c>
      <c r="L159" s="7" t="s">
        <v>139</v>
      </c>
    </row>
    <row r="160" ht="13.5" customHeight="1">
      <c r="A160" s="7">
        <v>176.0</v>
      </c>
      <c r="B160" s="7" t="s">
        <v>6</v>
      </c>
      <c r="C160" s="7" t="s">
        <v>830</v>
      </c>
      <c r="D160" s="7" t="s">
        <v>134</v>
      </c>
      <c r="E160" s="7" t="s">
        <v>136</v>
      </c>
      <c r="F160" s="54" t="s">
        <v>135</v>
      </c>
      <c r="G160" s="7" t="s">
        <v>157</v>
      </c>
      <c r="I160" s="7" t="s">
        <v>136</v>
      </c>
      <c r="K160" s="7" t="s">
        <v>831</v>
      </c>
      <c r="L160" s="7" t="s">
        <v>139</v>
      </c>
    </row>
    <row r="161" ht="13.5" customHeight="1">
      <c r="A161" s="7">
        <v>112.0</v>
      </c>
      <c r="B161" s="7" t="s">
        <v>6</v>
      </c>
      <c r="C161" s="7" t="s">
        <v>832</v>
      </c>
      <c r="D161" s="7" t="s">
        <v>263</v>
      </c>
      <c r="E161" s="7" t="s">
        <v>136</v>
      </c>
      <c r="F161" s="54" t="s">
        <v>135</v>
      </c>
      <c r="G161" s="7" t="s">
        <v>157</v>
      </c>
      <c r="I161" s="7" t="s">
        <v>136</v>
      </c>
      <c r="K161" s="7" t="s">
        <v>833</v>
      </c>
      <c r="L161" s="7" t="s">
        <v>139</v>
      </c>
    </row>
    <row r="162" ht="13.5" customHeight="1">
      <c r="A162" s="7">
        <v>237.0</v>
      </c>
      <c r="B162" s="7" t="s">
        <v>6</v>
      </c>
      <c r="C162" s="7" t="s">
        <v>617</v>
      </c>
      <c r="D162" s="7" t="s">
        <v>290</v>
      </c>
      <c r="E162" s="7" t="s">
        <v>136</v>
      </c>
      <c r="F162" s="54" t="s">
        <v>135</v>
      </c>
      <c r="G162" s="7" t="s">
        <v>157</v>
      </c>
      <c r="I162" s="7" t="s">
        <v>136</v>
      </c>
      <c r="K162" s="7" t="s">
        <v>834</v>
      </c>
      <c r="L162" s="7" t="s">
        <v>139</v>
      </c>
    </row>
    <row r="163" ht="13.5" customHeight="1">
      <c r="A163" s="7">
        <v>133.0</v>
      </c>
      <c r="B163" s="7" t="s">
        <v>6</v>
      </c>
      <c r="C163" s="7" t="s">
        <v>835</v>
      </c>
      <c r="D163" s="7" t="s">
        <v>219</v>
      </c>
      <c r="E163" s="7" t="s">
        <v>135</v>
      </c>
      <c r="F163" s="7" t="s">
        <v>136</v>
      </c>
      <c r="G163" s="7" t="s">
        <v>732</v>
      </c>
      <c r="I163" s="7" t="s">
        <v>136</v>
      </c>
      <c r="K163" s="7" t="s">
        <v>836</v>
      </c>
      <c r="L163" s="7" t="s">
        <v>139</v>
      </c>
    </row>
    <row r="164" ht="13.5" customHeight="1">
      <c r="A164" s="7">
        <v>38.0</v>
      </c>
      <c r="B164" s="7" t="s">
        <v>7</v>
      </c>
      <c r="C164" s="7" t="s">
        <v>837</v>
      </c>
      <c r="D164" s="7" t="s">
        <v>352</v>
      </c>
      <c r="E164" s="7" t="s">
        <v>135</v>
      </c>
      <c r="F164" s="7" t="s">
        <v>136</v>
      </c>
      <c r="G164" s="7" t="s">
        <v>838</v>
      </c>
      <c r="I164" s="7" t="s">
        <v>136</v>
      </c>
      <c r="K164" s="7" t="s">
        <v>839</v>
      </c>
      <c r="L164" s="7" t="s">
        <v>139</v>
      </c>
    </row>
    <row r="165" ht="13.5" customHeight="1">
      <c r="A165" s="7">
        <v>158.0</v>
      </c>
      <c r="B165" s="7" t="s">
        <v>6</v>
      </c>
      <c r="C165" s="7" t="s">
        <v>840</v>
      </c>
      <c r="D165" s="7" t="s">
        <v>143</v>
      </c>
      <c r="E165" s="7" t="s">
        <v>135</v>
      </c>
      <c r="F165" s="7" t="s">
        <v>136</v>
      </c>
      <c r="G165" s="7" t="s">
        <v>841</v>
      </c>
      <c r="H165" s="7" t="s">
        <v>842</v>
      </c>
      <c r="I165" s="7" t="s">
        <v>136</v>
      </c>
      <c r="K165" s="7" t="s">
        <v>843</v>
      </c>
      <c r="L165" s="7" t="s">
        <v>139</v>
      </c>
    </row>
    <row r="166" ht="13.5" customHeight="1">
      <c r="A166" s="7">
        <v>238.0</v>
      </c>
      <c r="B166" s="7" t="s">
        <v>6</v>
      </c>
      <c r="C166" s="7" t="s">
        <v>844</v>
      </c>
      <c r="D166" s="7" t="s">
        <v>243</v>
      </c>
      <c r="E166" s="7" t="s">
        <v>135</v>
      </c>
      <c r="F166" s="7" t="s">
        <v>136</v>
      </c>
      <c r="G166" s="7" t="s">
        <v>497</v>
      </c>
      <c r="I166" s="7" t="s">
        <v>136</v>
      </c>
      <c r="K166" s="7" t="s">
        <v>845</v>
      </c>
      <c r="L166" s="7" t="s">
        <v>139</v>
      </c>
    </row>
    <row r="167" ht="13.5" customHeight="1">
      <c r="A167" s="7">
        <v>90.0</v>
      </c>
      <c r="B167" s="7" t="s">
        <v>6</v>
      </c>
      <c r="C167" s="7" t="s">
        <v>846</v>
      </c>
      <c r="D167" s="7" t="s">
        <v>243</v>
      </c>
      <c r="E167" s="7" t="s">
        <v>135</v>
      </c>
      <c r="F167" s="7" t="s">
        <v>136</v>
      </c>
      <c r="G167" s="7" t="s">
        <v>191</v>
      </c>
      <c r="I167" s="7" t="s">
        <v>136</v>
      </c>
      <c r="K167" s="7" t="s">
        <v>847</v>
      </c>
      <c r="L167" s="7" t="s">
        <v>139</v>
      </c>
    </row>
    <row r="168" ht="13.5" customHeight="1">
      <c r="A168" s="7">
        <v>61.0</v>
      </c>
      <c r="B168" s="7" t="s">
        <v>7</v>
      </c>
      <c r="C168" s="7" t="s">
        <v>848</v>
      </c>
      <c r="D168" s="7" t="s">
        <v>243</v>
      </c>
      <c r="E168" s="7" t="s">
        <v>135</v>
      </c>
      <c r="F168" s="7" t="s">
        <v>135</v>
      </c>
      <c r="G168" s="7" t="s">
        <v>157</v>
      </c>
      <c r="I168" s="7" t="s">
        <v>136</v>
      </c>
      <c r="K168" s="7" t="s">
        <v>849</v>
      </c>
      <c r="L168" s="7" t="s">
        <v>139</v>
      </c>
    </row>
    <row r="169" ht="13.5" customHeight="1">
      <c r="A169" s="7">
        <v>178.0</v>
      </c>
      <c r="B169" s="7" t="s">
        <v>7</v>
      </c>
      <c r="C169" s="7" t="s">
        <v>850</v>
      </c>
      <c r="D169" s="7" t="s">
        <v>284</v>
      </c>
      <c r="E169" s="7" t="s">
        <v>135</v>
      </c>
      <c r="F169" s="7" t="s">
        <v>136</v>
      </c>
      <c r="G169" s="7" t="s">
        <v>798</v>
      </c>
      <c r="H169" s="7" t="s">
        <v>851</v>
      </c>
      <c r="I169" s="7" t="s">
        <v>136</v>
      </c>
      <c r="K169" s="7" t="s">
        <v>852</v>
      </c>
      <c r="L169" s="7" t="s">
        <v>139</v>
      </c>
    </row>
    <row r="170" ht="13.5" customHeight="1">
      <c r="A170" s="7">
        <v>77.0</v>
      </c>
      <c r="B170" s="7" t="s">
        <v>7</v>
      </c>
      <c r="C170" s="7" t="s">
        <v>853</v>
      </c>
      <c r="D170" s="7" t="s">
        <v>213</v>
      </c>
      <c r="E170" s="7" t="s">
        <v>136</v>
      </c>
      <c r="F170" s="7" t="s">
        <v>136</v>
      </c>
      <c r="G170" s="7" t="s">
        <v>157</v>
      </c>
      <c r="I170" s="7" t="s">
        <v>136</v>
      </c>
      <c r="K170" s="7" t="s">
        <v>854</v>
      </c>
      <c r="L170" s="7" t="s">
        <v>139</v>
      </c>
    </row>
    <row r="171" ht="13.5" customHeight="1">
      <c r="A171" s="7">
        <v>189.0</v>
      </c>
      <c r="B171" s="7" t="s">
        <v>7</v>
      </c>
      <c r="C171" s="7" t="s">
        <v>342</v>
      </c>
      <c r="D171" s="7" t="s">
        <v>218</v>
      </c>
      <c r="E171" s="7" t="s">
        <v>135</v>
      </c>
      <c r="F171" s="7" t="s">
        <v>135</v>
      </c>
      <c r="G171" s="7" t="s">
        <v>479</v>
      </c>
      <c r="I171" s="7" t="s">
        <v>136</v>
      </c>
      <c r="K171" s="7" t="s">
        <v>855</v>
      </c>
      <c r="L171" s="7" t="s">
        <v>139</v>
      </c>
    </row>
    <row r="172" ht="13.5" customHeight="1">
      <c r="A172" s="7">
        <v>42.0</v>
      </c>
      <c r="B172" s="7" t="s">
        <v>6</v>
      </c>
      <c r="C172" s="7" t="s">
        <v>856</v>
      </c>
      <c r="D172" s="7" t="s">
        <v>143</v>
      </c>
      <c r="E172" s="7" t="s">
        <v>135</v>
      </c>
      <c r="F172" s="7" t="s">
        <v>136</v>
      </c>
      <c r="G172" s="7" t="s">
        <v>479</v>
      </c>
      <c r="I172" s="7" t="s">
        <v>136</v>
      </c>
      <c r="K172" s="7" t="s">
        <v>857</v>
      </c>
      <c r="L172" s="7" t="s">
        <v>139</v>
      </c>
    </row>
    <row r="173" ht="13.5" customHeight="1">
      <c r="A173" s="7">
        <v>240.0</v>
      </c>
      <c r="B173" s="7" t="s">
        <v>6</v>
      </c>
      <c r="C173" s="7" t="s">
        <v>858</v>
      </c>
      <c r="D173" s="7" t="s">
        <v>290</v>
      </c>
      <c r="E173" s="7" t="s">
        <v>135</v>
      </c>
      <c r="F173" s="7" t="s">
        <v>136</v>
      </c>
      <c r="G173" s="7" t="s">
        <v>157</v>
      </c>
      <c r="I173" s="7" t="s">
        <v>136</v>
      </c>
      <c r="K173" s="7" t="s">
        <v>859</v>
      </c>
      <c r="L173" s="7" t="s">
        <v>139</v>
      </c>
    </row>
    <row r="174" ht="13.5" customHeight="1">
      <c r="A174" s="7">
        <v>184.0</v>
      </c>
      <c r="B174" s="7" t="s">
        <v>6</v>
      </c>
      <c r="C174" s="7" t="s">
        <v>769</v>
      </c>
      <c r="D174" s="7" t="s">
        <v>243</v>
      </c>
      <c r="E174" s="7" t="s">
        <v>135</v>
      </c>
      <c r="F174" s="7" t="s">
        <v>136</v>
      </c>
      <c r="G174" s="7" t="s">
        <v>205</v>
      </c>
      <c r="I174" s="7" t="s">
        <v>136</v>
      </c>
      <c r="K174" s="7" t="s">
        <v>860</v>
      </c>
      <c r="L174" s="7" t="s">
        <v>139</v>
      </c>
    </row>
    <row r="175" ht="13.5" customHeight="1">
      <c r="A175" s="7">
        <v>195.0</v>
      </c>
      <c r="B175" s="7" t="s">
        <v>7</v>
      </c>
      <c r="C175" s="7" t="s">
        <v>243</v>
      </c>
      <c r="D175" s="7" t="s">
        <v>243</v>
      </c>
      <c r="E175" s="7" t="s">
        <v>135</v>
      </c>
      <c r="F175" s="54" t="s">
        <v>135</v>
      </c>
      <c r="G175" s="7" t="s">
        <v>185</v>
      </c>
      <c r="I175" s="7" t="s">
        <v>135</v>
      </c>
      <c r="K175" s="7" t="s">
        <v>861</v>
      </c>
      <c r="L175" s="7" t="s">
        <v>139</v>
      </c>
    </row>
    <row r="176" ht="13.5" customHeight="1">
      <c r="A176" s="7">
        <v>7.0</v>
      </c>
      <c r="B176" s="7" t="s">
        <v>6</v>
      </c>
      <c r="C176" s="7" t="s">
        <v>204</v>
      </c>
      <c r="D176" s="7" t="s">
        <v>170</v>
      </c>
      <c r="E176" s="7" t="s">
        <v>135</v>
      </c>
      <c r="F176" s="7" t="s">
        <v>136</v>
      </c>
      <c r="G176" s="7" t="s">
        <v>137</v>
      </c>
      <c r="I176" s="7" t="s">
        <v>136</v>
      </c>
      <c r="K176" s="7" t="s">
        <v>862</v>
      </c>
      <c r="L176" s="7" t="s">
        <v>139</v>
      </c>
    </row>
    <row r="177" ht="13.5" customHeight="1">
      <c r="A177" s="7">
        <v>197.0</v>
      </c>
      <c r="B177" s="7" t="s">
        <v>6</v>
      </c>
      <c r="C177" s="7" t="s">
        <v>813</v>
      </c>
      <c r="D177" s="7" t="s">
        <v>243</v>
      </c>
      <c r="E177" s="7" t="s">
        <v>135</v>
      </c>
      <c r="F177" s="7" t="s">
        <v>136</v>
      </c>
      <c r="G177" s="7" t="s">
        <v>231</v>
      </c>
      <c r="I177" s="7" t="s">
        <v>136</v>
      </c>
      <c r="K177" s="7" t="s">
        <v>863</v>
      </c>
      <c r="L177" s="7" t="s">
        <v>139</v>
      </c>
    </row>
    <row r="178" ht="13.5" customHeight="1">
      <c r="A178" s="7">
        <v>207.0</v>
      </c>
      <c r="B178" s="7" t="s">
        <v>7</v>
      </c>
      <c r="C178" s="7" t="s">
        <v>617</v>
      </c>
      <c r="D178" s="7" t="s">
        <v>290</v>
      </c>
      <c r="E178" s="7" t="s">
        <v>136</v>
      </c>
      <c r="F178" s="54" t="s">
        <v>135</v>
      </c>
      <c r="G178" s="7" t="s">
        <v>741</v>
      </c>
      <c r="I178" s="7" t="s">
        <v>136</v>
      </c>
      <c r="K178" s="7" t="s">
        <v>864</v>
      </c>
      <c r="L178" s="7" t="s">
        <v>139</v>
      </c>
    </row>
    <row r="179" ht="13.5" customHeight="1">
      <c r="A179" s="7">
        <v>75.0</v>
      </c>
      <c r="B179" s="7" t="s">
        <v>6</v>
      </c>
      <c r="C179" s="7" t="s">
        <v>865</v>
      </c>
      <c r="D179" s="7" t="s">
        <v>193</v>
      </c>
      <c r="E179" s="7" t="s">
        <v>135</v>
      </c>
      <c r="F179" s="7" t="s">
        <v>136</v>
      </c>
      <c r="G179" s="7" t="s">
        <v>157</v>
      </c>
      <c r="I179" s="7" t="s">
        <v>136</v>
      </c>
      <c r="K179" s="7" t="s">
        <v>866</v>
      </c>
      <c r="L179" s="7" t="s">
        <v>139</v>
      </c>
    </row>
    <row r="180" ht="13.5" customHeight="1">
      <c r="A180" s="7">
        <v>115.0</v>
      </c>
      <c r="B180" s="7" t="s">
        <v>6</v>
      </c>
      <c r="C180" s="7" t="s">
        <v>867</v>
      </c>
      <c r="D180" s="7" t="s">
        <v>243</v>
      </c>
      <c r="E180" s="7" t="s">
        <v>136</v>
      </c>
      <c r="F180" s="7" t="s">
        <v>135</v>
      </c>
      <c r="G180" s="7" t="s">
        <v>868</v>
      </c>
      <c r="I180" s="7" t="s">
        <v>136</v>
      </c>
      <c r="K180" s="7" t="s">
        <v>869</v>
      </c>
      <c r="L180" s="7" t="s">
        <v>139</v>
      </c>
    </row>
    <row r="181" ht="13.5" customHeight="1">
      <c r="A181" s="7">
        <v>124.0</v>
      </c>
      <c r="B181" s="7" t="s">
        <v>6</v>
      </c>
      <c r="C181" s="7" t="s">
        <v>870</v>
      </c>
      <c r="D181" s="7" t="s">
        <v>243</v>
      </c>
      <c r="E181" s="7" t="s">
        <v>135</v>
      </c>
      <c r="F181" s="7" t="s">
        <v>136</v>
      </c>
      <c r="G181" s="7" t="s">
        <v>157</v>
      </c>
      <c r="I181" s="7" t="s">
        <v>136</v>
      </c>
      <c r="K181" s="7" t="s">
        <v>871</v>
      </c>
      <c r="L181" s="7" t="s">
        <v>139</v>
      </c>
    </row>
    <row r="182" ht="13.5" customHeight="1">
      <c r="A182" s="7">
        <v>113.0</v>
      </c>
      <c r="B182" s="7" t="s">
        <v>7</v>
      </c>
      <c r="C182" s="7" t="s">
        <v>872</v>
      </c>
      <c r="D182" s="7" t="s">
        <v>302</v>
      </c>
      <c r="E182" s="7" t="s">
        <v>136</v>
      </c>
      <c r="F182" s="7" t="s">
        <v>136</v>
      </c>
      <c r="G182" s="7" t="s">
        <v>271</v>
      </c>
      <c r="I182" s="7" t="s">
        <v>136</v>
      </c>
      <c r="K182" s="7" t="s">
        <v>873</v>
      </c>
      <c r="L182" s="7" t="s">
        <v>139</v>
      </c>
    </row>
    <row r="183" ht="13.5" customHeight="1">
      <c r="A183" s="7">
        <v>217.0</v>
      </c>
      <c r="B183" s="7" t="s">
        <v>7</v>
      </c>
      <c r="C183" s="7" t="s">
        <v>430</v>
      </c>
      <c r="D183" s="7" t="s">
        <v>143</v>
      </c>
      <c r="E183" s="7" t="s">
        <v>135</v>
      </c>
      <c r="F183" s="7" t="s">
        <v>136</v>
      </c>
      <c r="G183" s="142" t="s">
        <v>385</v>
      </c>
      <c r="I183" s="7" t="s">
        <v>136</v>
      </c>
      <c r="K183" s="7" t="s">
        <v>874</v>
      </c>
      <c r="L183" s="7" t="s">
        <v>139</v>
      </c>
    </row>
    <row r="184" ht="13.5" customHeight="1">
      <c r="A184" s="7">
        <v>226.0</v>
      </c>
      <c r="B184" s="7" t="s">
        <v>7</v>
      </c>
      <c r="C184" s="7" t="s">
        <v>875</v>
      </c>
      <c r="D184" s="7" t="s">
        <v>244</v>
      </c>
      <c r="E184" s="7" t="s">
        <v>135</v>
      </c>
      <c r="F184" s="54" t="s">
        <v>135</v>
      </c>
      <c r="G184" s="7" t="s">
        <v>479</v>
      </c>
      <c r="I184" s="7" t="s">
        <v>136</v>
      </c>
      <c r="K184" s="7" t="s">
        <v>876</v>
      </c>
      <c r="L184" s="7" t="s">
        <v>139</v>
      </c>
    </row>
    <row r="185" ht="13.5" customHeight="1">
      <c r="A185" s="7">
        <v>206.0</v>
      </c>
      <c r="B185" s="7" t="s">
        <v>7</v>
      </c>
      <c r="C185" s="7" t="s">
        <v>877</v>
      </c>
      <c r="D185" s="7" t="s">
        <v>290</v>
      </c>
      <c r="E185" s="7" t="s">
        <v>135</v>
      </c>
      <c r="F185" s="54" t="s">
        <v>135</v>
      </c>
      <c r="G185" s="7" t="s">
        <v>292</v>
      </c>
      <c r="I185" s="7" t="s">
        <v>136</v>
      </c>
      <c r="K185" s="7" t="s">
        <v>878</v>
      </c>
      <c r="L185" s="7" t="s">
        <v>139</v>
      </c>
    </row>
    <row r="186" ht="13.5" customHeight="1">
      <c r="A186" s="7">
        <v>52.0</v>
      </c>
      <c r="B186" s="7" t="s">
        <v>6</v>
      </c>
      <c r="C186" s="7" t="s">
        <v>879</v>
      </c>
      <c r="D186" s="7" t="s">
        <v>263</v>
      </c>
      <c r="E186" s="7" t="s">
        <v>135</v>
      </c>
      <c r="F186" s="54" t="s">
        <v>135</v>
      </c>
      <c r="G186" s="7" t="s">
        <v>157</v>
      </c>
      <c r="I186" s="7" t="s">
        <v>136</v>
      </c>
      <c r="K186" s="7" t="s">
        <v>880</v>
      </c>
      <c r="L186" s="7" t="s">
        <v>139</v>
      </c>
    </row>
    <row r="187" ht="13.5" customHeight="1">
      <c r="A187" s="7">
        <v>94.0</v>
      </c>
      <c r="B187" s="7" t="s">
        <v>6</v>
      </c>
      <c r="C187" s="7" t="s">
        <v>881</v>
      </c>
      <c r="D187" s="7" t="s">
        <v>243</v>
      </c>
      <c r="E187" s="7" t="s">
        <v>136</v>
      </c>
      <c r="F187" s="7" t="s">
        <v>135</v>
      </c>
      <c r="G187" s="7" t="s">
        <v>231</v>
      </c>
      <c r="I187" s="7" t="s">
        <v>136</v>
      </c>
      <c r="K187" s="7" t="s">
        <v>882</v>
      </c>
      <c r="L187" s="7" t="s">
        <v>139</v>
      </c>
    </row>
    <row r="188" ht="13.5" customHeight="1">
      <c r="A188" s="7">
        <v>56.0</v>
      </c>
      <c r="B188" s="7" t="s">
        <v>7</v>
      </c>
      <c r="C188" s="7" t="s">
        <v>883</v>
      </c>
      <c r="D188" s="7" t="s">
        <v>153</v>
      </c>
      <c r="E188" s="7" t="s">
        <v>135</v>
      </c>
      <c r="F188" s="54" t="s">
        <v>135</v>
      </c>
      <c r="G188" s="7" t="s">
        <v>157</v>
      </c>
      <c r="I188" s="7" t="s">
        <v>136</v>
      </c>
      <c r="K188" s="7" t="s">
        <v>884</v>
      </c>
      <c r="L188" s="7" t="s">
        <v>139</v>
      </c>
    </row>
    <row r="189" ht="13.5" customHeight="1">
      <c r="A189" s="7">
        <v>76.0</v>
      </c>
      <c r="B189" s="7" t="s">
        <v>6</v>
      </c>
      <c r="C189" s="7" t="s">
        <v>885</v>
      </c>
      <c r="D189" s="7" t="s">
        <v>202</v>
      </c>
      <c r="E189" s="7" t="s">
        <v>135</v>
      </c>
      <c r="F189" s="7" t="s">
        <v>136</v>
      </c>
      <c r="G189" s="7" t="s">
        <v>150</v>
      </c>
      <c r="I189" s="7" t="s">
        <v>136</v>
      </c>
      <c r="K189" s="7" t="s">
        <v>886</v>
      </c>
      <c r="L189" s="7" t="s">
        <v>139</v>
      </c>
    </row>
    <row r="190" ht="13.5" customHeight="1">
      <c r="A190" s="7">
        <v>203.0</v>
      </c>
      <c r="B190" s="7" t="s">
        <v>7</v>
      </c>
      <c r="C190" s="7" t="s">
        <v>887</v>
      </c>
      <c r="D190" s="7" t="s">
        <v>153</v>
      </c>
      <c r="E190" s="7" t="s">
        <v>135</v>
      </c>
      <c r="F190" s="7" t="s">
        <v>136</v>
      </c>
      <c r="G190" s="7" t="s">
        <v>157</v>
      </c>
      <c r="I190" s="7" t="s">
        <v>136</v>
      </c>
      <c r="K190" s="7" t="s">
        <v>888</v>
      </c>
      <c r="L190" s="7" t="s">
        <v>139</v>
      </c>
    </row>
    <row r="191" ht="13.5" customHeight="1">
      <c r="A191" s="7">
        <v>34.0</v>
      </c>
      <c r="B191" s="7" t="s">
        <v>7</v>
      </c>
      <c r="C191" s="7" t="s">
        <v>889</v>
      </c>
      <c r="D191" s="7" t="s">
        <v>284</v>
      </c>
      <c r="E191" s="7" t="s">
        <v>135</v>
      </c>
      <c r="F191" s="7" t="s">
        <v>136</v>
      </c>
      <c r="G191" s="7" t="s">
        <v>256</v>
      </c>
      <c r="H191" s="142" t="s">
        <v>890</v>
      </c>
      <c r="I191" s="7" t="s">
        <v>136</v>
      </c>
      <c r="K191" s="7" t="s">
        <v>891</v>
      </c>
      <c r="L191" s="7" t="s">
        <v>139</v>
      </c>
    </row>
    <row r="192" ht="13.5" customHeight="1">
      <c r="A192" s="7">
        <v>180.0</v>
      </c>
      <c r="B192" s="7" t="s">
        <v>6</v>
      </c>
      <c r="C192" s="7" t="s">
        <v>518</v>
      </c>
      <c r="D192" s="7" t="s">
        <v>243</v>
      </c>
      <c r="E192" s="7" t="s">
        <v>135</v>
      </c>
      <c r="F192" s="7" t="s">
        <v>136</v>
      </c>
      <c r="G192" s="7" t="s">
        <v>479</v>
      </c>
      <c r="H192" s="7" t="s">
        <v>892</v>
      </c>
      <c r="I192" s="7" t="s">
        <v>136</v>
      </c>
      <c r="K192" s="7" t="s">
        <v>893</v>
      </c>
      <c r="L192" s="7" t="s">
        <v>139</v>
      </c>
    </row>
    <row r="193" ht="13.5" customHeight="1">
      <c r="A193" s="7">
        <v>143.0</v>
      </c>
      <c r="B193" s="7" t="s">
        <v>6</v>
      </c>
      <c r="C193" s="7" t="s">
        <v>894</v>
      </c>
      <c r="D193" s="7" t="s">
        <v>153</v>
      </c>
      <c r="E193" s="7" t="s">
        <v>135</v>
      </c>
      <c r="F193" s="7" t="s">
        <v>136</v>
      </c>
      <c r="G193" s="7" t="s">
        <v>271</v>
      </c>
      <c r="I193" s="7" t="s">
        <v>136</v>
      </c>
      <c r="K193" s="7" t="s">
        <v>895</v>
      </c>
      <c r="L193" s="7" t="s">
        <v>139</v>
      </c>
    </row>
    <row r="194" ht="13.5" customHeight="1">
      <c r="A194" s="7">
        <v>37.0</v>
      </c>
      <c r="B194" s="7" t="s">
        <v>7</v>
      </c>
      <c r="C194" s="7" t="s">
        <v>896</v>
      </c>
      <c r="D194" s="7" t="s">
        <v>203</v>
      </c>
      <c r="E194" s="7" t="s">
        <v>135</v>
      </c>
      <c r="F194" s="7" t="s">
        <v>136</v>
      </c>
      <c r="G194" s="7" t="s">
        <v>185</v>
      </c>
      <c r="H194" s="7" t="s">
        <v>897</v>
      </c>
      <c r="I194" s="7" t="s">
        <v>136</v>
      </c>
      <c r="K194" s="7" t="s">
        <v>898</v>
      </c>
      <c r="L194" s="7" t="s">
        <v>139</v>
      </c>
    </row>
    <row r="195" ht="13.5" customHeight="1">
      <c r="A195" s="7">
        <v>110.0</v>
      </c>
      <c r="B195" s="7" t="s">
        <v>6</v>
      </c>
      <c r="C195" s="7" t="s">
        <v>899</v>
      </c>
      <c r="D195" s="7" t="s">
        <v>219</v>
      </c>
      <c r="E195" s="7" t="s">
        <v>135</v>
      </c>
      <c r="F195" s="7" t="s">
        <v>136</v>
      </c>
      <c r="G195" s="7" t="s">
        <v>900</v>
      </c>
      <c r="I195" s="7" t="s">
        <v>136</v>
      </c>
      <c r="K195" s="7" t="s">
        <v>901</v>
      </c>
      <c r="L195" s="7" t="s">
        <v>139</v>
      </c>
    </row>
    <row r="196" ht="13.5" customHeight="1">
      <c r="A196" s="7">
        <v>152.0</v>
      </c>
      <c r="B196" s="7" t="s">
        <v>6</v>
      </c>
      <c r="C196" s="7" t="s">
        <v>902</v>
      </c>
      <c r="D196" s="7" t="s">
        <v>214</v>
      </c>
      <c r="E196" s="7" t="s">
        <v>135</v>
      </c>
      <c r="F196" s="7" t="s">
        <v>136</v>
      </c>
      <c r="G196" s="7" t="s">
        <v>185</v>
      </c>
      <c r="H196" s="142" t="s">
        <v>903</v>
      </c>
      <c r="I196" s="7" t="s">
        <v>136</v>
      </c>
      <c r="K196" s="7" t="s">
        <v>904</v>
      </c>
      <c r="L196" s="7" t="s">
        <v>139</v>
      </c>
    </row>
    <row r="197" ht="13.5" customHeight="1">
      <c r="A197" s="7">
        <v>39.0</v>
      </c>
      <c r="B197" s="7" t="s">
        <v>7</v>
      </c>
      <c r="C197" s="7" t="s">
        <v>518</v>
      </c>
      <c r="D197" s="7" t="s">
        <v>243</v>
      </c>
      <c r="E197" s="7" t="s">
        <v>135</v>
      </c>
      <c r="F197" s="7" t="s">
        <v>136</v>
      </c>
      <c r="G197" s="7" t="s">
        <v>599</v>
      </c>
      <c r="H197" s="7" t="s">
        <v>905</v>
      </c>
      <c r="I197" s="7" t="s">
        <v>136</v>
      </c>
      <c r="K197" s="7" t="s">
        <v>906</v>
      </c>
      <c r="L197" s="7" t="s">
        <v>139</v>
      </c>
    </row>
    <row r="198" ht="13.5" customHeight="1">
      <c r="A198" s="7">
        <v>44.0</v>
      </c>
      <c r="B198" s="7" t="s">
        <v>6</v>
      </c>
      <c r="C198" s="7" t="s">
        <v>907</v>
      </c>
      <c r="D198" s="7" t="s">
        <v>134</v>
      </c>
      <c r="E198" s="7" t="s">
        <v>135</v>
      </c>
      <c r="F198" s="7" t="s">
        <v>136</v>
      </c>
      <c r="G198" s="7" t="s">
        <v>150</v>
      </c>
      <c r="I198" s="7" t="s">
        <v>136</v>
      </c>
      <c r="K198" s="7" t="s">
        <v>908</v>
      </c>
      <c r="L198" s="7" t="s">
        <v>139</v>
      </c>
    </row>
    <row r="199" ht="13.5" customHeight="1">
      <c r="A199" s="7">
        <v>223.0</v>
      </c>
      <c r="B199" s="7" t="s">
        <v>6</v>
      </c>
      <c r="C199" s="7" t="s">
        <v>909</v>
      </c>
      <c r="D199" s="7" t="s">
        <v>243</v>
      </c>
      <c r="E199" s="7" t="s">
        <v>136</v>
      </c>
      <c r="F199" s="7" t="s">
        <v>136</v>
      </c>
      <c r="G199" s="7" t="s">
        <v>157</v>
      </c>
      <c r="I199" s="7" t="s">
        <v>136</v>
      </c>
      <c r="K199" s="7" t="s">
        <v>910</v>
      </c>
      <c r="L199" s="7" t="s">
        <v>139</v>
      </c>
    </row>
    <row r="200" ht="13.5" customHeight="1">
      <c r="A200" s="7">
        <v>4.0</v>
      </c>
      <c r="B200" s="7" t="s">
        <v>6</v>
      </c>
      <c r="C200" s="7" t="s">
        <v>315</v>
      </c>
      <c r="D200" s="7" t="s">
        <v>164</v>
      </c>
      <c r="E200" s="7" t="s">
        <v>136</v>
      </c>
      <c r="F200" s="7" t="s">
        <v>136</v>
      </c>
      <c r="G200" s="7" t="s">
        <v>911</v>
      </c>
      <c r="H200" s="7" t="s">
        <v>455</v>
      </c>
      <c r="I200" s="7" t="s">
        <v>136</v>
      </c>
      <c r="K200" s="7" t="s">
        <v>912</v>
      </c>
      <c r="L200" s="7" t="s">
        <v>139</v>
      </c>
    </row>
    <row r="201" ht="13.5" customHeight="1">
      <c r="A201" s="7">
        <v>119.0</v>
      </c>
      <c r="B201" s="7" t="s">
        <v>7</v>
      </c>
      <c r="C201" s="7" t="s">
        <v>913</v>
      </c>
      <c r="D201" s="7" t="s">
        <v>290</v>
      </c>
      <c r="E201" s="7" t="s">
        <v>135</v>
      </c>
      <c r="F201" s="7" t="s">
        <v>135</v>
      </c>
      <c r="G201" s="7" t="s">
        <v>137</v>
      </c>
      <c r="I201" s="7" t="s">
        <v>136</v>
      </c>
      <c r="K201" s="7" t="s">
        <v>914</v>
      </c>
      <c r="L201" s="7" t="s">
        <v>139</v>
      </c>
    </row>
    <row r="202" ht="13.5" customHeight="1">
      <c r="A202" s="7">
        <v>138.0</v>
      </c>
      <c r="B202" s="7" t="s">
        <v>7</v>
      </c>
      <c r="C202" s="7" t="s">
        <v>713</v>
      </c>
      <c r="D202" s="7" t="s">
        <v>290</v>
      </c>
      <c r="E202" s="7" t="s">
        <v>135</v>
      </c>
      <c r="F202" s="54" t="s">
        <v>135</v>
      </c>
      <c r="G202" s="7" t="s">
        <v>191</v>
      </c>
      <c r="I202" s="7" t="s">
        <v>136</v>
      </c>
      <c r="K202" s="7" t="s">
        <v>915</v>
      </c>
      <c r="L202" s="7" t="s">
        <v>139</v>
      </c>
    </row>
    <row r="203" ht="13.5" customHeight="1">
      <c r="A203" s="7">
        <v>139.0</v>
      </c>
      <c r="B203" s="7" t="s">
        <v>7</v>
      </c>
      <c r="C203" s="7" t="s">
        <v>713</v>
      </c>
      <c r="D203" s="7" t="s">
        <v>290</v>
      </c>
      <c r="E203" s="7" t="s">
        <v>135</v>
      </c>
      <c r="F203" s="54" t="s">
        <v>135</v>
      </c>
      <c r="G203" s="7" t="s">
        <v>191</v>
      </c>
      <c r="I203" s="7" t="s">
        <v>136</v>
      </c>
      <c r="K203" s="7" t="s">
        <v>916</v>
      </c>
      <c r="L203" s="7" t="s">
        <v>139</v>
      </c>
    </row>
    <row r="204" ht="13.5" customHeight="1">
      <c r="A204" s="7">
        <v>219.0</v>
      </c>
      <c r="B204" s="7" t="s">
        <v>6</v>
      </c>
      <c r="C204" s="7" t="s">
        <v>917</v>
      </c>
      <c r="D204" s="7" t="s">
        <v>233</v>
      </c>
      <c r="E204" s="7" t="s">
        <v>135</v>
      </c>
      <c r="F204" s="7" t="s">
        <v>136</v>
      </c>
      <c r="G204" s="7" t="s">
        <v>191</v>
      </c>
      <c r="I204" s="7" t="s">
        <v>136</v>
      </c>
      <c r="K204" s="7" t="s">
        <v>918</v>
      </c>
      <c r="L204" s="7" t="s">
        <v>139</v>
      </c>
    </row>
    <row r="205" ht="13.5" customHeight="1">
      <c r="A205" s="7">
        <v>80.0</v>
      </c>
      <c r="B205" s="7" t="s">
        <v>7</v>
      </c>
      <c r="C205" s="7" t="s">
        <v>919</v>
      </c>
      <c r="D205" s="7" t="s">
        <v>193</v>
      </c>
      <c r="E205" s="7" t="s">
        <v>136</v>
      </c>
      <c r="F205" s="7" t="s">
        <v>136</v>
      </c>
      <c r="G205" s="7" t="s">
        <v>185</v>
      </c>
      <c r="H205" s="142" t="s">
        <v>920</v>
      </c>
      <c r="I205" s="7" t="s">
        <v>136</v>
      </c>
      <c r="K205" s="7" t="s">
        <v>754</v>
      </c>
      <c r="L205" s="7" t="s">
        <v>139</v>
      </c>
    </row>
    <row r="206" ht="13.5" customHeight="1">
      <c r="A206" s="7">
        <v>85.0</v>
      </c>
      <c r="B206" s="7" t="s">
        <v>6</v>
      </c>
      <c r="C206" s="7" t="s">
        <v>921</v>
      </c>
      <c r="D206" s="7" t="s">
        <v>358</v>
      </c>
      <c r="E206" s="7" t="s">
        <v>135</v>
      </c>
      <c r="F206" s="7" t="s">
        <v>136</v>
      </c>
      <c r="G206" s="7" t="s">
        <v>271</v>
      </c>
      <c r="I206" s="7" t="s">
        <v>136</v>
      </c>
      <c r="K206" s="7" t="s">
        <v>922</v>
      </c>
      <c r="L206" s="7" t="s">
        <v>139</v>
      </c>
    </row>
    <row r="207" ht="13.5" customHeight="1">
      <c r="A207" s="7">
        <v>188.0</v>
      </c>
      <c r="B207" s="7" t="s">
        <v>7</v>
      </c>
      <c r="C207" s="7" t="s">
        <v>808</v>
      </c>
      <c r="D207" s="7" t="s">
        <v>153</v>
      </c>
      <c r="E207" s="7" t="s">
        <v>136</v>
      </c>
      <c r="F207" s="7" t="s">
        <v>136</v>
      </c>
      <c r="G207" s="7" t="s">
        <v>191</v>
      </c>
      <c r="I207" s="7" t="s">
        <v>136</v>
      </c>
      <c r="K207" s="7" t="s">
        <v>923</v>
      </c>
      <c r="L207" s="7" t="s">
        <v>139</v>
      </c>
    </row>
    <row r="208" ht="13.5" customHeight="1">
      <c r="A208" s="7">
        <v>10.0</v>
      </c>
      <c r="B208" s="7" t="s">
        <v>6</v>
      </c>
      <c r="C208" s="7" t="s">
        <v>447</v>
      </c>
      <c r="D208" s="7" t="s">
        <v>213</v>
      </c>
      <c r="E208" s="7" t="s">
        <v>135</v>
      </c>
      <c r="F208" s="7" t="s">
        <v>135</v>
      </c>
      <c r="G208" s="7" t="s">
        <v>448</v>
      </c>
      <c r="H208" s="7" t="s">
        <v>449</v>
      </c>
      <c r="I208" s="7" t="s">
        <v>136</v>
      </c>
      <c r="K208" s="7" t="s">
        <v>924</v>
      </c>
      <c r="L208" s="7" t="s">
        <v>139</v>
      </c>
    </row>
    <row r="209" ht="13.5" customHeight="1">
      <c r="A209" s="7">
        <v>24.0</v>
      </c>
      <c r="B209" s="7" t="s">
        <v>6</v>
      </c>
      <c r="C209" s="7" t="s">
        <v>925</v>
      </c>
      <c r="D209" s="7" t="s">
        <v>213</v>
      </c>
      <c r="E209" s="7" t="s">
        <v>135</v>
      </c>
      <c r="F209" s="7" t="s">
        <v>135</v>
      </c>
      <c r="G209" s="7" t="s">
        <v>448</v>
      </c>
      <c r="H209" s="7" t="s">
        <v>926</v>
      </c>
      <c r="I209" s="7" t="s">
        <v>136</v>
      </c>
      <c r="K209" s="7" t="s">
        <v>927</v>
      </c>
      <c r="L209" s="7" t="s">
        <v>139</v>
      </c>
    </row>
    <row r="210" ht="13.5" customHeight="1">
      <c r="A210" s="7">
        <v>200.0</v>
      </c>
      <c r="B210" s="7" t="s">
        <v>7</v>
      </c>
      <c r="C210" s="7" t="s">
        <v>840</v>
      </c>
      <c r="D210" s="7" t="s">
        <v>143</v>
      </c>
      <c r="E210" s="7" t="s">
        <v>135</v>
      </c>
      <c r="F210" s="7" t="s">
        <v>136</v>
      </c>
      <c r="G210" s="7" t="s">
        <v>157</v>
      </c>
      <c r="I210" s="7" t="s">
        <v>136</v>
      </c>
      <c r="K210" s="7" t="s">
        <v>928</v>
      </c>
      <c r="L210" s="7" t="s">
        <v>139</v>
      </c>
    </row>
    <row r="211" ht="13.5" customHeight="1">
      <c r="A211" s="7">
        <v>147.0</v>
      </c>
      <c r="B211" s="7" t="s">
        <v>7</v>
      </c>
      <c r="C211" s="7" t="s">
        <v>929</v>
      </c>
      <c r="D211" s="7" t="s">
        <v>219</v>
      </c>
      <c r="E211" s="7" t="s">
        <v>136</v>
      </c>
      <c r="F211" s="54" t="s">
        <v>135</v>
      </c>
      <c r="G211" s="7" t="s">
        <v>157</v>
      </c>
      <c r="I211" s="7" t="s">
        <v>136</v>
      </c>
      <c r="K211" s="7" t="s">
        <v>930</v>
      </c>
      <c r="L211" s="7" t="s">
        <v>139</v>
      </c>
    </row>
    <row r="212" ht="13.5" customHeight="1">
      <c r="A212" s="7">
        <v>21.0</v>
      </c>
      <c r="B212" s="7" t="s">
        <v>6</v>
      </c>
      <c r="C212" s="7" t="s">
        <v>931</v>
      </c>
      <c r="D212" s="7" t="s">
        <v>134</v>
      </c>
      <c r="E212" s="7" t="s">
        <v>136</v>
      </c>
      <c r="F212" s="7" t="s">
        <v>136</v>
      </c>
      <c r="G212" s="7" t="s">
        <v>191</v>
      </c>
      <c r="I212" s="7" t="s">
        <v>135</v>
      </c>
      <c r="K212" s="7" t="s">
        <v>932</v>
      </c>
      <c r="L212" s="7" t="s">
        <v>139</v>
      </c>
    </row>
    <row r="213" ht="13.5" customHeight="1">
      <c r="A213" s="7">
        <v>177.0</v>
      </c>
      <c r="B213" s="7" t="s">
        <v>7</v>
      </c>
      <c r="C213" s="7" t="s">
        <v>933</v>
      </c>
      <c r="D213" s="7" t="s">
        <v>213</v>
      </c>
      <c r="E213" s="7" t="s">
        <v>135</v>
      </c>
      <c r="F213" s="7" t="s">
        <v>136</v>
      </c>
      <c r="G213" s="7" t="s">
        <v>606</v>
      </c>
      <c r="H213" s="7" t="s">
        <v>934</v>
      </c>
      <c r="I213" s="7" t="s">
        <v>136</v>
      </c>
      <c r="K213" s="7" t="s">
        <v>935</v>
      </c>
      <c r="L213" s="7" t="s">
        <v>139</v>
      </c>
    </row>
    <row r="214" ht="13.5" customHeight="1">
      <c r="A214" s="7">
        <v>114.0</v>
      </c>
      <c r="B214" s="7" t="s">
        <v>6</v>
      </c>
      <c r="C214" s="7" t="s">
        <v>936</v>
      </c>
      <c r="D214" s="7" t="s">
        <v>193</v>
      </c>
      <c r="E214" s="7" t="s">
        <v>135</v>
      </c>
      <c r="F214" s="54" t="s">
        <v>135</v>
      </c>
      <c r="G214" s="7" t="s">
        <v>157</v>
      </c>
      <c r="I214" s="7" t="s">
        <v>136</v>
      </c>
      <c r="K214" s="7" t="s">
        <v>937</v>
      </c>
      <c r="L214" s="7" t="s">
        <v>139</v>
      </c>
    </row>
    <row r="215" ht="13.5" customHeight="1">
      <c r="A215" s="7">
        <v>213.0</v>
      </c>
      <c r="B215" s="7" t="s">
        <v>6</v>
      </c>
      <c r="C215" s="7" t="s">
        <v>938</v>
      </c>
      <c r="D215" s="7" t="s">
        <v>187</v>
      </c>
      <c r="E215" s="7" t="s">
        <v>135</v>
      </c>
      <c r="F215" s="54" t="s">
        <v>135</v>
      </c>
      <c r="G215" s="7" t="s">
        <v>231</v>
      </c>
      <c r="I215" s="7" t="s">
        <v>136</v>
      </c>
      <c r="K215" s="7" t="s">
        <v>939</v>
      </c>
      <c r="L215" s="7" t="s">
        <v>139</v>
      </c>
    </row>
    <row r="216" ht="13.5" customHeight="1">
      <c r="A216" s="7">
        <v>129.0</v>
      </c>
      <c r="B216" s="7" t="s">
        <v>6</v>
      </c>
      <c r="C216" s="7" t="s">
        <v>808</v>
      </c>
      <c r="D216" s="7" t="s">
        <v>153</v>
      </c>
      <c r="E216" s="7" t="s">
        <v>135</v>
      </c>
      <c r="F216" s="7" t="s">
        <v>135</v>
      </c>
      <c r="G216" s="7" t="s">
        <v>157</v>
      </c>
      <c r="I216" s="7" t="s">
        <v>136</v>
      </c>
      <c r="K216" s="7" t="s">
        <v>940</v>
      </c>
      <c r="L216" s="7" t="s">
        <v>139</v>
      </c>
    </row>
    <row r="217" ht="13.5" customHeight="1">
      <c r="A217" s="7">
        <v>168.0</v>
      </c>
      <c r="B217" s="7" t="s">
        <v>7</v>
      </c>
      <c r="C217" s="7" t="s">
        <v>941</v>
      </c>
      <c r="D217" s="7" t="s">
        <v>233</v>
      </c>
      <c r="E217" s="7" t="s">
        <v>136</v>
      </c>
      <c r="F217" s="7" t="s">
        <v>136</v>
      </c>
      <c r="G217" s="7" t="s">
        <v>137</v>
      </c>
      <c r="I217" s="7" t="s">
        <v>136</v>
      </c>
      <c r="K217" s="7" t="s">
        <v>942</v>
      </c>
      <c r="L217" s="7" t="s">
        <v>139</v>
      </c>
    </row>
    <row r="218" ht="13.5" customHeight="1">
      <c r="A218" s="7">
        <v>13.0</v>
      </c>
      <c r="B218" s="7" t="s">
        <v>7</v>
      </c>
      <c r="C218" s="7" t="s">
        <v>250</v>
      </c>
      <c r="D218" s="7" t="s">
        <v>209</v>
      </c>
      <c r="E218" s="7" t="s">
        <v>135</v>
      </c>
      <c r="F218" s="54" t="s">
        <v>135</v>
      </c>
      <c r="G218" s="7" t="s">
        <v>221</v>
      </c>
      <c r="I218" s="7" t="s">
        <v>136</v>
      </c>
      <c r="K218" s="7" t="s">
        <v>943</v>
      </c>
      <c r="L218" s="7" t="s">
        <v>139</v>
      </c>
    </row>
    <row r="219" ht="13.5" customHeight="1">
      <c r="A219" s="7">
        <v>89.0</v>
      </c>
      <c r="B219" s="7" t="s">
        <v>6</v>
      </c>
      <c r="C219" s="7" t="s">
        <v>944</v>
      </c>
      <c r="D219" s="7" t="s">
        <v>182</v>
      </c>
      <c r="E219" s="7" t="s">
        <v>135</v>
      </c>
      <c r="F219" s="7" t="s">
        <v>136</v>
      </c>
      <c r="G219" s="7" t="s">
        <v>150</v>
      </c>
      <c r="I219" s="7" t="s">
        <v>136</v>
      </c>
      <c r="K219" s="7" t="s">
        <v>945</v>
      </c>
      <c r="L219" s="7" t="s">
        <v>139</v>
      </c>
    </row>
    <row r="220" ht="13.5" customHeight="1">
      <c r="A220" s="7">
        <v>99.0</v>
      </c>
      <c r="B220" s="7" t="s">
        <v>6</v>
      </c>
      <c r="C220" s="7" t="s">
        <v>946</v>
      </c>
      <c r="D220" s="7" t="s">
        <v>290</v>
      </c>
      <c r="E220" s="7" t="s">
        <v>136</v>
      </c>
      <c r="F220" s="7" t="s">
        <v>136</v>
      </c>
      <c r="G220" s="7" t="s">
        <v>157</v>
      </c>
      <c r="I220" s="7" t="s">
        <v>136</v>
      </c>
      <c r="K220" s="7" t="s">
        <v>947</v>
      </c>
      <c r="L220" s="7" t="s">
        <v>139</v>
      </c>
    </row>
    <row r="221" ht="13.5" customHeight="1">
      <c r="A221" s="7">
        <v>125.0</v>
      </c>
      <c r="B221" s="7" t="s">
        <v>7</v>
      </c>
      <c r="C221" s="7" t="s">
        <v>948</v>
      </c>
      <c r="D221" s="7" t="s">
        <v>143</v>
      </c>
      <c r="E221" s="7" t="s">
        <v>135</v>
      </c>
      <c r="F221" s="7" t="s">
        <v>136</v>
      </c>
      <c r="G221" s="7" t="s">
        <v>191</v>
      </c>
      <c r="I221" s="7" t="s">
        <v>136</v>
      </c>
      <c r="K221" s="7" t="s">
        <v>949</v>
      </c>
      <c r="L221" s="7" t="s">
        <v>139</v>
      </c>
    </row>
    <row r="222" ht="13.5" customHeight="1">
      <c r="A222" s="7">
        <v>225.0</v>
      </c>
      <c r="B222" s="7" t="s">
        <v>6</v>
      </c>
      <c r="C222" s="7" t="s">
        <v>515</v>
      </c>
      <c r="D222" s="7" t="s">
        <v>193</v>
      </c>
      <c r="E222" s="7" t="s">
        <v>135</v>
      </c>
      <c r="F222" s="7" t="s">
        <v>135</v>
      </c>
      <c r="G222" s="7" t="s">
        <v>185</v>
      </c>
      <c r="H222" s="142" t="s">
        <v>950</v>
      </c>
      <c r="I222" s="7" t="s">
        <v>136</v>
      </c>
      <c r="K222" s="7" t="s">
        <v>951</v>
      </c>
      <c r="L222" s="7" t="s">
        <v>139</v>
      </c>
    </row>
    <row r="223" ht="13.5" customHeight="1">
      <c r="A223" s="7">
        <v>2.0</v>
      </c>
      <c r="B223" s="7" t="s">
        <v>7</v>
      </c>
      <c r="C223" s="7" t="s">
        <v>952</v>
      </c>
      <c r="D223" s="7" t="s">
        <v>164</v>
      </c>
      <c r="G223" s="7" t="s">
        <v>185</v>
      </c>
      <c r="H223" s="142" t="s">
        <v>953</v>
      </c>
      <c r="I223" s="7" t="s">
        <v>136</v>
      </c>
      <c r="J223" s="7" t="s">
        <v>4118</v>
      </c>
      <c r="K223" s="7" t="s">
        <v>954</v>
      </c>
      <c r="L223" s="7" t="s">
        <v>139</v>
      </c>
    </row>
    <row r="224" ht="13.5" customHeight="1">
      <c r="A224" s="7">
        <v>142.0</v>
      </c>
      <c r="B224" s="7" t="s">
        <v>6</v>
      </c>
      <c r="C224" s="7" t="s">
        <v>617</v>
      </c>
      <c r="D224" s="7" t="s">
        <v>193</v>
      </c>
      <c r="E224" s="7" t="s">
        <v>136</v>
      </c>
      <c r="F224" s="54" t="s">
        <v>135</v>
      </c>
      <c r="G224" s="7" t="s">
        <v>292</v>
      </c>
      <c r="I224" s="7" t="s">
        <v>136</v>
      </c>
      <c r="K224" s="7" t="s">
        <v>955</v>
      </c>
      <c r="L224" s="7" t="s">
        <v>139</v>
      </c>
    </row>
    <row r="225" ht="13.5" customHeight="1">
      <c r="A225" s="7">
        <v>31.0</v>
      </c>
      <c r="B225" s="7" t="s">
        <v>6</v>
      </c>
      <c r="C225" s="7" t="s">
        <v>536</v>
      </c>
      <c r="D225" s="7" t="s">
        <v>193</v>
      </c>
      <c r="E225" s="7" t="s">
        <v>135</v>
      </c>
      <c r="F225" s="7" t="s">
        <v>136</v>
      </c>
      <c r="G225" s="7" t="s">
        <v>157</v>
      </c>
      <c r="I225" s="7" t="s">
        <v>136</v>
      </c>
      <c r="K225" s="7" t="s">
        <v>956</v>
      </c>
      <c r="L225" s="7" t="s">
        <v>139</v>
      </c>
    </row>
    <row r="226" ht="13.5" customHeight="1">
      <c r="A226" s="7">
        <v>122.0</v>
      </c>
      <c r="B226" s="7" t="s">
        <v>6</v>
      </c>
      <c r="C226" s="7" t="s">
        <v>957</v>
      </c>
      <c r="D226" s="7" t="s">
        <v>365</v>
      </c>
      <c r="E226" s="7" t="s">
        <v>135</v>
      </c>
      <c r="F226" s="7" t="s">
        <v>136</v>
      </c>
      <c r="G226" s="7" t="s">
        <v>191</v>
      </c>
      <c r="I226" s="7" t="s">
        <v>136</v>
      </c>
      <c r="K226" s="7" t="s">
        <v>958</v>
      </c>
      <c r="L226" s="7" t="s">
        <v>139</v>
      </c>
    </row>
    <row r="227" ht="13.5" customHeight="1">
      <c r="A227" s="7">
        <v>109.0</v>
      </c>
      <c r="B227" s="7" t="s">
        <v>7</v>
      </c>
      <c r="C227" s="7" t="s">
        <v>466</v>
      </c>
      <c r="D227" s="7" t="s">
        <v>255</v>
      </c>
      <c r="E227" s="7" t="s">
        <v>135</v>
      </c>
      <c r="F227" s="7" t="s">
        <v>136</v>
      </c>
      <c r="G227" s="7" t="s">
        <v>467</v>
      </c>
      <c r="I227" s="7" t="s">
        <v>136</v>
      </c>
      <c r="K227" s="7" t="s">
        <v>959</v>
      </c>
      <c r="L227" s="7" t="s">
        <v>139</v>
      </c>
    </row>
    <row r="228" ht="13.5" customHeight="1">
      <c r="A228" s="7">
        <v>228.0</v>
      </c>
      <c r="B228" s="7" t="s">
        <v>7</v>
      </c>
      <c r="C228" s="7" t="s">
        <v>566</v>
      </c>
      <c r="D228" s="7" t="s">
        <v>203</v>
      </c>
      <c r="E228" s="7" t="s">
        <v>135</v>
      </c>
      <c r="F228" s="7" t="s">
        <v>136</v>
      </c>
      <c r="G228" s="7" t="s">
        <v>292</v>
      </c>
      <c r="I228" s="7" t="s">
        <v>136</v>
      </c>
      <c r="K228" s="7" t="s">
        <v>960</v>
      </c>
      <c r="L228" s="7" t="s">
        <v>139</v>
      </c>
    </row>
    <row r="229" ht="13.5" customHeight="1">
      <c r="A229" s="7">
        <v>8.0</v>
      </c>
      <c r="B229" s="7" t="s">
        <v>6</v>
      </c>
      <c r="C229" s="7" t="s">
        <v>315</v>
      </c>
      <c r="D229" s="7" t="s">
        <v>164</v>
      </c>
      <c r="E229" s="7" t="s">
        <v>135</v>
      </c>
      <c r="F229" s="7" t="s">
        <v>136</v>
      </c>
      <c r="G229" s="7" t="s">
        <v>226</v>
      </c>
      <c r="I229" s="7" t="s">
        <v>136</v>
      </c>
      <c r="K229" s="7" t="s">
        <v>333</v>
      </c>
      <c r="L229" s="7" t="s">
        <v>139</v>
      </c>
    </row>
    <row r="230" ht="13.5" customHeight="1">
      <c r="A230" s="7">
        <v>28.0</v>
      </c>
      <c r="B230" s="7" t="s">
        <v>7</v>
      </c>
      <c r="C230" s="7" t="s">
        <v>515</v>
      </c>
      <c r="D230" s="7" t="s">
        <v>193</v>
      </c>
      <c r="E230" s="7" t="s">
        <v>135</v>
      </c>
      <c r="F230" s="7" t="s">
        <v>136</v>
      </c>
      <c r="G230" s="7" t="s">
        <v>185</v>
      </c>
      <c r="H230" s="7" t="s">
        <v>961</v>
      </c>
      <c r="I230" s="7" t="s">
        <v>136</v>
      </c>
      <c r="K230" s="7" t="s">
        <v>962</v>
      </c>
      <c r="L230" s="7" t="s">
        <v>139</v>
      </c>
    </row>
    <row r="231" ht="13.5" customHeight="1">
      <c r="A231" s="7">
        <v>183.0</v>
      </c>
      <c r="B231" s="7" t="s">
        <v>7</v>
      </c>
      <c r="C231" s="7" t="s">
        <v>641</v>
      </c>
      <c r="D231" s="7" t="s">
        <v>218</v>
      </c>
      <c r="E231" s="7" t="s">
        <v>135</v>
      </c>
      <c r="F231" s="7" t="s">
        <v>136</v>
      </c>
      <c r="G231" s="7" t="s">
        <v>150</v>
      </c>
      <c r="H231" s="7" t="s">
        <v>963</v>
      </c>
      <c r="I231" s="7" t="s">
        <v>136</v>
      </c>
      <c r="K231" s="7" t="s">
        <v>964</v>
      </c>
      <c r="L231" s="7" t="s">
        <v>139</v>
      </c>
    </row>
    <row r="232" ht="13.5" customHeight="1">
      <c r="A232" s="7">
        <v>194.0</v>
      </c>
      <c r="B232" s="7" t="s">
        <v>6</v>
      </c>
      <c r="C232" s="7" t="s">
        <v>965</v>
      </c>
      <c r="D232" s="7" t="s">
        <v>243</v>
      </c>
      <c r="E232" s="7" t="s">
        <v>135</v>
      </c>
      <c r="F232" s="7" t="s">
        <v>135</v>
      </c>
      <c r="G232" s="7" t="s">
        <v>157</v>
      </c>
      <c r="I232" s="7" t="s">
        <v>136</v>
      </c>
      <c r="K232" s="7" t="s">
        <v>966</v>
      </c>
      <c r="L232" s="7" t="s">
        <v>139</v>
      </c>
    </row>
    <row r="233" ht="13.5" customHeight="1">
      <c r="A233" s="7">
        <v>239.0</v>
      </c>
      <c r="B233" s="7" t="s">
        <v>7</v>
      </c>
      <c r="C233" s="7" t="s">
        <v>967</v>
      </c>
      <c r="D233" s="7" t="s">
        <v>229</v>
      </c>
      <c r="E233" s="7" t="s">
        <v>136</v>
      </c>
      <c r="F233" s="7" t="s">
        <v>136</v>
      </c>
      <c r="G233" s="7" t="s">
        <v>157</v>
      </c>
      <c r="I233" s="7" t="s">
        <v>136</v>
      </c>
      <c r="K233" s="7" t="s">
        <v>968</v>
      </c>
      <c r="L233" s="7" t="s">
        <v>139</v>
      </c>
    </row>
    <row r="234" ht="13.5" customHeight="1">
      <c r="A234" s="7">
        <v>82.0</v>
      </c>
      <c r="B234" s="7" t="s">
        <v>7</v>
      </c>
      <c r="C234" s="7" t="s">
        <v>515</v>
      </c>
      <c r="D234" s="7" t="s">
        <v>193</v>
      </c>
      <c r="E234" s="7" t="s">
        <v>135</v>
      </c>
      <c r="F234" s="7" t="s">
        <v>136</v>
      </c>
      <c r="G234" s="7" t="s">
        <v>349</v>
      </c>
      <c r="I234" s="7" t="s">
        <v>136</v>
      </c>
      <c r="K234" s="7" t="s">
        <v>754</v>
      </c>
      <c r="L234" s="7" t="s">
        <v>139</v>
      </c>
    </row>
    <row r="235" ht="13.5" customHeight="1">
      <c r="A235" s="7">
        <v>5.0</v>
      </c>
      <c r="B235" s="7" t="s">
        <v>6</v>
      </c>
      <c r="C235" s="7" t="s">
        <v>329</v>
      </c>
      <c r="D235" s="7" t="s">
        <v>213</v>
      </c>
      <c r="E235" s="7" t="s">
        <v>135</v>
      </c>
      <c r="F235" s="7" t="s">
        <v>136</v>
      </c>
      <c r="G235" s="7" t="s">
        <v>969</v>
      </c>
      <c r="H235" s="7" t="s">
        <v>970</v>
      </c>
      <c r="I235" s="7" t="s">
        <v>136</v>
      </c>
      <c r="K235" s="7" t="s">
        <v>169</v>
      </c>
      <c r="L235" s="7" t="s">
        <v>139</v>
      </c>
    </row>
    <row r="236" ht="13.5" customHeight="1"/>
    <row r="237" ht="13.5" customHeight="1">
      <c r="F237" s="7" t="s">
        <v>4119</v>
      </c>
    </row>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5277777777778" footer="0.0" header="0.0" left="0.7875" right="0.7875" top="1.05277777777778"/>
  <pageSetup paperSize="9" orientation="portrait"/>
  <headerFooter>
    <oddHeader>&amp;Cffffff&amp;A</oddHeader>
    <oddFooter>&amp;CffffffSeite &amp;P</oddFooter>
  </headerFooter>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 customWidth="1" min="7" max="7" width="86.71"/>
    <col customWidth="1" min="8" max="8" width="45.43"/>
    <col customWidth="1" min="9" max="14" width="8.57"/>
    <col customWidth="1" min="15" max="15" width="15.43"/>
    <col customWidth="1" min="16" max="16" width="13.43"/>
    <col customWidth="1" min="17" max="17" width="9.0"/>
    <col customWidth="1" min="18" max="18" width="5.86"/>
    <col customWidth="1" min="19" max="26" width="8.57"/>
  </cols>
  <sheetData>
    <row r="1" ht="13.5" customHeight="1">
      <c r="A1" s="2" t="s">
        <v>116</v>
      </c>
      <c r="B1" s="2" t="s">
        <v>117</v>
      </c>
      <c r="C1" s="2" t="s">
        <v>118</v>
      </c>
      <c r="D1" s="2" t="s">
        <v>119</v>
      </c>
      <c r="E1" s="2" t="s">
        <v>120</v>
      </c>
      <c r="F1" s="2" t="s">
        <v>121</v>
      </c>
      <c r="G1" s="2" t="s">
        <v>122</v>
      </c>
      <c r="H1" s="2" t="s">
        <v>123</v>
      </c>
      <c r="I1" s="2" t="s">
        <v>3919</v>
      </c>
      <c r="J1" s="2" t="s">
        <v>125</v>
      </c>
      <c r="K1" s="2" t="s">
        <v>126</v>
      </c>
      <c r="O1" s="123" t="s">
        <v>129</v>
      </c>
      <c r="P1" s="123" t="s">
        <v>130</v>
      </c>
      <c r="Q1" s="123" t="s">
        <v>131</v>
      </c>
      <c r="R1" s="123" t="s">
        <v>3880</v>
      </c>
    </row>
    <row r="2" ht="13.5" customHeight="1">
      <c r="A2" s="7">
        <v>13.0</v>
      </c>
      <c r="B2" s="7" t="s">
        <v>7</v>
      </c>
      <c r="C2" s="7" t="s">
        <v>971</v>
      </c>
      <c r="D2" s="7" t="s">
        <v>143</v>
      </c>
      <c r="E2" s="7" t="s">
        <v>135</v>
      </c>
      <c r="F2" s="7" t="s">
        <v>136</v>
      </c>
      <c r="G2" s="142" t="s">
        <v>349</v>
      </c>
      <c r="I2" s="7" t="s">
        <v>135</v>
      </c>
      <c r="J2" s="7" t="s">
        <v>972</v>
      </c>
      <c r="K2" s="7" t="s">
        <v>139</v>
      </c>
      <c r="O2" s="7" t="str">
        <f t="array" ref="O2:O20">UNIQUE(D2:D67)</f>
        <v>Italy</v>
      </c>
      <c r="P2" s="7">
        <f t="shared" ref="P2:P20" si="1">COUNTIF(D$2:D$76,O2)</f>
        <v>7</v>
      </c>
      <c r="Q2" s="7" t="str">
        <f t="array" ref="Q2">XLOOKUP(O2,Countries!A$2:A$98,Countries!B$2:B$98,"tbd",0)</f>
        <v>Europe</v>
      </c>
    </row>
    <row r="3" ht="13.5" customHeight="1">
      <c r="A3" s="7">
        <v>55.0</v>
      </c>
      <c r="B3" s="7" t="s">
        <v>7</v>
      </c>
      <c r="C3" s="7" t="s">
        <v>973</v>
      </c>
      <c r="D3" s="7" t="s">
        <v>164</v>
      </c>
      <c r="E3" s="7" t="s">
        <v>135</v>
      </c>
      <c r="F3" s="7" t="s">
        <v>136</v>
      </c>
      <c r="G3" s="142" t="s">
        <v>137</v>
      </c>
      <c r="I3" s="7" t="s">
        <v>136</v>
      </c>
      <c r="J3" s="7" t="s">
        <v>974</v>
      </c>
      <c r="K3" s="7" t="s">
        <v>139</v>
      </c>
      <c r="O3" s="7" t="s">
        <v>164</v>
      </c>
      <c r="P3" s="7">
        <f t="shared" si="1"/>
        <v>6</v>
      </c>
      <c r="Q3" s="7" t="str">
        <f t="array" ref="Q3">XLOOKUP(O3,Countries!A$2:A$98,Countries!B$2:B$98,"tbd",0)</f>
        <v>Europe</v>
      </c>
    </row>
    <row r="4" ht="13.5" customHeight="1">
      <c r="A4" s="7">
        <v>52.0</v>
      </c>
      <c r="B4" s="7" t="s">
        <v>6</v>
      </c>
      <c r="C4" s="7" t="s">
        <v>975</v>
      </c>
      <c r="D4" s="7" t="s">
        <v>369</v>
      </c>
      <c r="E4" s="7" t="s">
        <v>135</v>
      </c>
      <c r="F4" s="7" t="s">
        <v>136</v>
      </c>
      <c r="G4" s="7" t="s">
        <v>180</v>
      </c>
      <c r="I4" s="7" t="s">
        <v>136</v>
      </c>
      <c r="J4" s="7" t="s">
        <v>976</v>
      </c>
      <c r="K4" s="7" t="s">
        <v>139</v>
      </c>
      <c r="O4" s="7" t="s">
        <v>369</v>
      </c>
      <c r="P4" s="7">
        <f t="shared" si="1"/>
        <v>12</v>
      </c>
      <c r="Q4" s="289" t="str">
        <f t="array" ref="Q4">XLOOKUP(O4,Countries!A$2:A$98,Countries!B$2:B$98,"tbd",0)</f>
        <v>Middle/South America</v>
      </c>
    </row>
    <row r="5" ht="13.5" customHeight="1">
      <c r="A5" s="7">
        <v>19.0</v>
      </c>
      <c r="B5" s="7" t="s">
        <v>7</v>
      </c>
      <c r="C5" s="7" t="s">
        <v>977</v>
      </c>
      <c r="D5" s="7" t="s">
        <v>143</v>
      </c>
      <c r="E5" s="7" t="s">
        <v>135</v>
      </c>
      <c r="F5" s="7" t="s">
        <v>136</v>
      </c>
      <c r="G5" s="7" t="s">
        <v>180</v>
      </c>
      <c r="I5" s="7" t="s">
        <v>135</v>
      </c>
      <c r="J5" s="7" t="s">
        <v>978</v>
      </c>
      <c r="K5" s="7" t="s">
        <v>139</v>
      </c>
      <c r="O5" s="7" t="s">
        <v>134</v>
      </c>
      <c r="P5" s="7">
        <f t="shared" si="1"/>
        <v>1</v>
      </c>
      <c r="Q5" s="7" t="str">
        <f t="array" ref="Q5">XLOOKUP(O5,Countries!A$2:A$98,Countries!B$2:B$98,"tbd",0)</f>
        <v>Europe</v>
      </c>
    </row>
    <row r="6" ht="13.5" customHeight="1">
      <c r="A6" s="7">
        <v>56.0</v>
      </c>
      <c r="B6" s="7" t="s">
        <v>6</v>
      </c>
      <c r="C6" s="7" t="s">
        <v>979</v>
      </c>
      <c r="D6" s="7" t="s">
        <v>134</v>
      </c>
      <c r="E6" s="7" t="s">
        <v>135</v>
      </c>
      <c r="F6" s="7" t="s">
        <v>136</v>
      </c>
      <c r="G6" s="142" t="s">
        <v>980</v>
      </c>
      <c r="H6" s="7" t="s">
        <v>981</v>
      </c>
      <c r="I6" s="7" t="s">
        <v>136</v>
      </c>
      <c r="J6" s="7" t="s">
        <v>982</v>
      </c>
      <c r="K6" s="7" t="s">
        <v>139</v>
      </c>
      <c r="O6" s="7" t="s">
        <v>153</v>
      </c>
      <c r="P6" s="7">
        <f t="shared" si="1"/>
        <v>2</v>
      </c>
      <c r="Q6" s="289" t="str">
        <f t="array" ref="Q6">XLOOKUP(O6,Countries!A$2:A$98,Countries!B$2:B$98,"tbd",0)</f>
        <v>associated countries</v>
      </c>
    </row>
    <row r="7" ht="13.5" customHeight="1">
      <c r="A7" s="7">
        <v>11.0</v>
      </c>
      <c r="B7" s="7" t="s">
        <v>7</v>
      </c>
      <c r="C7" s="7" t="s">
        <v>983</v>
      </c>
      <c r="D7" s="7" t="s">
        <v>369</v>
      </c>
      <c r="E7" s="7" t="s">
        <v>135</v>
      </c>
      <c r="F7" s="7" t="s">
        <v>135</v>
      </c>
      <c r="G7" s="7" t="s">
        <v>613</v>
      </c>
      <c r="I7" s="7" t="s">
        <v>135</v>
      </c>
      <c r="J7" s="7" t="s">
        <v>984</v>
      </c>
      <c r="K7" s="7" t="s">
        <v>139</v>
      </c>
      <c r="O7" s="7" t="s">
        <v>213</v>
      </c>
      <c r="P7" s="7">
        <f t="shared" si="1"/>
        <v>1</v>
      </c>
      <c r="Q7" s="142" t="str">
        <f t="array" ref="Q7">XLOOKUP(O7,Countries!A$2:A$98,Countries!B$2:B$98,"tbd",0)</f>
        <v>widening countries</v>
      </c>
    </row>
    <row r="8" ht="13.5" customHeight="1">
      <c r="A8" s="7">
        <v>15.0</v>
      </c>
      <c r="B8" s="7" t="s">
        <v>7</v>
      </c>
      <c r="C8" s="7" t="s">
        <v>808</v>
      </c>
      <c r="D8" s="7" t="s">
        <v>153</v>
      </c>
      <c r="E8" s="7" t="s">
        <v>136</v>
      </c>
      <c r="F8" s="7" t="s">
        <v>136</v>
      </c>
      <c r="G8" s="7" t="s">
        <v>137</v>
      </c>
      <c r="I8" s="7" t="s">
        <v>135</v>
      </c>
      <c r="J8" s="7" t="s">
        <v>985</v>
      </c>
      <c r="K8" s="7" t="s">
        <v>139</v>
      </c>
      <c r="O8" s="7" t="s">
        <v>285</v>
      </c>
      <c r="P8" s="7">
        <f t="shared" si="1"/>
        <v>2</v>
      </c>
      <c r="Q8" s="289" t="str">
        <f t="array" ref="Q8">XLOOKUP(O8,Countries!A$2:A$98,Countries!B$2:B$98,"tbd",0)</f>
        <v>associated countries</v>
      </c>
    </row>
    <row r="9" ht="13.5" customHeight="1">
      <c r="A9" s="7">
        <v>20.0</v>
      </c>
      <c r="B9" s="7" t="s">
        <v>7</v>
      </c>
      <c r="C9" s="7" t="s">
        <v>338</v>
      </c>
      <c r="D9" s="7" t="s">
        <v>143</v>
      </c>
      <c r="E9" s="7" t="s">
        <v>135</v>
      </c>
      <c r="F9" s="7" t="s">
        <v>136</v>
      </c>
      <c r="G9" s="7" t="s">
        <v>180</v>
      </c>
      <c r="I9" s="7" t="s">
        <v>136</v>
      </c>
      <c r="J9" s="7" t="s">
        <v>986</v>
      </c>
      <c r="K9" s="7" t="s">
        <v>139</v>
      </c>
      <c r="O9" s="7" t="s">
        <v>202</v>
      </c>
      <c r="P9" s="7">
        <f t="shared" si="1"/>
        <v>15</v>
      </c>
      <c r="Q9" s="7" t="str">
        <f t="array" ref="Q9">XLOOKUP(O9,Countries!A$2:A$98,Countries!B$2:B$98,"tbd",0)</f>
        <v>Europe</v>
      </c>
    </row>
    <row r="10" ht="13.5" customHeight="1">
      <c r="A10" s="7">
        <v>3.0</v>
      </c>
      <c r="B10" s="7" t="s">
        <v>6</v>
      </c>
      <c r="C10" s="7" t="s">
        <v>987</v>
      </c>
      <c r="D10" s="7" t="s">
        <v>213</v>
      </c>
      <c r="E10" s="7" t="s">
        <v>135</v>
      </c>
      <c r="F10" s="7" t="s">
        <v>136</v>
      </c>
      <c r="G10" s="142" t="s">
        <v>4120</v>
      </c>
      <c r="I10" s="7" t="s">
        <v>136</v>
      </c>
      <c r="J10" s="7" t="s">
        <v>989</v>
      </c>
      <c r="K10" s="7" t="s">
        <v>139</v>
      </c>
      <c r="O10" s="7" t="s">
        <v>373</v>
      </c>
      <c r="P10" s="7">
        <f t="shared" si="1"/>
        <v>5</v>
      </c>
      <c r="Q10" s="289" t="str">
        <f t="array" ref="Q10">XLOOKUP(O10,Countries!A$2:A$98,Countries!B$2:B$98,"tbd",0)</f>
        <v>Middle/South America</v>
      </c>
    </row>
    <row r="11" ht="13.5" customHeight="1">
      <c r="A11" s="7">
        <v>1.0</v>
      </c>
      <c r="B11" s="7" t="s">
        <v>7</v>
      </c>
      <c r="C11" s="7" t="s">
        <v>195</v>
      </c>
      <c r="D11" s="7" t="s">
        <v>164</v>
      </c>
      <c r="E11" s="7" t="s">
        <v>136</v>
      </c>
      <c r="F11" s="7" t="s">
        <v>136</v>
      </c>
      <c r="G11" s="7" t="s">
        <v>174</v>
      </c>
      <c r="I11" s="7" t="s">
        <v>136</v>
      </c>
      <c r="J11" s="7" t="s">
        <v>990</v>
      </c>
      <c r="K11" s="7" t="s">
        <v>139</v>
      </c>
      <c r="O11" s="7" t="s">
        <v>214</v>
      </c>
      <c r="P11" s="7">
        <f t="shared" si="1"/>
        <v>2</v>
      </c>
      <c r="Q11" s="289" t="str">
        <f t="array" ref="Q11">XLOOKUP(O11,Countries!A$2:A$98,Countries!B$2:B$98,"tbd",0)</f>
        <v>Asia</v>
      </c>
    </row>
    <row r="12" ht="13.5" customHeight="1">
      <c r="A12" s="7">
        <v>45.0</v>
      </c>
      <c r="B12" s="7" t="s">
        <v>6</v>
      </c>
      <c r="C12" s="7" t="s">
        <v>991</v>
      </c>
      <c r="D12" s="7" t="s">
        <v>369</v>
      </c>
      <c r="E12" s="7" t="s">
        <v>135</v>
      </c>
      <c r="F12" s="7" t="s">
        <v>135</v>
      </c>
      <c r="G12" s="7" t="s">
        <v>191</v>
      </c>
      <c r="I12" s="7" t="s">
        <v>136</v>
      </c>
      <c r="J12" s="7" t="s">
        <v>992</v>
      </c>
      <c r="K12" s="7" t="s">
        <v>139</v>
      </c>
      <c r="O12" s="7" t="s">
        <v>284</v>
      </c>
      <c r="P12" s="7">
        <f t="shared" si="1"/>
        <v>2</v>
      </c>
      <c r="Q12" s="289" t="str">
        <f t="array" ref="Q12">XLOOKUP(O12,Countries!A$2:A$98,Countries!B$2:B$98,"tbd",0)</f>
        <v>Middle East</v>
      </c>
    </row>
    <row r="13" ht="13.5" customHeight="1">
      <c r="A13" s="7">
        <v>39.0</v>
      </c>
      <c r="B13" s="7" t="s">
        <v>6</v>
      </c>
      <c r="C13" s="7" t="s">
        <v>993</v>
      </c>
      <c r="D13" s="7" t="s">
        <v>143</v>
      </c>
      <c r="E13" s="7" t="s">
        <v>135</v>
      </c>
      <c r="F13" s="7" t="s">
        <v>136</v>
      </c>
      <c r="G13" s="7" t="s">
        <v>137</v>
      </c>
      <c r="H13" s="7" t="s">
        <v>994</v>
      </c>
      <c r="I13" s="7" t="s">
        <v>136</v>
      </c>
      <c r="J13" s="7" t="s">
        <v>995</v>
      </c>
      <c r="K13" s="7" t="s">
        <v>139</v>
      </c>
      <c r="O13" s="7" t="s">
        <v>318</v>
      </c>
      <c r="P13" s="7">
        <f t="shared" si="1"/>
        <v>1</v>
      </c>
      <c r="Q13" s="289" t="str">
        <f t="array" ref="Q13">XLOOKUP(O13,Countries!A$2:A$98,Countries!B$2:B$98,"tbd",0)</f>
        <v>Middle/South America</v>
      </c>
    </row>
    <row r="14" ht="13.5" customHeight="1">
      <c r="A14" s="7">
        <v>7.0</v>
      </c>
      <c r="B14" s="7" t="s">
        <v>6</v>
      </c>
      <c r="C14" s="7" t="s">
        <v>996</v>
      </c>
      <c r="D14" s="7" t="s">
        <v>285</v>
      </c>
      <c r="E14" s="7" t="s">
        <v>135</v>
      </c>
      <c r="F14" s="7" t="s">
        <v>136</v>
      </c>
      <c r="G14" s="7" t="s">
        <v>594</v>
      </c>
      <c r="I14" s="7" t="s">
        <v>136</v>
      </c>
      <c r="J14" s="7" t="s">
        <v>997</v>
      </c>
      <c r="K14" s="7" t="s">
        <v>139</v>
      </c>
      <c r="O14" s="7" t="s">
        <v>243</v>
      </c>
      <c r="P14" s="7">
        <f t="shared" si="1"/>
        <v>3</v>
      </c>
      <c r="Q14" s="289" t="str">
        <f t="array" ref="Q14">XLOOKUP(O14,Countries!A$2:A$98,Countries!B$2:B$98,"tbd",0)</f>
        <v>Middle East</v>
      </c>
    </row>
    <row r="15" ht="13.5" customHeight="1">
      <c r="A15" s="7">
        <v>22.0</v>
      </c>
      <c r="B15" s="7" t="s">
        <v>7</v>
      </c>
      <c r="C15" s="7" t="s">
        <v>998</v>
      </c>
      <c r="D15" s="7" t="s">
        <v>202</v>
      </c>
      <c r="E15" s="7" t="s">
        <v>136</v>
      </c>
      <c r="F15" s="7" t="s">
        <v>136</v>
      </c>
      <c r="G15" s="7" t="s">
        <v>137</v>
      </c>
      <c r="I15" s="7" t="s">
        <v>135</v>
      </c>
      <c r="J15" s="7" t="s">
        <v>999</v>
      </c>
      <c r="K15" s="7" t="s">
        <v>139</v>
      </c>
      <c r="O15" s="7" t="s">
        <v>331</v>
      </c>
      <c r="P15" s="7">
        <f t="shared" si="1"/>
        <v>1</v>
      </c>
      <c r="Q15" s="7" t="str">
        <f t="array" ref="Q15">XLOOKUP(O15,Countries!A$2:A$98,Countries!B$2:B$98,"tbd",0)</f>
        <v>Europe</v>
      </c>
    </row>
    <row r="16" ht="13.5" customHeight="1">
      <c r="A16" s="7">
        <v>60.0</v>
      </c>
      <c r="B16" s="7" t="s">
        <v>6</v>
      </c>
      <c r="C16" s="7" t="s">
        <v>1000</v>
      </c>
      <c r="D16" s="7" t="s">
        <v>202</v>
      </c>
      <c r="E16" s="7" t="s">
        <v>135</v>
      </c>
      <c r="F16" s="7" t="s">
        <v>136</v>
      </c>
      <c r="G16" s="7" t="s">
        <v>1001</v>
      </c>
      <c r="I16" s="7" t="s">
        <v>135</v>
      </c>
      <c r="J16" s="7" t="s">
        <v>1002</v>
      </c>
      <c r="K16" s="7" t="s">
        <v>139</v>
      </c>
      <c r="O16" s="7" t="s">
        <v>176</v>
      </c>
      <c r="P16" s="7">
        <f t="shared" si="1"/>
        <v>2</v>
      </c>
      <c r="Q16" s="142" t="str">
        <f t="array" ref="Q16">XLOOKUP(O16,Countries!A$2:A$98,Countries!B$2:B$98,"tbd",0)</f>
        <v>widening countries</v>
      </c>
    </row>
    <row r="17" ht="13.5" customHeight="1">
      <c r="A17" s="7">
        <v>66.0</v>
      </c>
      <c r="B17" s="7" t="s">
        <v>6</v>
      </c>
      <c r="C17" s="7" t="s">
        <v>1003</v>
      </c>
      <c r="D17" s="7" t="s">
        <v>202</v>
      </c>
      <c r="E17" s="7" t="s">
        <v>135</v>
      </c>
      <c r="F17" s="7" t="s">
        <v>135</v>
      </c>
      <c r="G17" s="7" t="s">
        <v>363</v>
      </c>
      <c r="H17" s="7" t="s">
        <v>1004</v>
      </c>
      <c r="I17" s="7" t="s">
        <v>136</v>
      </c>
      <c r="J17" s="7" t="s">
        <v>1005</v>
      </c>
      <c r="K17" s="7" t="s">
        <v>139</v>
      </c>
      <c r="O17" s="7" t="s">
        <v>263</v>
      </c>
      <c r="P17" s="7">
        <f t="shared" si="1"/>
        <v>1</v>
      </c>
      <c r="Q17" s="289" t="str">
        <f t="array" ref="Q17">XLOOKUP(O17,Countries!A$2:A$98,Countries!B$2:B$98,"tbd",0)</f>
        <v>U.S. + Canada</v>
      </c>
    </row>
    <row r="18" ht="13.5" customHeight="1">
      <c r="A18" s="7">
        <v>25.0</v>
      </c>
      <c r="B18" s="7" t="s">
        <v>8</v>
      </c>
      <c r="C18" s="7" t="s">
        <v>315</v>
      </c>
      <c r="D18" s="7" t="s">
        <v>164</v>
      </c>
      <c r="E18" s="7" t="s">
        <v>135</v>
      </c>
      <c r="F18" s="7" t="s">
        <v>136</v>
      </c>
      <c r="G18" s="7" t="s">
        <v>271</v>
      </c>
      <c r="I18" s="7" t="s">
        <v>136</v>
      </c>
      <c r="J18" s="7" t="s">
        <v>1006</v>
      </c>
      <c r="K18" s="7" t="s">
        <v>139</v>
      </c>
      <c r="O18" s="7" t="s">
        <v>197</v>
      </c>
      <c r="P18" s="7">
        <f t="shared" si="1"/>
        <v>1</v>
      </c>
      <c r="Q18" s="7" t="str">
        <f t="array" ref="Q18">XLOOKUP(O18,Countries!A$2:A$98,Countries!B$2:B$98,"tbd",0)</f>
        <v>Europe</v>
      </c>
    </row>
    <row r="19" ht="13.5" customHeight="1">
      <c r="A19" s="7">
        <v>32.0</v>
      </c>
      <c r="B19" s="7" t="s">
        <v>6</v>
      </c>
      <c r="C19" s="7" t="s">
        <v>1007</v>
      </c>
      <c r="D19" s="7" t="s">
        <v>369</v>
      </c>
      <c r="E19" s="7" t="s">
        <v>135</v>
      </c>
      <c r="F19" s="7" t="s">
        <v>136</v>
      </c>
      <c r="G19" s="7" t="s">
        <v>1008</v>
      </c>
      <c r="I19" s="7" t="s">
        <v>136</v>
      </c>
      <c r="J19" s="7" t="s">
        <v>1009</v>
      </c>
      <c r="K19" s="7" t="s">
        <v>139</v>
      </c>
      <c r="O19" s="7" t="s">
        <v>193</v>
      </c>
      <c r="P19" s="7">
        <f t="shared" si="1"/>
        <v>1</v>
      </c>
      <c r="Q19" s="7" t="str">
        <f t="array" ref="Q19">XLOOKUP(O19,Countries!A$2:A$98,Countries!B$2:B$98,"tbd",0)</f>
        <v>associated countries</v>
      </c>
    </row>
    <row r="20" ht="13.5" customHeight="1">
      <c r="A20" s="7">
        <v>30.0</v>
      </c>
      <c r="B20" s="7" t="s">
        <v>6</v>
      </c>
      <c r="C20" s="7" t="s">
        <v>1010</v>
      </c>
      <c r="D20" s="7" t="s">
        <v>373</v>
      </c>
      <c r="E20" s="7" t="s">
        <v>135</v>
      </c>
      <c r="F20" s="7" t="s">
        <v>136</v>
      </c>
      <c r="G20" s="7" t="s">
        <v>1011</v>
      </c>
      <c r="H20" s="142" t="s">
        <v>1012</v>
      </c>
      <c r="I20" s="7" t="s">
        <v>136</v>
      </c>
      <c r="J20" s="7" t="s">
        <v>1013</v>
      </c>
      <c r="K20" s="7" t="s">
        <v>139</v>
      </c>
      <c r="O20" s="7" t="s">
        <v>255</v>
      </c>
      <c r="P20" s="7">
        <f t="shared" si="1"/>
        <v>1</v>
      </c>
      <c r="Q20" s="289" t="str">
        <f t="array" ref="Q20">XLOOKUP(O20,Countries!A$2:A$98,Countries!B$2:B$98,"tbd",0)</f>
        <v>Asia</v>
      </c>
    </row>
    <row r="21" ht="13.5" customHeight="1">
      <c r="A21" s="7">
        <v>64.0</v>
      </c>
      <c r="B21" s="7" t="s">
        <v>8</v>
      </c>
      <c r="C21" s="7" t="s">
        <v>1014</v>
      </c>
      <c r="D21" s="7" t="s">
        <v>202</v>
      </c>
      <c r="E21" s="7" t="s">
        <v>135</v>
      </c>
      <c r="F21" s="7" t="s">
        <v>136</v>
      </c>
      <c r="G21" s="7" t="s">
        <v>349</v>
      </c>
      <c r="I21" s="7" t="s">
        <v>135</v>
      </c>
      <c r="J21" s="7" t="s">
        <v>1015</v>
      </c>
      <c r="K21" s="7" t="s">
        <v>139</v>
      </c>
    </row>
    <row r="22" ht="13.5" customHeight="1">
      <c r="A22" s="7">
        <v>46.0</v>
      </c>
      <c r="B22" s="7" t="s">
        <v>7</v>
      </c>
      <c r="C22" s="7" t="s">
        <v>1016</v>
      </c>
      <c r="D22" s="7" t="s">
        <v>369</v>
      </c>
      <c r="E22" s="7" t="s">
        <v>135</v>
      </c>
      <c r="F22" s="7" t="s">
        <v>136</v>
      </c>
      <c r="G22" s="7" t="s">
        <v>349</v>
      </c>
      <c r="I22" s="7" t="s">
        <v>135</v>
      </c>
      <c r="J22" s="7" t="s">
        <v>1017</v>
      </c>
      <c r="K22" s="7" t="s">
        <v>139</v>
      </c>
    </row>
    <row r="23" ht="13.5" customHeight="1">
      <c r="A23" s="7">
        <v>54.0</v>
      </c>
      <c r="B23" s="7" t="s">
        <v>6</v>
      </c>
      <c r="C23" s="7" t="s">
        <v>1018</v>
      </c>
      <c r="D23" s="7" t="s">
        <v>369</v>
      </c>
      <c r="E23" s="7" t="s">
        <v>135</v>
      </c>
      <c r="F23" s="7" t="s">
        <v>136</v>
      </c>
      <c r="G23" s="7" t="s">
        <v>168</v>
      </c>
      <c r="I23" s="7" t="s">
        <v>136</v>
      </c>
      <c r="J23" s="7" t="s">
        <v>1019</v>
      </c>
      <c r="K23" s="7" t="s">
        <v>139</v>
      </c>
    </row>
    <row r="24" ht="13.5" customHeight="1">
      <c r="A24" s="7">
        <v>28.0</v>
      </c>
      <c r="B24" s="7" t="s">
        <v>7</v>
      </c>
      <c r="C24" s="7" t="s">
        <v>1020</v>
      </c>
      <c r="D24" s="7" t="s">
        <v>373</v>
      </c>
      <c r="E24" s="7" t="s">
        <v>135</v>
      </c>
      <c r="F24" s="7" t="s">
        <v>136</v>
      </c>
      <c r="G24" s="7" t="s">
        <v>1021</v>
      </c>
      <c r="I24" s="7" t="s">
        <v>136</v>
      </c>
      <c r="J24" s="7" t="s">
        <v>1022</v>
      </c>
      <c r="K24" s="7" t="s">
        <v>139</v>
      </c>
      <c r="P24" s="7">
        <v>3.0</v>
      </c>
      <c r="Q24" s="7" t="s">
        <v>451</v>
      </c>
    </row>
    <row r="25" ht="13.5" customHeight="1">
      <c r="A25" s="7">
        <v>57.0</v>
      </c>
      <c r="B25" s="7" t="s">
        <v>6</v>
      </c>
      <c r="C25" s="7" t="s">
        <v>1023</v>
      </c>
      <c r="D25" s="7" t="s">
        <v>214</v>
      </c>
      <c r="E25" s="7" t="s">
        <v>135</v>
      </c>
      <c r="F25" s="7" t="s">
        <v>136</v>
      </c>
      <c r="G25" s="7" t="s">
        <v>1024</v>
      </c>
      <c r="I25" s="7" t="s">
        <v>136</v>
      </c>
      <c r="J25" s="7" t="s">
        <v>1025</v>
      </c>
      <c r="K25" s="7" t="s">
        <v>139</v>
      </c>
      <c r="P25" s="7">
        <v>31.0</v>
      </c>
      <c r="Q25" s="289" t="s">
        <v>22</v>
      </c>
    </row>
    <row r="26" ht="13.5" customHeight="1">
      <c r="A26" s="7">
        <v>59.0</v>
      </c>
      <c r="B26" s="7" t="s">
        <v>6</v>
      </c>
      <c r="C26" s="7" t="s">
        <v>1026</v>
      </c>
      <c r="D26" s="7" t="s">
        <v>284</v>
      </c>
      <c r="E26" s="7" t="s">
        <v>136</v>
      </c>
      <c r="F26" s="7" t="s">
        <v>136</v>
      </c>
      <c r="G26" s="7" t="s">
        <v>1027</v>
      </c>
      <c r="H26" s="7" t="s">
        <v>1028</v>
      </c>
      <c r="I26" s="7" t="s">
        <v>136</v>
      </c>
      <c r="J26" s="7" t="s">
        <v>1029</v>
      </c>
      <c r="K26" s="7" t="s">
        <v>139</v>
      </c>
    </row>
    <row r="27" ht="13.5" customHeight="1">
      <c r="A27" s="7">
        <v>48.0</v>
      </c>
      <c r="B27" s="7" t="s">
        <v>7</v>
      </c>
      <c r="C27" s="7" t="s">
        <v>975</v>
      </c>
      <c r="D27" s="7" t="s">
        <v>369</v>
      </c>
      <c r="E27" s="7" t="s">
        <v>136</v>
      </c>
      <c r="F27" s="7" t="s">
        <v>135</v>
      </c>
      <c r="G27" s="7" t="s">
        <v>349</v>
      </c>
      <c r="I27" s="7" t="s">
        <v>135</v>
      </c>
      <c r="J27" s="7" t="s">
        <v>1030</v>
      </c>
      <c r="K27" s="7" t="s">
        <v>139</v>
      </c>
    </row>
    <row r="28" ht="13.5" customHeight="1">
      <c r="A28" s="7">
        <v>50.0</v>
      </c>
      <c r="B28" s="7" t="s">
        <v>6</v>
      </c>
      <c r="C28" s="7" t="s">
        <v>1031</v>
      </c>
      <c r="D28" s="7" t="s">
        <v>202</v>
      </c>
      <c r="E28" s="7" t="s">
        <v>136</v>
      </c>
      <c r="F28" s="7" t="s">
        <v>136</v>
      </c>
      <c r="G28" s="7" t="s">
        <v>349</v>
      </c>
      <c r="I28" s="7" t="s">
        <v>136</v>
      </c>
      <c r="J28" s="7" t="s">
        <v>1032</v>
      </c>
      <c r="K28" s="7" t="s">
        <v>139</v>
      </c>
    </row>
    <row r="29" ht="13.5" customHeight="1">
      <c r="A29" s="7">
        <v>21.0</v>
      </c>
      <c r="B29" s="7" t="s">
        <v>6</v>
      </c>
      <c r="C29" s="7" t="s">
        <v>1033</v>
      </c>
      <c r="D29" s="7" t="s">
        <v>143</v>
      </c>
      <c r="E29" s="7" t="s">
        <v>135</v>
      </c>
      <c r="F29" s="7" t="s">
        <v>136</v>
      </c>
      <c r="G29" s="7" t="s">
        <v>349</v>
      </c>
      <c r="I29" s="7" t="s">
        <v>136</v>
      </c>
      <c r="J29" s="7" t="s">
        <v>986</v>
      </c>
      <c r="K29" s="7" t="s">
        <v>139</v>
      </c>
    </row>
    <row r="30" ht="13.5" customHeight="1">
      <c r="A30" s="7">
        <v>62.0</v>
      </c>
      <c r="B30" s="7" t="s">
        <v>6</v>
      </c>
      <c r="C30" s="7" t="s">
        <v>1034</v>
      </c>
      <c r="D30" s="7" t="s">
        <v>202</v>
      </c>
      <c r="E30" s="7" t="s">
        <v>135</v>
      </c>
      <c r="F30" s="7" t="s">
        <v>136</v>
      </c>
      <c r="G30" s="7" t="s">
        <v>349</v>
      </c>
      <c r="I30" s="7" t="s">
        <v>135</v>
      </c>
      <c r="J30" s="7" t="s">
        <v>1035</v>
      </c>
      <c r="K30" s="7" t="s">
        <v>139</v>
      </c>
    </row>
    <row r="31" ht="13.5" customHeight="1">
      <c r="A31" s="7">
        <v>33.0</v>
      </c>
      <c r="B31" s="7" t="s">
        <v>7</v>
      </c>
      <c r="C31" s="7" t="s">
        <v>1026</v>
      </c>
      <c r="D31" s="7" t="s">
        <v>284</v>
      </c>
      <c r="E31" s="7" t="s">
        <v>135</v>
      </c>
      <c r="F31" s="7" t="s">
        <v>136</v>
      </c>
      <c r="G31" s="7" t="s">
        <v>349</v>
      </c>
      <c r="I31" s="7" t="s">
        <v>136</v>
      </c>
      <c r="J31" s="7" t="s">
        <v>1036</v>
      </c>
      <c r="K31" s="7" t="s">
        <v>139</v>
      </c>
    </row>
    <row r="32" ht="13.5" customHeight="1">
      <c r="A32" s="7">
        <v>24.0</v>
      </c>
      <c r="B32" s="7" t="s">
        <v>7</v>
      </c>
      <c r="C32" s="7" t="s">
        <v>1037</v>
      </c>
      <c r="D32" s="7" t="s">
        <v>202</v>
      </c>
      <c r="E32" s="7" t="s">
        <v>136</v>
      </c>
      <c r="F32" s="7" t="s">
        <v>136</v>
      </c>
      <c r="G32" s="7" t="s">
        <v>1038</v>
      </c>
      <c r="H32" s="7" t="s">
        <v>1039</v>
      </c>
      <c r="I32" s="7" t="s">
        <v>136</v>
      </c>
      <c r="J32" s="7" t="s">
        <v>1040</v>
      </c>
      <c r="K32" s="7" t="s">
        <v>139</v>
      </c>
    </row>
    <row r="33" ht="13.5" customHeight="1">
      <c r="A33" s="7">
        <v>14.0</v>
      </c>
      <c r="B33" s="7" t="s">
        <v>7</v>
      </c>
      <c r="C33" s="7" t="s">
        <v>1041</v>
      </c>
      <c r="D33" s="7" t="s">
        <v>318</v>
      </c>
      <c r="E33" s="7" t="s">
        <v>135</v>
      </c>
      <c r="F33" s="7" t="s">
        <v>136</v>
      </c>
      <c r="G33" s="7" t="s">
        <v>1042</v>
      </c>
      <c r="I33" s="7" t="s">
        <v>136</v>
      </c>
      <c r="J33" s="7" t="s">
        <v>1043</v>
      </c>
      <c r="K33" s="7" t="s">
        <v>139</v>
      </c>
    </row>
    <row r="34" ht="13.5" customHeight="1">
      <c r="A34" s="7">
        <v>38.0</v>
      </c>
      <c r="B34" s="7" t="s">
        <v>6</v>
      </c>
      <c r="C34" s="7" t="s">
        <v>1044</v>
      </c>
      <c r="D34" s="7" t="s">
        <v>243</v>
      </c>
      <c r="E34" s="7" t="s">
        <v>136</v>
      </c>
      <c r="F34" s="7" t="s">
        <v>136</v>
      </c>
      <c r="G34" s="7" t="s">
        <v>606</v>
      </c>
      <c r="I34" s="7" t="s">
        <v>136</v>
      </c>
      <c r="J34" s="7" t="s">
        <v>1045</v>
      </c>
      <c r="K34" s="7" t="s">
        <v>139</v>
      </c>
    </row>
    <row r="35" ht="13.5" customHeight="1">
      <c r="A35" s="7">
        <v>10.0</v>
      </c>
      <c r="B35" s="7" t="s">
        <v>7</v>
      </c>
      <c r="C35" s="7" t="s">
        <v>1046</v>
      </c>
      <c r="D35" s="7" t="s">
        <v>243</v>
      </c>
      <c r="E35" s="7" t="s">
        <v>135</v>
      </c>
      <c r="F35" s="7" t="s">
        <v>135</v>
      </c>
      <c r="G35" s="7" t="s">
        <v>606</v>
      </c>
      <c r="I35" s="7" t="s">
        <v>136</v>
      </c>
      <c r="J35" s="7" t="s">
        <v>1047</v>
      </c>
      <c r="K35" s="7" t="s">
        <v>139</v>
      </c>
    </row>
    <row r="36" ht="13.5" customHeight="1">
      <c r="A36" s="7">
        <v>12.0</v>
      </c>
      <c r="B36" s="7" t="s">
        <v>6</v>
      </c>
      <c r="C36" s="7" t="s">
        <v>1048</v>
      </c>
      <c r="D36" s="7" t="s">
        <v>369</v>
      </c>
      <c r="E36" s="7" t="s">
        <v>136</v>
      </c>
      <c r="F36" s="7" t="s">
        <v>135</v>
      </c>
      <c r="G36" s="7" t="s">
        <v>363</v>
      </c>
      <c r="I36" s="7" t="s">
        <v>136</v>
      </c>
      <c r="J36" s="7" t="s">
        <v>1049</v>
      </c>
      <c r="K36" s="7" t="s">
        <v>139</v>
      </c>
    </row>
    <row r="37" ht="13.5" customHeight="1">
      <c r="A37" s="7">
        <v>6.0</v>
      </c>
      <c r="B37" s="7" t="s">
        <v>6</v>
      </c>
      <c r="C37" s="7" t="s">
        <v>791</v>
      </c>
      <c r="D37" s="7" t="s">
        <v>285</v>
      </c>
      <c r="E37" s="7" t="s">
        <v>136</v>
      </c>
      <c r="F37" s="7" t="s">
        <v>136</v>
      </c>
      <c r="G37" s="7" t="s">
        <v>367</v>
      </c>
      <c r="I37" s="7" t="s">
        <v>135</v>
      </c>
      <c r="J37" s="7" t="s">
        <v>1050</v>
      </c>
      <c r="K37" s="7" t="s">
        <v>139</v>
      </c>
    </row>
    <row r="38" ht="13.5" customHeight="1">
      <c r="A38" s="7">
        <v>58.0</v>
      </c>
      <c r="B38" s="7" t="s">
        <v>6</v>
      </c>
      <c r="C38" s="7" t="s">
        <v>1051</v>
      </c>
      <c r="D38" s="7" t="s">
        <v>214</v>
      </c>
      <c r="E38" s="7" t="s">
        <v>135</v>
      </c>
      <c r="F38" s="7" t="s">
        <v>136</v>
      </c>
      <c r="G38" s="142" t="s">
        <v>4121</v>
      </c>
      <c r="H38" s="142" t="s">
        <v>1053</v>
      </c>
      <c r="I38" s="7" t="s">
        <v>136</v>
      </c>
      <c r="J38" s="7" t="s">
        <v>1054</v>
      </c>
      <c r="K38" s="7" t="s">
        <v>139</v>
      </c>
    </row>
    <row r="39" ht="13.5" customHeight="1">
      <c r="A39" s="7">
        <v>18.0</v>
      </c>
      <c r="B39" s="7" t="s">
        <v>6</v>
      </c>
      <c r="C39" s="7" t="s">
        <v>1055</v>
      </c>
      <c r="D39" s="7" t="s">
        <v>369</v>
      </c>
      <c r="E39" s="7" t="s">
        <v>136</v>
      </c>
      <c r="F39" s="7" t="s">
        <v>136</v>
      </c>
      <c r="G39" s="7" t="s">
        <v>349</v>
      </c>
      <c r="I39" s="7" t="s">
        <v>135</v>
      </c>
      <c r="J39" s="7" t="s">
        <v>1056</v>
      </c>
      <c r="K39" s="7" t="s">
        <v>139</v>
      </c>
    </row>
    <row r="40" ht="13.5" customHeight="1">
      <c r="A40" s="7">
        <v>2.0</v>
      </c>
      <c r="B40" s="7" t="s">
        <v>7</v>
      </c>
      <c r="C40" s="7" t="s">
        <v>1057</v>
      </c>
      <c r="D40" s="7" t="s">
        <v>331</v>
      </c>
      <c r="E40" s="7" t="s">
        <v>135</v>
      </c>
      <c r="F40" s="7" t="s">
        <v>136</v>
      </c>
      <c r="G40" s="142" t="s">
        <v>4122</v>
      </c>
      <c r="H40" s="7" t="s">
        <v>404</v>
      </c>
      <c r="I40" s="7" t="s">
        <v>136</v>
      </c>
      <c r="J40" s="7" t="s">
        <v>1059</v>
      </c>
      <c r="K40" s="7" t="s">
        <v>139</v>
      </c>
    </row>
    <row r="41" ht="13.5" customHeight="1">
      <c r="A41" s="7">
        <v>4.0</v>
      </c>
      <c r="B41" s="7" t="s">
        <v>7</v>
      </c>
      <c r="C41" s="7" t="s">
        <v>315</v>
      </c>
      <c r="D41" s="7" t="s">
        <v>164</v>
      </c>
      <c r="E41" s="7" t="s">
        <v>135</v>
      </c>
      <c r="F41" s="7" t="s">
        <v>136</v>
      </c>
      <c r="G41" s="7" t="s">
        <v>1060</v>
      </c>
      <c r="I41" s="7" t="s">
        <v>136</v>
      </c>
      <c r="J41" s="7" t="s">
        <v>1061</v>
      </c>
      <c r="K41" s="7" t="s">
        <v>139</v>
      </c>
    </row>
    <row r="42" ht="13.5" customHeight="1">
      <c r="A42" s="7">
        <v>42.0</v>
      </c>
      <c r="B42" s="7" t="s">
        <v>7</v>
      </c>
      <c r="C42" s="7" t="s">
        <v>211</v>
      </c>
      <c r="D42" s="7" t="s">
        <v>176</v>
      </c>
      <c r="E42" s="7" t="s">
        <v>136</v>
      </c>
      <c r="F42" s="7" t="s">
        <v>136</v>
      </c>
      <c r="G42" s="7" t="s">
        <v>180</v>
      </c>
      <c r="H42" s="7" t="s">
        <v>1062</v>
      </c>
      <c r="I42" s="7" t="s">
        <v>136</v>
      </c>
      <c r="J42" s="7" t="s">
        <v>1063</v>
      </c>
      <c r="K42" s="7" t="s">
        <v>139</v>
      </c>
    </row>
    <row r="43" ht="13.5" customHeight="1">
      <c r="A43" s="7">
        <v>43.0</v>
      </c>
      <c r="B43" s="7" t="s">
        <v>6</v>
      </c>
      <c r="C43" s="7" t="s">
        <v>1064</v>
      </c>
      <c r="D43" s="7" t="s">
        <v>176</v>
      </c>
      <c r="E43" s="7" t="s">
        <v>136</v>
      </c>
      <c r="F43" s="7" t="s">
        <v>135</v>
      </c>
      <c r="G43" s="7" t="s">
        <v>137</v>
      </c>
      <c r="I43" s="7" t="s">
        <v>136</v>
      </c>
      <c r="J43" s="7" t="s">
        <v>1065</v>
      </c>
      <c r="K43" s="7" t="s">
        <v>139</v>
      </c>
    </row>
    <row r="44" ht="13.5" customHeight="1">
      <c r="A44" s="7">
        <v>16.0</v>
      </c>
      <c r="B44" s="7" t="s">
        <v>6</v>
      </c>
      <c r="C44" s="7" t="s">
        <v>1066</v>
      </c>
      <c r="D44" s="7" t="s">
        <v>202</v>
      </c>
      <c r="E44" s="7" t="s">
        <v>136</v>
      </c>
      <c r="F44" s="7" t="s">
        <v>136</v>
      </c>
      <c r="G44" s="7" t="s">
        <v>1067</v>
      </c>
      <c r="H44" s="7" t="s">
        <v>1068</v>
      </c>
      <c r="I44" s="7" t="s">
        <v>136</v>
      </c>
      <c r="J44" s="7" t="s">
        <v>1069</v>
      </c>
      <c r="K44" s="7" t="s">
        <v>139</v>
      </c>
    </row>
    <row r="45" ht="13.5" customHeight="1">
      <c r="A45" s="7">
        <v>47.0</v>
      </c>
      <c r="B45" s="7" t="s">
        <v>7</v>
      </c>
      <c r="C45" s="7" t="s">
        <v>1055</v>
      </c>
      <c r="D45" s="7" t="s">
        <v>369</v>
      </c>
      <c r="E45" s="7" t="s">
        <v>136</v>
      </c>
      <c r="F45" s="7" t="s">
        <v>136</v>
      </c>
      <c r="G45" s="7" t="s">
        <v>349</v>
      </c>
      <c r="I45" s="7" t="s">
        <v>135</v>
      </c>
      <c r="J45" s="7" t="s">
        <v>1070</v>
      </c>
      <c r="K45" s="7" t="s">
        <v>139</v>
      </c>
    </row>
    <row r="46" ht="13.5" customHeight="1">
      <c r="A46" s="7">
        <v>40.0</v>
      </c>
      <c r="B46" s="7" t="s">
        <v>6</v>
      </c>
      <c r="C46" s="7" t="s">
        <v>1071</v>
      </c>
      <c r="D46" s="7" t="s">
        <v>369</v>
      </c>
      <c r="E46" s="7" t="s">
        <v>135</v>
      </c>
      <c r="F46" s="7" t="s">
        <v>136</v>
      </c>
      <c r="G46" s="7" t="s">
        <v>613</v>
      </c>
      <c r="I46" s="7" t="s">
        <v>136</v>
      </c>
      <c r="J46" s="7" t="s">
        <v>1072</v>
      </c>
      <c r="K46" s="7" t="s">
        <v>139</v>
      </c>
    </row>
    <row r="47" ht="13.5" customHeight="1">
      <c r="A47" s="7">
        <v>36.0</v>
      </c>
      <c r="B47" s="7" t="s">
        <v>6</v>
      </c>
      <c r="C47" s="7" t="s">
        <v>1073</v>
      </c>
      <c r="D47" s="7" t="s">
        <v>369</v>
      </c>
      <c r="E47" s="7" t="s">
        <v>135</v>
      </c>
      <c r="F47" s="7" t="s">
        <v>136</v>
      </c>
      <c r="G47" s="7" t="s">
        <v>650</v>
      </c>
      <c r="I47" s="7" t="s">
        <v>136</v>
      </c>
      <c r="J47" s="7" t="s">
        <v>1074</v>
      </c>
      <c r="K47" s="7" t="s">
        <v>139</v>
      </c>
    </row>
    <row r="48" ht="13.5" customHeight="1">
      <c r="A48" s="7">
        <v>34.0</v>
      </c>
      <c r="B48" s="7" t="s">
        <v>6</v>
      </c>
      <c r="C48" s="7" t="s">
        <v>840</v>
      </c>
      <c r="D48" s="7" t="s">
        <v>143</v>
      </c>
      <c r="E48" s="7" t="s">
        <v>135</v>
      </c>
      <c r="F48" s="7" t="s">
        <v>136</v>
      </c>
      <c r="G48" s="7" t="s">
        <v>1075</v>
      </c>
      <c r="H48" s="142" t="s">
        <v>1076</v>
      </c>
      <c r="I48" s="7" t="s">
        <v>136</v>
      </c>
      <c r="J48" s="7" t="s">
        <v>1077</v>
      </c>
      <c r="K48" s="7" t="s">
        <v>139</v>
      </c>
    </row>
    <row r="49" ht="13.5" customHeight="1">
      <c r="A49" s="7">
        <v>49.0</v>
      </c>
      <c r="B49" s="7" t="s">
        <v>6</v>
      </c>
      <c r="C49" s="7" t="s">
        <v>1014</v>
      </c>
      <c r="D49" s="7" t="s">
        <v>202</v>
      </c>
      <c r="E49" s="7" t="s">
        <v>135</v>
      </c>
      <c r="F49" s="7" t="s">
        <v>136</v>
      </c>
      <c r="G49" s="7" t="s">
        <v>185</v>
      </c>
      <c r="H49" s="142" t="s">
        <v>1078</v>
      </c>
      <c r="I49" s="7" t="s">
        <v>136</v>
      </c>
      <c r="J49" s="7" t="s">
        <v>1079</v>
      </c>
      <c r="K49" s="7" t="s">
        <v>139</v>
      </c>
    </row>
    <row r="50" ht="13.5" customHeight="1">
      <c r="A50" s="7">
        <v>35.0</v>
      </c>
      <c r="B50" s="7" t="s">
        <v>6</v>
      </c>
      <c r="C50" s="7" t="s">
        <v>1080</v>
      </c>
      <c r="D50" s="7" t="s">
        <v>243</v>
      </c>
      <c r="E50" s="7" t="s">
        <v>135</v>
      </c>
      <c r="F50" s="7" t="s">
        <v>136</v>
      </c>
      <c r="G50" s="7" t="s">
        <v>1081</v>
      </c>
      <c r="I50" s="7" t="s">
        <v>136</v>
      </c>
      <c r="J50" s="7" t="s">
        <v>1082</v>
      </c>
      <c r="K50" s="7" t="s">
        <v>139</v>
      </c>
    </row>
    <row r="51" ht="13.5" customHeight="1">
      <c r="A51" s="7">
        <v>23.0</v>
      </c>
      <c r="B51" s="7" t="s">
        <v>7</v>
      </c>
      <c r="C51" s="7" t="s">
        <v>1083</v>
      </c>
      <c r="D51" s="7" t="s">
        <v>263</v>
      </c>
      <c r="E51" s="7" t="s">
        <v>135</v>
      </c>
      <c r="F51" s="7" t="s">
        <v>136</v>
      </c>
      <c r="G51" s="7" t="s">
        <v>732</v>
      </c>
      <c r="I51" s="7" t="s">
        <v>136</v>
      </c>
      <c r="J51" s="7" t="s">
        <v>1084</v>
      </c>
      <c r="K51" s="7" t="s">
        <v>139</v>
      </c>
    </row>
    <row r="52" ht="13.5" customHeight="1">
      <c r="A52" s="7">
        <v>65.0</v>
      </c>
      <c r="B52" s="7" t="s">
        <v>6</v>
      </c>
      <c r="C52" s="7" t="s">
        <v>1085</v>
      </c>
      <c r="D52" s="7" t="s">
        <v>202</v>
      </c>
      <c r="E52" s="7" t="s">
        <v>135</v>
      </c>
      <c r="F52" s="7" t="s">
        <v>136</v>
      </c>
      <c r="G52" s="7" t="s">
        <v>349</v>
      </c>
      <c r="I52" s="7" t="s">
        <v>135</v>
      </c>
      <c r="J52" s="7" t="s">
        <v>1086</v>
      </c>
      <c r="K52" s="7" t="s">
        <v>139</v>
      </c>
    </row>
    <row r="53" ht="13.5" customHeight="1">
      <c r="A53" s="7">
        <v>44.0</v>
      </c>
      <c r="B53" s="7" t="s">
        <v>7</v>
      </c>
      <c r="C53" s="7" t="s">
        <v>1087</v>
      </c>
      <c r="D53" s="7" t="s">
        <v>202</v>
      </c>
      <c r="E53" s="7" t="s">
        <v>135</v>
      </c>
      <c r="F53" s="7" t="s">
        <v>136</v>
      </c>
      <c r="G53" s="7" t="s">
        <v>349</v>
      </c>
      <c r="I53" s="7" t="s">
        <v>136</v>
      </c>
      <c r="J53" s="7" t="s">
        <v>1088</v>
      </c>
      <c r="K53" s="7" t="s">
        <v>139</v>
      </c>
    </row>
    <row r="54" ht="13.5" customHeight="1">
      <c r="A54" s="7">
        <v>29.0</v>
      </c>
      <c r="B54" s="7" t="s">
        <v>6</v>
      </c>
      <c r="C54" s="7" t="s">
        <v>1089</v>
      </c>
      <c r="D54" s="7" t="s">
        <v>373</v>
      </c>
      <c r="E54" s="7" t="s">
        <v>135</v>
      </c>
      <c r="F54" s="7" t="s">
        <v>136</v>
      </c>
      <c r="G54" s="7" t="s">
        <v>613</v>
      </c>
      <c r="I54" s="7" t="s">
        <v>136</v>
      </c>
      <c r="J54" s="7" t="s">
        <v>1090</v>
      </c>
      <c r="K54" s="7" t="s">
        <v>139</v>
      </c>
    </row>
    <row r="55" ht="13.5" customHeight="1">
      <c r="A55" s="7">
        <v>61.0</v>
      </c>
      <c r="B55" s="7" t="s">
        <v>6</v>
      </c>
      <c r="C55" s="7" t="s">
        <v>1085</v>
      </c>
      <c r="D55" s="7" t="s">
        <v>202</v>
      </c>
      <c r="E55" s="7" t="s">
        <v>136</v>
      </c>
      <c r="F55" s="7" t="s">
        <v>136</v>
      </c>
      <c r="G55" s="7" t="s">
        <v>349</v>
      </c>
      <c r="I55" s="7" t="s">
        <v>135</v>
      </c>
      <c r="J55" s="7" t="s">
        <v>1091</v>
      </c>
      <c r="K55" s="7" t="s">
        <v>139</v>
      </c>
    </row>
    <row r="56" ht="13.5" customHeight="1">
      <c r="A56" s="7">
        <v>37.0</v>
      </c>
      <c r="B56" s="7" t="s">
        <v>6</v>
      </c>
      <c r="C56" s="7" t="s">
        <v>1092</v>
      </c>
      <c r="D56" s="7" t="s">
        <v>202</v>
      </c>
      <c r="E56" s="7" t="s">
        <v>135</v>
      </c>
      <c r="F56" s="7" t="s">
        <v>136</v>
      </c>
      <c r="G56" s="142" t="s">
        <v>150</v>
      </c>
      <c r="I56" s="7" t="s">
        <v>136</v>
      </c>
      <c r="J56" s="7" t="s">
        <v>1093</v>
      </c>
      <c r="K56" s="7" t="s">
        <v>139</v>
      </c>
    </row>
    <row r="57" ht="13.5" customHeight="1">
      <c r="A57" s="7">
        <v>9.0</v>
      </c>
      <c r="B57" s="7" t="s">
        <v>6</v>
      </c>
      <c r="C57" s="7" t="s">
        <v>1094</v>
      </c>
      <c r="D57" s="7" t="s">
        <v>143</v>
      </c>
      <c r="E57" s="7" t="s">
        <v>135</v>
      </c>
      <c r="F57" s="7" t="s">
        <v>136</v>
      </c>
      <c r="G57" s="7" t="s">
        <v>349</v>
      </c>
      <c r="I57" s="7" t="s">
        <v>136</v>
      </c>
      <c r="J57" s="7" t="s">
        <v>1095</v>
      </c>
      <c r="K57" s="7" t="s">
        <v>139</v>
      </c>
    </row>
    <row r="58" ht="13.5" customHeight="1">
      <c r="A58" s="7">
        <v>17.0</v>
      </c>
      <c r="B58" s="7" t="s">
        <v>6</v>
      </c>
      <c r="C58" s="7" t="s">
        <v>1096</v>
      </c>
      <c r="D58" s="7" t="s">
        <v>153</v>
      </c>
      <c r="E58" s="7" t="s">
        <v>135</v>
      </c>
      <c r="F58" s="7" t="s">
        <v>136</v>
      </c>
      <c r="G58" s="7" t="s">
        <v>137</v>
      </c>
      <c r="I58" s="7" t="s">
        <v>135</v>
      </c>
      <c r="J58" s="7" t="s">
        <v>1097</v>
      </c>
      <c r="K58" s="7" t="s">
        <v>139</v>
      </c>
    </row>
    <row r="59" ht="13.5" customHeight="1">
      <c r="A59" s="7">
        <v>31.0</v>
      </c>
      <c r="B59" s="7" t="s">
        <v>6</v>
      </c>
      <c r="C59" s="7" t="s">
        <v>245</v>
      </c>
      <c r="D59" s="7" t="s">
        <v>202</v>
      </c>
      <c r="E59" s="7" t="s">
        <v>136</v>
      </c>
      <c r="F59" s="7" t="s">
        <v>136</v>
      </c>
      <c r="G59" s="7" t="s">
        <v>460</v>
      </c>
      <c r="I59" s="7" t="s">
        <v>136</v>
      </c>
      <c r="J59" s="7" t="s">
        <v>1098</v>
      </c>
      <c r="K59" s="7" t="s">
        <v>139</v>
      </c>
    </row>
    <row r="60" ht="13.5" customHeight="1">
      <c r="A60" s="7">
        <v>8.0</v>
      </c>
      <c r="B60" s="7" t="s">
        <v>7</v>
      </c>
      <c r="C60" s="7" t="s">
        <v>1020</v>
      </c>
      <c r="D60" s="7" t="s">
        <v>373</v>
      </c>
      <c r="E60" s="7" t="s">
        <v>135</v>
      </c>
      <c r="F60" s="7" t="s">
        <v>136</v>
      </c>
      <c r="G60" s="7" t="s">
        <v>1001</v>
      </c>
      <c r="I60" s="7" t="s">
        <v>136</v>
      </c>
      <c r="J60" s="7" t="s">
        <v>1099</v>
      </c>
      <c r="K60" s="7" t="s">
        <v>139</v>
      </c>
    </row>
    <row r="61" ht="13.5" customHeight="1">
      <c r="A61" s="7">
        <v>53.0</v>
      </c>
      <c r="B61" s="7" t="s">
        <v>7</v>
      </c>
      <c r="C61" s="7" t="s">
        <v>1020</v>
      </c>
      <c r="D61" s="7" t="s">
        <v>373</v>
      </c>
      <c r="E61" s="7" t="s">
        <v>135</v>
      </c>
      <c r="F61" s="7" t="s">
        <v>136</v>
      </c>
      <c r="G61" s="7" t="s">
        <v>1001</v>
      </c>
      <c r="I61" s="7" t="s">
        <v>136</v>
      </c>
      <c r="J61" s="7" t="s">
        <v>1100</v>
      </c>
      <c r="K61" s="7" t="s">
        <v>139</v>
      </c>
    </row>
    <row r="62" ht="13.5" customHeight="1">
      <c r="A62" s="7">
        <v>51.0</v>
      </c>
      <c r="B62" s="7" t="s">
        <v>6</v>
      </c>
      <c r="C62" s="7" t="s">
        <v>459</v>
      </c>
      <c r="D62" s="7" t="s">
        <v>197</v>
      </c>
      <c r="E62" s="7" t="s">
        <v>136</v>
      </c>
      <c r="F62" s="7" t="s">
        <v>136</v>
      </c>
      <c r="G62" s="142" t="s">
        <v>174</v>
      </c>
      <c r="I62" s="7" t="s">
        <v>136</v>
      </c>
      <c r="J62" s="7" t="s">
        <v>1101</v>
      </c>
      <c r="K62" s="7" t="s">
        <v>139</v>
      </c>
    </row>
    <row r="63" ht="13.5" customHeight="1">
      <c r="A63" s="7">
        <v>41.0</v>
      </c>
      <c r="B63" s="7" t="s">
        <v>7</v>
      </c>
      <c r="C63" s="7" t="s">
        <v>1102</v>
      </c>
      <c r="D63" s="7" t="s">
        <v>202</v>
      </c>
      <c r="E63" s="7" t="s">
        <v>135</v>
      </c>
      <c r="F63" s="7" t="s">
        <v>136</v>
      </c>
      <c r="G63" s="7" t="s">
        <v>144</v>
      </c>
      <c r="I63" s="7" t="s">
        <v>136</v>
      </c>
      <c r="J63" s="7" t="s">
        <v>1103</v>
      </c>
      <c r="K63" s="7" t="s">
        <v>139</v>
      </c>
    </row>
    <row r="64" ht="13.5" customHeight="1">
      <c r="A64" s="7">
        <v>27.0</v>
      </c>
      <c r="B64" s="7" t="s">
        <v>7</v>
      </c>
      <c r="C64" s="7" t="s">
        <v>787</v>
      </c>
      <c r="D64" s="7" t="s">
        <v>164</v>
      </c>
      <c r="E64" s="7" t="s">
        <v>136</v>
      </c>
      <c r="F64" s="7" t="s">
        <v>136</v>
      </c>
      <c r="G64" s="7" t="s">
        <v>594</v>
      </c>
      <c r="I64" s="7" t="s">
        <v>136</v>
      </c>
      <c r="J64" s="7" t="s">
        <v>1104</v>
      </c>
      <c r="K64" s="7" t="s">
        <v>139</v>
      </c>
    </row>
    <row r="65" ht="13.5" customHeight="1">
      <c r="A65" s="7">
        <v>63.0</v>
      </c>
      <c r="B65" s="7" t="s">
        <v>7</v>
      </c>
      <c r="C65" s="7" t="s">
        <v>315</v>
      </c>
      <c r="D65" s="7" t="s">
        <v>164</v>
      </c>
      <c r="E65" s="7" t="s">
        <v>136</v>
      </c>
      <c r="F65" s="7" t="s">
        <v>136</v>
      </c>
      <c r="G65" s="7" t="s">
        <v>185</v>
      </c>
      <c r="I65" s="7" t="s">
        <v>136</v>
      </c>
      <c r="J65" s="7" t="s">
        <v>1105</v>
      </c>
      <c r="K65" s="7" t="s">
        <v>139</v>
      </c>
    </row>
    <row r="66" ht="13.5" customHeight="1">
      <c r="A66" s="7">
        <v>26.0</v>
      </c>
      <c r="B66" s="7" t="s">
        <v>6</v>
      </c>
      <c r="C66" s="7" t="s">
        <v>1106</v>
      </c>
      <c r="D66" s="7" t="s">
        <v>193</v>
      </c>
      <c r="E66" s="7" t="s">
        <v>135</v>
      </c>
      <c r="F66" s="7" t="s">
        <v>136</v>
      </c>
      <c r="G66" s="7" t="s">
        <v>1027</v>
      </c>
      <c r="I66" s="7" t="s">
        <v>136</v>
      </c>
      <c r="J66" s="7" t="s">
        <v>1107</v>
      </c>
      <c r="K66" s="7" t="s">
        <v>139</v>
      </c>
    </row>
    <row r="67" ht="13.5" customHeight="1">
      <c r="A67" s="7">
        <v>5.0</v>
      </c>
      <c r="B67" s="7" t="s">
        <v>7</v>
      </c>
      <c r="C67" s="7" t="s">
        <v>466</v>
      </c>
      <c r="D67" s="7" t="s">
        <v>255</v>
      </c>
      <c r="E67" s="7" t="s">
        <v>135</v>
      </c>
      <c r="F67" s="7" t="s">
        <v>136</v>
      </c>
      <c r="G67" s="7" t="s">
        <v>1108</v>
      </c>
      <c r="H67" s="142" t="s">
        <v>1109</v>
      </c>
      <c r="I67" s="7" t="s">
        <v>136</v>
      </c>
      <c r="J67" s="7" t="s">
        <v>1110</v>
      </c>
      <c r="K67" s="7" t="s">
        <v>139</v>
      </c>
    </row>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5277777777778" footer="0.0" header="0.0" left="0.7875" right="0.7875" top="1.05277777777778"/>
  <pageSetup paperSize="9" orientation="portrait"/>
  <headerFooter>
    <oddHeader>&amp;Cffffff&amp;A</oddHeader>
    <oddFooter>&amp;CffffffSeite &amp;P</oddFooter>
  </headerFooter>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 customWidth="1" min="7" max="7" width="26.71"/>
    <col customWidth="1" min="8" max="8" width="18.0"/>
    <col customWidth="1" min="9" max="28" width="8.57"/>
  </cols>
  <sheetData>
    <row r="1" ht="13.5" customHeight="1">
      <c r="A1" s="2" t="s">
        <v>116</v>
      </c>
      <c r="B1" s="2" t="s">
        <v>117</v>
      </c>
      <c r="C1" s="2" t="s">
        <v>118</v>
      </c>
      <c r="D1" s="2" t="s">
        <v>119</v>
      </c>
      <c r="E1" s="2" t="s">
        <v>120</v>
      </c>
      <c r="F1" s="2" t="s">
        <v>121</v>
      </c>
      <c r="G1" s="2" t="s">
        <v>122</v>
      </c>
      <c r="H1" s="2" t="s">
        <v>123</v>
      </c>
      <c r="I1" s="2" t="s">
        <v>3769</v>
      </c>
      <c r="J1" s="2" t="s">
        <v>125</v>
      </c>
      <c r="K1" s="2" t="s">
        <v>126</v>
      </c>
      <c r="O1" s="123" t="s">
        <v>129</v>
      </c>
      <c r="P1" s="123" t="s">
        <v>130</v>
      </c>
      <c r="Q1" s="123" t="s">
        <v>131</v>
      </c>
      <c r="R1" s="123" t="s">
        <v>3880</v>
      </c>
    </row>
    <row r="2" ht="13.5" customHeight="1">
      <c r="A2" s="7">
        <v>30.0</v>
      </c>
      <c r="B2" s="7" t="s">
        <v>6</v>
      </c>
      <c r="C2" s="7" t="s">
        <v>1085</v>
      </c>
      <c r="D2" s="7" t="s">
        <v>202</v>
      </c>
      <c r="E2" s="7" t="s">
        <v>135</v>
      </c>
      <c r="F2" s="7" t="s">
        <v>136</v>
      </c>
      <c r="G2" s="7" t="s">
        <v>174</v>
      </c>
      <c r="I2" s="7" t="s">
        <v>136</v>
      </c>
      <c r="J2" s="7" t="s">
        <v>1111</v>
      </c>
      <c r="K2" s="7" t="s">
        <v>139</v>
      </c>
      <c r="O2" s="7" t="str">
        <f t="array" ref="O2:O14">UNIQUE(D2:D87)</f>
        <v>Spain</v>
      </c>
      <c r="P2" s="7">
        <f t="shared" ref="P2:P14" si="1">COUNTIF(D$2:D$87,O2)</f>
        <v>5</v>
      </c>
      <c r="Q2" s="7" t="str">
        <f t="array" ref="Q2">XLOOKUP(O2,Countries!A$2:A$98,Countries!B$2:B$98,"tbd",0)</f>
        <v>Europe</v>
      </c>
    </row>
    <row r="3" ht="13.5" customHeight="1">
      <c r="A3" s="7">
        <v>73.0</v>
      </c>
      <c r="B3" s="7" t="s">
        <v>7</v>
      </c>
      <c r="C3" s="7" t="s">
        <v>973</v>
      </c>
      <c r="D3" s="7" t="s">
        <v>164</v>
      </c>
      <c r="E3" s="7" t="s">
        <v>135</v>
      </c>
      <c r="F3" s="7" t="s">
        <v>136</v>
      </c>
      <c r="G3" s="7" t="s">
        <v>137</v>
      </c>
      <c r="I3" s="7" t="s">
        <v>136</v>
      </c>
      <c r="J3" s="7" t="s">
        <v>1112</v>
      </c>
      <c r="K3" s="7" t="s">
        <v>139</v>
      </c>
      <c r="O3" s="7" t="s">
        <v>164</v>
      </c>
      <c r="P3" s="7">
        <f t="shared" si="1"/>
        <v>6</v>
      </c>
      <c r="Q3" s="7" t="str">
        <f t="array" ref="Q3">XLOOKUP(O3,Countries!A$2:A$98,Countries!B$2:B$98,"tbd",0)</f>
        <v>Europe</v>
      </c>
    </row>
    <row r="4" ht="13.5" customHeight="1">
      <c r="A4" s="7">
        <v>21.0</v>
      </c>
      <c r="B4" s="7" t="s">
        <v>7</v>
      </c>
      <c r="C4" s="7" t="s">
        <v>1113</v>
      </c>
      <c r="D4" s="7" t="s">
        <v>233</v>
      </c>
      <c r="E4" s="7" t="s">
        <v>136</v>
      </c>
      <c r="F4" s="7" t="s">
        <v>136</v>
      </c>
      <c r="G4" s="7" t="s">
        <v>185</v>
      </c>
      <c r="H4" s="7" t="s">
        <v>1114</v>
      </c>
      <c r="I4" s="7" t="s">
        <v>135</v>
      </c>
      <c r="J4" s="7" t="s">
        <v>1115</v>
      </c>
      <c r="K4" s="7" t="s">
        <v>139</v>
      </c>
      <c r="O4" s="7" t="s">
        <v>233</v>
      </c>
      <c r="P4" s="7">
        <f t="shared" si="1"/>
        <v>44</v>
      </c>
      <c r="Q4" s="142" t="str">
        <f t="array" ref="Q4">XLOOKUP(O4,Countries!A$2:A$98,Countries!B$2:B$98,"tbd",0)</f>
        <v>widening countries</v>
      </c>
    </row>
    <row r="5" ht="13.5" customHeight="1">
      <c r="A5" s="7">
        <v>58.0</v>
      </c>
      <c r="B5" s="7" t="s">
        <v>6</v>
      </c>
      <c r="C5" s="7" t="s">
        <v>1116</v>
      </c>
      <c r="D5" s="7" t="s">
        <v>197</v>
      </c>
      <c r="E5" s="7" t="s">
        <v>135</v>
      </c>
      <c r="F5" s="7" t="s">
        <v>136</v>
      </c>
      <c r="G5" s="7" t="s">
        <v>1117</v>
      </c>
      <c r="H5" s="7" t="s">
        <v>411</v>
      </c>
      <c r="I5" s="7" t="s">
        <v>136</v>
      </c>
      <c r="J5" s="7" t="s">
        <v>1118</v>
      </c>
      <c r="K5" s="7" t="s">
        <v>139</v>
      </c>
      <c r="O5" s="7" t="s">
        <v>197</v>
      </c>
      <c r="P5" s="7">
        <f t="shared" si="1"/>
        <v>7</v>
      </c>
      <c r="Q5" s="7" t="str">
        <f t="array" ref="Q5">XLOOKUP(O5,Countries!A$2:A$98,Countries!B$2:B$98,"tbd",0)</f>
        <v>Europe</v>
      </c>
    </row>
    <row r="6" ht="13.5" customHeight="1">
      <c r="A6" s="7">
        <v>40.0</v>
      </c>
      <c r="B6" s="7" t="s">
        <v>7</v>
      </c>
      <c r="C6" s="7" t="s">
        <v>1119</v>
      </c>
      <c r="D6" s="7" t="s">
        <v>233</v>
      </c>
      <c r="E6" s="7" t="s">
        <v>136</v>
      </c>
      <c r="F6" s="7" t="s">
        <v>136</v>
      </c>
      <c r="G6" s="7" t="s">
        <v>185</v>
      </c>
      <c r="H6" s="7" t="s">
        <v>1120</v>
      </c>
      <c r="I6" s="7" t="s">
        <v>135</v>
      </c>
      <c r="J6" s="7" t="s">
        <v>1121</v>
      </c>
      <c r="K6" s="7" t="s">
        <v>139</v>
      </c>
      <c r="O6" s="7" t="s">
        <v>134</v>
      </c>
      <c r="P6" s="7">
        <f t="shared" si="1"/>
        <v>4</v>
      </c>
      <c r="Q6" s="7" t="str">
        <f t="array" ref="Q6">XLOOKUP(O6,Countries!A$2:A$98,Countries!B$2:B$98,"tbd",0)</f>
        <v>Europe</v>
      </c>
    </row>
    <row r="7" ht="13.5" customHeight="1">
      <c r="A7" s="7">
        <v>54.0</v>
      </c>
      <c r="B7" s="7" t="s">
        <v>7</v>
      </c>
      <c r="C7" s="7" t="s">
        <v>149</v>
      </c>
      <c r="D7" s="7" t="s">
        <v>134</v>
      </c>
      <c r="E7" s="7" t="s">
        <v>135</v>
      </c>
      <c r="F7" s="7" t="s">
        <v>136</v>
      </c>
      <c r="G7" s="7" t="s">
        <v>150</v>
      </c>
      <c r="H7" s="7" t="s">
        <v>151</v>
      </c>
      <c r="I7" s="7" t="s">
        <v>135</v>
      </c>
      <c r="J7" s="7" t="s">
        <v>1122</v>
      </c>
      <c r="K7" s="7" t="s">
        <v>139</v>
      </c>
      <c r="O7" s="7" t="s">
        <v>143</v>
      </c>
      <c r="P7" s="7">
        <f t="shared" si="1"/>
        <v>11</v>
      </c>
      <c r="Q7" s="7" t="str">
        <f t="array" ref="Q7">XLOOKUP(O7,Countries!A$2:A$98,Countries!B$2:B$98,"tbd",0)</f>
        <v>Europe</v>
      </c>
    </row>
    <row r="8" ht="13.5" customHeight="1">
      <c r="A8" s="7">
        <v>7.0</v>
      </c>
      <c r="B8" s="7" t="s">
        <v>6</v>
      </c>
      <c r="C8" s="7" t="s">
        <v>1123</v>
      </c>
      <c r="D8" s="7" t="s">
        <v>143</v>
      </c>
      <c r="E8" s="7" t="s">
        <v>136</v>
      </c>
      <c r="F8" s="7" t="s">
        <v>136</v>
      </c>
      <c r="G8" s="7" t="s">
        <v>231</v>
      </c>
      <c r="I8" s="7" t="s">
        <v>136</v>
      </c>
      <c r="J8" s="7" t="s">
        <v>1124</v>
      </c>
      <c r="K8" s="7" t="s">
        <v>139</v>
      </c>
      <c r="O8" s="7" t="s">
        <v>213</v>
      </c>
      <c r="P8" s="7">
        <f t="shared" si="1"/>
        <v>2</v>
      </c>
      <c r="Q8" s="142" t="str">
        <f t="array" ref="Q8">XLOOKUP(O8,Countries!A$2:A$98,Countries!B$2:B$98,"tbd",0)</f>
        <v>widening countries</v>
      </c>
    </row>
    <row r="9" ht="13.5" customHeight="1">
      <c r="A9" s="7">
        <v>79.0</v>
      </c>
      <c r="B9" s="7" t="s">
        <v>7</v>
      </c>
      <c r="C9" s="7" t="s">
        <v>1116</v>
      </c>
      <c r="D9" s="7" t="s">
        <v>197</v>
      </c>
      <c r="E9" s="7" t="s">
        <v>136</v>
      </c>
      <c r="F9" s="7" t="s">
        <v>136</v>
      </c>
      <c r="G9" s="7" t="s">
        <v>185</v>
      </c>
      <c r="H9" s="7" t="s">
        <v>252</v>
      </c>
      <c r="I9" s="7" t="s">
        <v>135</v>
      </c>
      <c r="J9" s="7" t="s">
        <v>1125</v>
      </c>
      <c r="K9" s="7" t="s">
        <v>139</v>
      </c>
      <c r="O9" s="7" t="s">
        <v>218</v>
      </c>
      <c r="P9" s="7">
        <f t="shared" si="1"/>
        <v>1</v>
      </c>
      <c r="Q9" s="7" t="str">
        <f t="array" ref="Q9">XLOOKUP(O9,Countries!A$2:A$98,Countries!B$2:B$98,"tbd",0)</f>
        <v>associated countries</v>
      </c>
    </row>
    <row r="10" ht="13.5" customHeight="1">
      <c r="A10" s="7">
        <v>61.0</v>
      </c>
      <c r="B10" s="7" t="s">
        <v>7</v>
      </c>
      <c r="C10" s="7" t="s">
        <v>338</v>
      </c>
      <c r="D10" s="7" t="s">
        <v>143</v>
      </c>
      <c r="E10" s="7" t="s">
        <v>136</v>
      </c>
      <c r="F10" s="7" t="s">
        <v>136</v>
      </c>
      <c r="G10" s="7" t="s">
        <v>174</v>
      </c>
      <c r="I10" s="7" t="s">
        <v>135</v>
      </c>
      <c r="J10" s="7" t="s">
        <v>1126</v>
      </c>
      <c r="K10" s="7" t="s">
        <v>139</v>
      </c>
      <c r="O10" s="7" t="s">
        <v>331</v>
      </c>
      <c r="P10" s="7">
        <f t="shared" si="1"/>
        <v>1</v>
      </c>
      <c r="Q10" s="7" t="str">
        <f t="array" ref="Q10">XLOOKUP(O10,Countries!A$2:A$98,Countries!B$2:B$98,"tbd",0)</f>
        <v>Europe</v>
      </c>
    </row>
    <row r="11" ht="13.5" customHeight="1">
      <c r="A11" s="7">
        <v>80.0</v>
      </c>
      <c r="B11" s="7" t="s">
        <v>7</v>
      </c>
      <c r="C11" s="7" t="s">
        <v>1127</v>
      </c>
      <c r="D11" s="7" t="s">
        <v>233</v>
      </c>
      <c r="E11" s="7" t="s">
        <v>136</v>
      </c>
      <c r="F11" s="7" t="s">
        <v>136</v>
      </c>
      <c r="G11" s="7" t="s">
        <v>185</v>
      </c>
      <c r="H11" s="7" t="s">
        <v>1128</v>
      </c>
      <c r="I11" s="7" t="s">
        <v>136</v>
      </c>
      <c r="J11" s="7" t="s">
        <v>1129</v>
      </c>
      <c r="K11" s="7" t="s">
        <v>139</v>
      </c>
      <c r="O11" s="7" t="s">
        <v>187</v>
      </c>
      <c r="P11" s="7">
        <f t="shared" si="1"/>
        <v>1</v>
      </c>
      <c r="Q11" s="7" t="str">
        <f t="array" ref="Q11">XLOOKUP(O11,Countries!A$2:A$98,Countries!B$2:B$98,"tbd",0)</f>
        <v>Europe</v>
      </c>
    </row>
    <row r="12" ht="13.5" customHeight="1">
      <c r="A12" s="7">
        <v>85.0</v>
      </c>
      <c r="B12" s="7" t="s">
        <v>6</v>
      </c>
      <c r="C12" s="7" t="s">
        <v>1130</v>
      </c>
      <c r="D12" s="7" t="s">
        <v>233</v>
      </c>
      <c r="E12" s="7" t="s">
        <v>136</v>
      </c>
      <c r="F12" s="7" t="s">
        <v>135</v>
      </c>
      <c r="G12" s="7" t="s">
        <v>174</v>
      </c>
      <c r="I12" s="7" t="s">
        <v>135</v>
      </c>
      <c r="J12" s="7" t="s">
        <v>1131</v>
      </c>
      <c r="K12" s="7" t="s">
        <v>139</v>
      </c>
      <c r="O12" s="7" t="s">
        <v>290</v>
      </c>
      <c r="P12" s="7">
        <f t="shared" si="1"/>
        <v>2</v>
      </c>
      <c r="Q12" s="289" t="str">
        <f t="array" ref="Q12">XLOOKUP(O12,Countries!A$2:A$98,Countries!B$2:B$98,"tbd",0)</f>
        <v>Middle East</v>
      </c>
    </row>
    <row r="13" ht="13.5" customHeight="1">
      <c r="A13" s="7">
        <v>48.0</v>
      </c>
      <c r="B13" s="7" t="s">
        <v>7</v>
      </c>
      <c r="C13" s="7" t="s">
        <v>1132</v>
      </c>
      <c r="D13" s="7" t="s">
        <v>233</v>
      </c>
      <c r="E13" s="7" t="s">
        <v>136</v>
      </c>
      <c r="F13" s="7" t="s">
        <v>136</v>
      </c>
      <c r="G13" s="7" t="s">
        <v>231</v>
      </c>
      <c r="I13" s="7" t="s">
        <v>135</v>
      </c>
      <c r="J13" s="7" t="s">
        <v>1133</v>
      </c>
      <c r="K13" s="7" t="s">
        <v>139</v>
      </c>
      <c r="O13" s="7" t="s">
        <v>193</v>
      </c>
      <c r="P13" s="7">
        <f t="shared" si="1"/>
        <v>1</v>
      </c>
      <c r="Q13" s="7" t="str">
        <f t="array" ref="Q13">XLOOKUP(O13,Countries!A$2:A$98,Countries!B$2:B$98,"tbd",0)</f>
        <v>associated countries</v>
      </c>
    </row>
    <row r="14" ht="13.5" customHeight="1">
      <c r="A14" s="7">
        <v>87.0</v>
      </c>
      <c r="B14" s="7" t="s">
        <v>6</v>
      </c>
      <c r="C14" s="7" t="s">
        <v>1134</v>
      </c>
      <c r="D14" s="7" t="s">
        <v>233</v>
      </c>
      <c r="E14" s="7" t="s">
        <v>135</v>
      </c>
      <c r="F14" s="7" t="s">
        <v>136</v>
      </c>
      <c r="G14" s="7" t="s">
        <v>174</v>
      </c>
      <c r="I14" s="7" t="s">
        <v>135</v>
      </c>
      <c r="J14" s="7" t="s">
        <v>1135</v>
      </c>
      <c r="K14" s="7" t="s">
        <v>139</v>
      </c>
      <c r="O14" s="7" t="s">
        <v>255</v>
      </c>
      <c r="P14" s="7">
        <f t="shared" si="1"/>
        <v>1</v>
      </c>
      <c r="Q14" s="289" t="str">
        <f t="array" ref="Q14">XLOOKUP(O14,Countries!A$2:A$98,Countries!B$2:B$98,"tbd",0)</f>
        <v>Asia</v>
      </c>
    </row>
    <row r="15" ht="13.5" customHeight="1">
      <c r="A15" s="7">
        <v>50.0</v>
      </c>
      <c r="B15" s="7" t="s">
        <v>7</v>
      </c>
      <c r="C15" s="7" t="s">
        <v>1136</v>
      </c>
      <c r="D15" s="7" t="s">
        <v>202</v>
      </c>
      <c r="E15" s="7" t="s">
        <v>135</v>
      </c>
      <c r="F15" s="7" t="s">
        <v>136</v>
      </c>
      <c r="G15" s="7" t="s">
        <v>144</v>
      </c>
      <c r="I15" s="7" t="s">
        <v>136</v>
      </c>
      <c r="J15" s="7" t="s">
        <v>1137</v>
      </c>
      <c r="K15" s="7" t="s">
        <v>139</v>
      </c>
    </row>
    <row r="16" ht="13.5" customHeight="1">
      <c r="A16" s="7">
        <v>9.0</v>
      </c>
      <c r="B16" s="7" t="s">
        <v>7</v>
      </c>
      <c r="C16" s="7" t="s">
        <v>1138</v>
      </c>
      <c r="D16" s="7" t="s">
        <v>233</v>
      </c>
      <c r="E16" s="7" t="s">
        <v>135</v>
      </c>
      <c r="F16" s="7" t="s">
        <v>136</v>
      </c>
      <c r="G16" s="7" t="s">
        <v>185</v>
      </c>
      <c r="H16" s="7" t="s">
        <v>1128</v>
      </c>
      <c r="I16" s="7" t="s">
        <v>135</v>
      </c>
      <c r="J16" s="7" t="s">
        <v>1139</v>
      </c>
      <c r="K16" s="7" t="s">
        <v>139</v>
      </c>
    </row>
    <row r="17" ht="13.5" customHeight="1">
      <c r="A17" s="7">
        <v>29.0</v>
      </c>
      <c r="B17" s="7" t="s">
        <v>6</v>
      </c>
      <c r="C17" s="7" t="s">
        <v>987</v>
      </c>
      <c r="D17" s="7" t="s">
        <v>213</v>
      </c>
      <c r="E17" s="7" t="s">
        <v>135</v>
      </c>
      <c r="F17" s="7" t="s">
        <v>136</v>
      </c>
      <c r="G17" s="7" t="s">
        <v>221</v>
      </c>
      <c r="I17" s="7" t="s">
        <v>135</v>
      </c>
      <c r="J17" s="7" t="s">
        <v>1140</v>
      </c>
      <c r="K17" s="7" t="s">
        <v>139</v>
      </c>
      <c r="Q17" s="7">
        <f>5+6+7+4+11+1+1</f>
        <v>35</v>
      </c>
      <c r="R17" s="7" t="s">
        <v>328</v>
      </c>
    </row>
    <row r="18" ht="13.5" customHeight="1">
      <c r="A18" s="7">
        <v>76.0</v>
      </c>
      <c r="B18" s="7" t="s">
        <v>7</v>
      </c>
      <c r="C18" s="7" t="s">
        <v>195</v>
      </c>
      <c r="D18" s="7" t="s">
        <v>164</v>
      </c>
      <c r="E18" s="7" t="s">
        <v>135</v>
      </c>
      <c r="F18" s="7" t="s">
        <v>136</v>
      </c>
      <c r="G18" s="7" t="s">
        <v>174</v>
      </c>
      <c r="H18" s="7" t="s">
        <v>1141</v>
      </c>
      <c r="I18" s="7" t="s">
        <v>135</v>
      </c>
      <c r="J18" s="7" t="s">
        <v>1142</v>
      </c>
      <c r="K18" s="7" t="s">
        <v>139</v>
      </c>
      <c r="Q18" s="7">
        <f>44+2+1+1</f>
        <v>48</v>
      </c>
      <c r="R18" s="7" t="s">
        <v>4123</v>
      </c>
    </row>
    <row r="19" ht="13.5" customHeight="1">
      <c r="A19" s="7">
        <v>25.0</v>
      </c>
      <c r="B19" s="7" t="s">
        <v>6</v>
      </c>
      <c r="C19" s="7" t="s">
        <v>1143</v>
      </c>
      <c r="D19" s="7" t="s">
        <v>134</v>
      </c>
      <c r="E19" s="7" t="s">
        <v>136</v>
      </c>
      <c r="F19" s="7" t="s">
        <v>136</v>
      </c>
      <c r="G19" s="7" t="s">
        <v>1144</v>
      </c>
      <c r="I19" s="7" t="s">
        <v>135</v>
      </c>
      <c r="J19" s="7" t="s">
        <v>1145</v>
      </c>
      <c r="K19" s="7" t="s">
        <v>139</v>
      </c>
      <c r="Q19" s="7">
        <v>2.0</v>
      </c>
      <c r="R19" s="7" t="s">
        <v>155</v>
      </c>
    </row>
    <row r="20" ht="13.5" customHeight="1">
      <c r="A20" s="7">
        <v>13.0</v>
      </c>
      <c r="B20" s="7" t="s">
        <v>6</v>
      </c>
      <c r="C20" s="7" t="s">
        <v>1146</v>
      </c>
      <c r="D20" s="7" t="s">
        <v>143</v>
      </c>
      <c r="E20" s="7" t="s">
        <v>135</v>
      </c>
      <c r="F20" s="7" t="s">
        <v>136</v>
      </c>
      <c r="G20" s="7" t="s">
        <v>1147</v>
      </c>
      <c r="H20" s="7" t="s">
        <v>1148</v>
      </c>
      <c r="I20" s="7" t="s">
        <v>136</v>
      </c>
      <c r="J20" s="7" t="s">
        <v>1149</v>
      </c>
      <c r="K20" s="7" t="s">
        <v>139</v>
      </c>
      <c r="Q20" s="7">
        <v>1.0</v>
      </c>
      <c r="R20" s="7" t="s">
        <v>148</v>
      </c>
    </row>
    <row r="21" ht="13.5" customHeight="1">
      <c r="A21" s="7">
        <v>1.0</v>
      </c>
      <c r="B21" s="7" t="s">
        <v>7</v>
      </c>
      <c r="C21" s="7" t="s">
        <v>1150</v>
      </c>
      <c r="D21" s="7" t="s">
        <v>233</v>
      </c>
      <c r="E21" s="7" t="s">
        <v>136</v>
      </c>
      <c r="F21" s="7" t="s">
        <v>135</v>
      </c>
      <c r="G21" s="7" t="s">
        <v>185</v>
      </c>
      <c r="H21" s="7" t="s">
        <v>1151</v>
      </c>
      <c r="I21" s="7" t="s">
        <v>135</v>
      </c>
      <c r="J21" s="7" t="s">
        <v>1152</v>
      </c>
      <c r="K21" s="7" t="s">
        <v>139</v>
      </c>
    </row>
    <row r="22" ht="13.5" customHeight="1">
      <c r="A22" s="7">
        <v>3.0</v>
      </c>
      <c r="B22" s="7" t="s">
        <v>6</v>
      </c>
      <c r="C22" s="7" t="s">
        <v>240</v>
      </c>
      <c r="D22" s="7" t="s">
        <v>197</v>
      </c>
      <c r="E22" s="7" t="s">
        <v>136</v>
      </c>
      <c r="F22" s="7" t="s">
        <v>136</v>
      </c>
      <c r="G22" s="7" t="s">
        <v>241</v>
      </c>
      <c r="I22" s="7" t="s">
        <v>135</v>
      </c>
      <c r="J22" s="7" t="s">
        <v>1153</v>
      </c>
      <c r="K22" s="7" t="s">
        <v>139</v>
      </c>
    </row>
    <row r="23" ht="13.5" customHeight="1">
      <c r="A23" s="7">
        <v>20.0</v>
      </c>
      <c r="B23" s="7" t="s">
        <v>7</v>
      </c>
      <c r="C23" s="7" t="s">
        <v>1127</v>
      </c>
      <c r="D23" s="7" t="s">
        <v>233</v>
      </c>
      <c r="E23" s="7" t="s">
        <v>135</v>
      </c>
      <c r="F23" s="7" t="s">
        <v>136</v>
      </c>
      <c r="G23" s="7" t="s">
        <v>157</v>
      </c>
      <c r="I23" s="7" t="s">
        <v>135</v>
      </c>
      <c r="J23" s="7" t="s">
        <v>1154</v>
      </c>
      <c r="K23" s="7" t="s">
        <v>139</v>
      </c>
      <c r="P23" s="7">
        <v>46.0</v>
      </c>
      <c r="Q23" s="7" t="s">
        <v>451</v>
      </c>
    </row>
    <row r="24" ht="13.5" customHeight="1">
      <c r="A24" s="7">
        <v>37.0</v>
      </c>
      <c r="B24" s="7" t="s">
        <v>7</v>
      </c>
      <c r="C24" s="7" t="s">
        <v>1155</v>
      </c>
      <c r="D24" s="7" t="s">
        <v>233</v>
      </c>
      <c r="E24" s="7" t="s">
        <v>135</v>
      </c>
      <c r="F24" s="7" t="s">
        <v>136</v>
      </c>
      <c r="G24" s="7" t="s">
        <v>185</v>
      </c>
      <c r="H24" s="7" t="s">
        <v>1156</v>
      </c>
      <c r="I24" s="7" t="s">
        <v>136</v>
      </c>
      <c r="J24" s="7" t="s">
        <v>1157</v>
      </c>
      <c r="K24" s="7" t="s">
        <v>139</v>
      </c>
      <c r="P24" s="7">
        <v>3.0</v>
      </c>
      <c r="Q24" s="289" t="s">
        <v>22</v>
      </c>
    </row>
    <row r="25" ht="13.5" customHeight="1">
      <c r="A25" s="7">
        <v>67.0</v>
      </c>
      <c r="B25" s="7" t="s">
        <v>7</v>
      </c>
      <c r="C25" s="7" t="s">
        <v>1158</v>
      </c>
      <c r="D25" s="7" t="s">
        <v>233</v>
      </c>
      <c r="E25" s="7" t="s">
        <v>136</v>
      </c>
      <c r="F25" s="7" t="s">
        <v>136</v>
      </c>
      <c r="G25" s="7" t="s">
        <v>185</v>
      </c>
      <c r="I25" s="7" t="s">
        <v>135</v>
      </c>
      <c r="J25" s="7" t="s">
        <v>1159</v>
      </c>
      <c r="K25" s="7" t="s">
        <v>139</v>
      </c>
    </row>
    <row r="26" ht="13.5" customHeight="1">
      <c r="A26" s="7">
        <v>56.0</v>
      </c>
      <c r="B26" s="7" t="s">
        <v>7</v>
      </c>
      <c r="C26" s="7" t="s">
        <v>315</v>
      </c>
      <c r="D26" s="7" t="s">
        <v>164</v>
      </c>
      <c r="E26" s="7" t="s">
        <v>135</v>
      </c>
      <c r="F26" s="7" t="s">
        <v>136</v>
      </c>
      <c r="G26" s="7" t="s">
        <v>1160</v>
      </c>
      <c r="H26" s="7" t="s">
        <v>1161</v>
      </c>
      <c r="I26" s="7" t="s">
        <v>136</v>
      </c>
      <c r="J26" s="7" t="s">
        <v>1162</v>
      </c>
      <c r="K26" s="7" t="s">
        <v>139</v>
      </c>
    </row>
    <row r="27" ht="13.5" customHeight="1">
      <c r="A27" s="7">
        <v>42.0</v>
      </c>
      <c r="B27" s="7" t="s">
        <v>7</v>
      </c>
      <c r="C27" s="7" t="s">
        <v>1119</v>
      </c>
      <c r="D27" s="7" t="s">
        <v>233</v>
      </c>
      <c r="E27" s="7" t="s">
        <v>136</v>
      </c>
      <c r="F27" s="7" t="s">
        <v>136</v>
      </c>
      <c r="G27" s="7" t="s">
        <v>157</v>
      </c>
      <c r="I27" s="7" t="s">
        <v>135</v>
      </c>
      <c r="J27" s="7" t="s">
        <v>1163</v>
      </c>
      <c r="K27" s="7" t="s">
        <v>139</v>
      </c>
    </row>
    <row r="28" ht="13.5" customHeight="1">
      <c r="A28" s="7">
        <v>88.0</v>
      </c>
      <c r="B28" s="7" t="s">
        <v>6</v>
      </c>
      <c r="C28" s="7" t="s">
        <v>1134</v>
      </c>
      <c r="D28" s="7" t="s">
        <v>233</v>
      </c>
      <c r="E28" s="7" t="s">
        <v>135</v>
      </c>
      <c r="F28" s="7" t="s">
        <v>136</v>
      </c>
      <c r="G28" s="7" t="s">
        <v>174</v>
      </c>
      <c r="I28" s="7" t="s">
        <v>135</v>
      </c>
      <c r="J28" s="7" t="s">
        <v>1135</v>
      </c>
      <c r="K28" s="7" t="s">
        <v>139</v>
      </c>
    </row>
    <row r="29" ht="13.5" customHeight="1">
      <c r="A29" s="7">
        <v>38.0</v>
      </c>
      <c r="B29" s="7" t="s">
        <v>7</v>
      </c>
      <c r="C29" s="7" t="s">
        <v>1164</v>
      </c>
      <c r="D29" s="7" t="s">
        <v>233</v>
      </c>
      <c r="E29" s="7" t="s">
        <v>136</v>
      </c>
      <c r="F29" s="7" t="s">
        <v>136</v>
      </c>
      <c r="G29" s="7" t="s">
        <v>185</v>
      </c>
      <c r="H29" s="7" t="s">
        <v>1165</v>
      </c>
      <c r="I29" s="7" t="s">
        <v>135</v>
      </c>
      <c r="J29" s="7" t="s">
        <v>1166</v>
      </c>
      <c r="K29" s="7" t="s">
        <v>139</v>
      </c>
    </row>
    <row r="30" ht="13.5" customHeight="1">
      <c r="A30" s="7">
        <v>59.0</v>
      </c>
      <c r="B30" s="7" t="s">
        <v>7</v>
      </c>
      <c r="C30" s="7" t="s">
        <v>1167</v>
      </c>
      <c r="D30" s="7" t="s">
        <v>143</v>
      </c>
      <c r="E30" s="7" t="s">
        <v>135</v>
      </c>
      <c r="F30" s="7" t="s">
        <v>136</v>
      </c>
      <c r="G30" s="7" t="s">
        <v>185</v>
      </c>
      <c r="H30" s="7" t="s">
        <v>1168</v>
      </c>
      <c r="I30" s="7" t="s">
        <v>135</v>
      </c>
      <c r="J30" s="7" t="s">
        <v>1169</v>
      </c>
      <c r="K30" s="7" t="s">
        <v>139</v>
      </c>
    </row>
    <row r="31" ht="13.5" customHeight="1">
      <c r="A31" s="7">
        <v>63.0</v>
      </c>
      <c r="B31" s="7" t="s">
        <v>6</v>
      </c>
      <c r="C31" s="7" t="s">
        <v>338</v>
      </c>
      <c r="D31" s="7" t="s">
        <v>143</v>
      </c>
      <c r="E31" s="7" t="s">
        <v>135</v>
      </c>
      <c r="F31" s="7" t="s">
        <v>136</v>
      </c>
      <c r="G31" s="7" t="s">
        <v>251</v>
      </c>
      <c r="I31" s="7" t="s">
        <v>135</v>
      </c>
      <c r="J31" s="7" t="s">
        <v>1170</v>
      </c>
      <c r="K31" s="7" t="s">
        <v>139</v>
      </c>
    </row>
    <row r="32" ht="13.5" customHeight="1">
      <c r="A32" s="7">
        <v>75.0</v>
      </c>
      <c r="B32" s="7" t="s">
        <v>6</v>
      </c>
      <c r="C32" s="7" t="s">
        <v>1171</v>
      </c>
      <c r="D32" s="7" t="s">
        <v>164</v>
      </c>
      <c r="E32" s="7" t="s">
        <v>135</v>
      </c>
      <c r="F32" s="7" t="s">
        <v>136</v>
      </c>
      <c r="G32" s="7" t="s">
        <v>185</v>
      </c>
      <c r="H32" s="7" t="s">
        <v>1172</v>
      </c>
      <c r="I32" s="7" t="s">
        <v>136</v>
      </c>
      <c r="J32" s="7" t="s">
        <v>1173</v>
      </c>
      <c r="K32" s="7" t="s">
        <v>139</v>
      </c>
    </row>
    <row r="33" ht="13.5" customHeight="1">
      <c r="A33" s="7">
        <v>15.0</v>
      </c>
      <c r="B33" s="7" t="s">
        <v>7</v>
      </c>
      <c r="C33" s="7" t="s">
        <v>1174</v>
      </c>
      <c r="D33" s="7" t="s">
        <v>134</v>
      </c>
      <c r="E33" s="7" t="s">
        <v>135</v>
      </c>
      <c r="F33" s="7" t="s">
        <v>136</v>
      </c>
      <c r="G33" s="7" t="s">
        <v>1175</v>
      </c>
      <c r="I33" s="7" t="s">
        <v>136</v>
      </c>
      <c r="J33" s="7" t="s">
        <v>1176</v>
      </c>
      <c r="K33" s="7" t="s">
        <v>139</v>
      </c>
    </row>
    <row r="34" ht="13.5" customHeight="1">
      <c r="A34" s="7">
        <v>35.0</v>
      </c>
      <c r="B34" s="7" t="s">
        <v>7</v>
      </c>
      <c r="C34" s="7" t="s">
        <v>1177</v>
      </c>
      <c r="D34" s="7" t="s">
        <v>233</v>
      </c>
      <c r="E34" s="7" t="s">
        <v>136</v>
      </c>
      <c r="F34" s="7" t="s">
        <v>136</v>
      </c>
      <c r="G34" s="7" t="s">
        <v>144</v>
      </c>
      <c r="H34" s="7" t="s">
        <v>1178</v>
      </c>
      <c r="I34" s="7" t="s">
        <v>135</v>
      </c>
      <c r="J34" s="7" t="s">
        <v>1179</v>
      </c>
      <c r="K34" s="7" t="s">
        <v>139</v>
      </c>
    </row>
    <row r="35" ht="13.5" customHeight="1">
      <c r="A35" s="7">
        <v>51.0</v>
      </c>
      <c r="B35" s="7" t="s">
        <v>7</v>
      </c>
      <c r="C35" s="7" t="s">
        <v>1116</v>
      </c>
      <c r="D35" s="7" t="s">
        <v>197</v>
      </c>
      <c r="E35" s="7" t="s">
        <v>136</v>
      </c>
      <c r="F35" s="7" t="s">
        <v>136</v>
      </c>
      <c r="G35" s="7" t="s">
        <v>401</v>
      </c>
      <c r="H35" s="7" t="s">
        <v>1180</v>
      </c>
      <c r="I35" s="7" t="s">
        <v>135</v>
      </c>
      <c r="J35" s="7" t="s">
        <v>1181</v>
      </c>
      <c r="K35" s="7" t="s">
        <v>139</v>
      </c>
    </row>
    <row r="36" ht="13.5" customHeight="1">
      <c r="A36" s="7">
        <v>44.0</v>
      </c>
      <c r="B36" s="7" t="s">
        <v>7</v>
      </c>
      <c r="C36" s="7" t="s">
        <v>1182</v>
      </c>
      <c r="D36" s="7" t="s">
        <v>233</v>
      </c>
      <c r="E36" s="7" t="s">
        <v>136</v>
      </c>
      <c r="F36" s="7" t="s">
        <v>136</v>
      </c>
      <c r="G36" s="7" t="s">
        <v>1183</v>
      </c>
      <c r="H36" s="7" t="s">
        <v>1184</v>
      </c>
      <c r="I36" s="7" t="s">
        <v>135</v>
      </c>
      <c r="J36" s="7" t="s">
        <v>1185</v>
      </c>
      <c r="K36" s="7" t="s">
        <v>139</v>
      </c>
    </row>
    <row r="37" ht="13.5" customHeight="1">
      <c r="A37" s="7">
        <v>70.0</v>
      </c>
      <c r="B37" s="7" t="s">
        <v>6</v>
      </c>
      <c r="C37" s="7" t="s">
        <v>1127</v>
      </c>
      <c r="D37" s="7" t="s">
        <v>233</v>
      </c>
      <c r="E37" s="7" t="s">
        <v>136</v>
      </c>
      <c r="F37" s="7" t="s">
        <v>136</v>
      </c>
      <c r="G37" s="7" t="s">
        <v>185</v>
      </c>
      <c r="H37" s="7" t="s">
        <v>1186</v>
      </c>
      <c r="I37" s="7" t="s">
        <v>135</v>
      </c>
      <c r="J37" s="7" t="s">
        <v>1187</v>
      </c>
      <c r="K37" s="7" t="s">
        <v>139</v>
      </c>
    </row>
    <row r="38" ht="13.5" customHeight="1">
      <c r="A38" s="7">
        <v>72.0</v>
      </c>
      <c r="B38" s="7" t="s">
        <v>7</v>
      </c>
      <c r="C38" s="7" t="s">
        <v>1188</v>
      </c>
      <c r="D38" s="7" t="s">
        <v>233</v>
      </c>
      <c r="E38" s="7" t="s">
        <v>135</v>
      </c>
      <c r="F38" s="7" t="s">
        <v>136</v>
      </c>
      <c r="G38" s="7" t="s">
        <v>185</v>
      </c>
      <c r="H38" s="7" t="s">
        <v>1189</v>
      </c>
      <c r="I38" s="7" t="s">
        <v>136</v>
      </c>
      <c r="J38" s="7" t="s">
        <v>1190</v>
      </c>
      <c r="K38" s="7" t="s">
        <v>139</v>
      </c>
    </row>
    <row r="39" ht="13.5" customHeight="1">
      <c r="A39" s="7">
        <v>41.0</v>
      </c>
      <c r="B39" s="7" t="s">
        <v>7</v>
      </c>
      <c r="C39" s="7" t="s">
        <v>1177</v>
      </c>
      <c r="D39" s="7" t="s">
        <v>233</v>
      </c>
      <c r="E39" s="7" t="s">
        <v>136</v>
      </c>
      <c r="F39" s="7" t="s">
        <v>136</v>
      </c>
      <c r="G39" s="7" t="s">
        <v>144</v>
      </c>
      <c r="I39" s="7" t="s">
        <v>135</v>
      </c>
      <c r="J39" s="7" t="s">
        <v>1191</v>
      </c>
      <c r="K39" s="7" t="s">
        <v>139</v>
      </c>
    </row>
    <row r="40" ht="13.5" customHeight="1">
      <c r="A40" s="7">
        <v>23.0</v>
      </c>
      <c r="B40" s="7" t="s">
        <v>7</v>
      </c>
      <c r="C40" s="7" t="s">
        <v>1127</v>
      </c>
      <c r="D40" s="7" t="s">
        <v>233</v>
      </c>
      <c r="E40" s="7" t="s">
        <v>136</v>
      </c>
      <c r="F40" s="7" t="s">
        <v>136</v>
      </c>
      <c r="G40" s="7" t="s">
        <v>157</v>
      </c>
      <c r="I40" s="7" t="s">
        <v>135</v>
      </c>
      <c r="J40" s="7" t="s">
        <v>1192</v>
      </c>
      <c r="K40" s="7" t="s">
        <v>139</v>
      </c>
    </row>
    <row r="41" ht="13.5" customHeight="1">
      <c r="A41" s="7">
        <v>28.0</v>
      </c>
      <c r="B41" s="7" t="s">
        <v>6</v>
      </c>
      <c r="C41" s="7" t="s">
        <v>142</v>
      </c>
      <c r="D41" s="7" t="s">
        <v>143</v>
      </c>
      <c r="E41" s="7" t="s">
        <v>136</v>
      </c>
      <c r="F41" s="7" t="s">
        <v>136</v>
      </c>
      <c r="G41" s="7" t="s">
        <v>1193</v>
      </c>
      <c r="I41" s="7" t="s">
        <v>135</v>
      </c>
      <c r="J41" s="7" t="s">
        <v>1194</v>
      </c>
      <c r="K41" s="7" t="s">
        <v>139</v>
      </c>
    </row>
    <row r="42" ht="13.5" customHeight="1">
      <c r="A42" s="7">
        <v>46.0</v>
      </c>
      <c r="B42" s="7" t="s">
        <v>7</v>
      </c>
      <c r="C42" s="7" t="s">
        <v>1195</v>
      </c>
      <c r="D42" s="7" t="s">
        <v>233</v>
      </c>
      <c r="E42" s="7" t="s">
        <v>136</v>
      </c>
      <c r="F42" s="7" t="s">
        <v>136</v>
      </c>
      <c r="G42" s="7" t="s">
        <v>363</v>
      </c>
      <c r="I42" s="7" t="s">
        <v>135</v>
      </c>
      <c r="J42" s="7" t="s">
        <v>1196</v>
      </c>
      <c r="K42" s="7" t="s">
        <v>139</v>
      </c>
    </row>
    <row r="43" ht="13.5" customHeight="1">
      <c r="A43" s="7">
        <v>5.0</v>
      </c>
      <c r="B43" s="7" t="s">
        <v>7</v>
      </c>
      <c r="C43" s="7" t="s">
        <v>371</v>
      </c>
      <c r="D43" s="7" t="s">
        <v>197</v>
      </c>
      <c r="E43" s="7" t="s">
        <v>136</v>
      </c>
      <c r="F43" s="7" t="s">
        <v>136</v>
      </c>
      <c r="G43" s="7" t="s">
        <v>1197</v>
      </c>
      <c r="I43" s="7" t="s">
        <v>135</v>
      </c>
      <c r="J43" s="7" t="s">
        <v>1198</v>
      </c>
      <c r="K43" s="7" t="s">
        <v>139</v>
      </c>
    </row>
    <row r="44" ht="13.5" customHeight="1">
      <c r="A44" s="7">
        <v>4.0</v>
      </c>
      <c r="B44" s="7" t="s">
        <v>6</v>
      </c>
      <c r="C44" s="7" t="s">
        <v>641</v>
      </c>
      <c r="D44" s="7" t="s">
        <v>218</v>
      </c>
      <c r="E44" s="7" t="s">
        <v>136</v>
      </c>
      <c r="F44" s="7" t="s">
        <v>136</v>
      </c>
      <c r="G44" s="7" t="s">
        <v>137</v>
      </c>
      <c r="I44" s="7" t="s">
        <v>135</v>
      </c>
      <c r="J44" s="7" t="s">
        <v>1199</v>
      </c>
      <c r="K44" s="7" t="s">
        <v>139</v>
      </c>
    </row>
    <row r="45" ht="13.5" customHeight="1">
      <c r="A45" s="7">
        <v>69.0</v>
      </c>
      <c r="B45" s="7" t="s">
        <v>7</v>
      </c>
      <c r="C45" s="7" t="s">
        <v>1200</v>
      </c>
      <c r="D45" s="7" t="s">
        <v>233</v>
      </c>
      <c r="E45" s="7" t="s">
        <v>135</v>
      </c>
      <c r="F45" s="7" t="s">
        <v>136</v>
      </c>
      <c r="G45" s="7" t="s">
        <v>144</v>
      </c>
      <c r="H45" s="7" t="s">
        <v>1201</v>
      </c>
      <c r="I45" s="7" t="s">
        <v>136</v>
      </c>
      <c r="J45" s="7" t="s">
        <v>1202</v>
      </c>
      <c r="K45" s="7" t="s">
        <v>139</v>
      </c>
    </row>
    <row r="46" ht="13.5" customHeight="1">
      <c r="A46" s="7">
        <v>6.0</v>
      </c>
      <c r="B46" s="7" t="s">
        <v>7</v>
      </c>
      <c r="C46" s="7" t="s">
        <v>167</v>
      </c>
      <c r="D46" s="7" t="s">
        <v>143</v>
      </c>
      <c r="E46" s="7" t="s">
        <v>136</v>
      </c>
      <c r="F46" s="7" t="s">
        <v>136</v>
      </c>
      <c r="G46" s="7" t="s">
        <v>385</v>
      </c>
      <c r="I46" s="7" t="s">
        <v>135</v>
      </c>
      <c r="J46" s="7" t="s">
        <v>1203</v>
      </c>
      <c r="K46" s="7" t="s">
        <v>139</v>
      </c>
    </row>
    <row r="47" ht="13.5" customHeight="1">
      <c r="A47" s="7">
        <v>2.0</v>
      </c>
      <c r="B47" s="7" t="s">
        <v>7</v>
      </c>
      <c r="C47" s="7" t="s">
        <v>1204</v>
      </c>
      <c r="D47" s="7" t="s">
        <v>233</v>
      </c>
      <c r="E47" s="7" t="s">
        <v>136</v>
      </c>
      <c r="F47" s="7" t="s">
        <v>135</v>
      </c>
      <c r="G47" s="7" t="s">
        <v>1205</v>
      </c>
      <c r="H47" s="7" t="s">
        <v>1206</v>
      </c>
      <c r="I47" s="7" t="s">
        <v>135</v>
      </c>
      <c r="J47" s="7" t="s">
        <v>1207</v>
      </c>
      <c r="K47" s="7" t="s">
        <v>139</v>
      </c>
    </row>
    <row r="48" ht="13.5" customHeight="1">
      <c r="A48" s="7">
        <v>52.0</v>
      </c>
      <c r="B48" s="7" t="s">
        <v>7</v>
      </c>
      <c r="C48" s="7" t="s">
        <v>379</v>
      </c>
      <c r="D48" s="7" t="s">
        <v>202</v>
      </c>
      <c r="E48" s="7" t="s">
        <v>136</v>
      </c>
      <c r="F48" s="7" t="s">
        <v>136</v>
      </c>
      <c r="G48" s="7" t="s">
        <v>221</v>
      </c>
      <c r="I48" s="7" t="s">
        <v>135</v>
      </c>
      <c r="J48" s="7" t="s">
        <v>1208</v>
      </c>
      <c r="K48" s="7" t="s">
        <v>139</v>
      </c>
    </row>
    <row r="49" ht="13.5" customHeight="1">
      <c r="A49" s="7">
        <v>83.0</v>
      </c>
      <c r="B49" s="7" t="s">
        <v>7</v>
      </c>
      <c r="C49" s="7" t="s">
        <v>1127</v>
      </c>
      <c r="D49" s="7" t="s">
        <v>233</v>
      </c>
      <c r="E49" s="7" t="s">
        <v>136</v>
      </c>
      <c r="F49" s="7" t="s">
        <v>136</v>
      </c>
      <c r="G49" s="7" t="s">
        <v>185</v>
      </c>
      <c r="H49" s="7" t="s">
        <v>1209</v>
      </c>
      <c r="I49" s="7" t="s">
        <v>135</v>
      </c>
      <c r="J49" s="7" t="s">
        <v>1210</v>
      </c>
      <c r="K49" s="7" t="s">
        <v>139</v>
      </c>
    </row>
    <row r="50" ht="13.5" customHeight="1">
      <c r="A50" s="7">
        <v>11.0</v>
      </c>
      <c r="B50" s="7" t="s">
        <v>7</v>
      </c>
      <c r="C50" s="7" t="s">
        <v>1211</v>
      </c>
      <c r="D50" s="7" t="s">
        <v>202</v>
      </c>
      <c r="E50" s="7" t="s">
        <v>135</v>
      </c>
      <c r="F50" s="7" t="s">
        <v>136</v>
      </c>
      <c r="G50" s="7" t="s">
        <v>137</v>
      </c>
      <c r="I50" s="7" t="s">
        <v>135</v>
      </c>
      <c r="J50" s="7" t="s">
        <v>1212</v>
      </c>
      <c r="K50" s="7" t="s">
        <v>139</v>
      </c>
    </row>
    <row r="51" ht="13.5" customHeight="1">
      <c r="A51" s="7">
        <v>65.0</v>
      </c>
      <c r="B51" s="7" t="s">
        <v>7</v>
      </c>
      <c r="C51" s="7" t="s">
        <v>1213</v>
      </c>
      <c r="D51" s="7" t="s">
        <v>233</v>
      </c>
      <c r="E51" s="7" t="s">
        <v>135</v>
      </c>
      <c r="F51" s="7" t="s">
        <v>136</v>
      </c>
      <c r="G51" s="7" t="s">
        <v>185</v>
      </c>
      <c r="H51" s="7" t="s">
        <v>1214</v>
      </c>
      <c r="I51" s="7" t="s">
        <v>135</v>
      </c>
      <c r="J51" s="7" t="s">
        <v>1215</v>
      </c>
      <c r="K51" s="7" t="s">
        <v>139</v>
      </c>
    </row>
    <row r="52" ht="13.5" customHeight="1">
      <c r="A52" s="7">
        <v>22.0</v>
      </c>
      <c r="B52" s="7" t="s">
        <v>7</v>
      </c>
      <c r="C52" s="7" t="s">
        <v>1216</v>
      </c>
      <c r="D52" s="7" t="s">
        <v>233</v>
      </c>
      <c r="E52" s="7" t="s">
        <v>136</v>
      </c>
      <c r="F52" s="7" t="s">
        <v>136</v>
      </c>
      <c r="G52" s="7" t="s">
        <v>185</v>
      </c>
      <c r="H52" s="7" t="s">
        <v>1217</v>
      </c>
      <c r="I52" s="7" t="s">
        <v>135</v>
      </c>
      <c r="J52" s="7" t="s">
        <v>1218</v>
      </c>
      <c r="K52" s="7" t="s">
        <v>139</v>
      </c>
    </row>
    <row r="53" ht="13.5" customHeight="1">
      <c r="A53" s="7">
        <v>68.0</v>
      </c>
      <c r="B53" s="7" t="s">
        <v>6</v>
      </c>
      <c r="C53" s="7" t="s">
        <v>1213</v>
      </c>
      <c r="D53" s="7" t="s">
        <v>233</v>
      </c>
      <c r="E53" s="7" t="s">
        <v>135</v>
      </c>
      <c r="F53" s="7" t="s">
        <v>136</v>
      </c>
      <c r="G53" s="7" t="s">
        <v>1219</v>
      </c>
      <c r="H53" s="7" t="s">
        <v>1220</v>
      </c>
      <c r="I53" s="7" t="s">
        <v>135</v>
      </c>
      <c r="J53" s="7" t="s">
        <v>1221</v>
      </c>
      <c r="K53" s="7" t="s">
        <v>139</v>
      </c>
    </row>
    <row r="54" ht="13.5" customHeight="1">
      <c r="A54" s="7">
        <v>45.0</v>
      </c>
      <c r="B54" s="7" t="s">
        <v>7</v>
      </c>
      <c r="C54" s="7" t="s">
        <v>1057</v>
      </c>
      <c r="D54" s="7" t="s">
        <v>331</v>
      </c>
      <c r="E54" s="7" t="s">
        <v>135</v>
      </c>
      <c r="F54" s="7" t="s">
        <v>136</v>
      </c>
      <c r="G54" s="7" t="s">
        <v>1222</v>
      </c>
      <c r="H54" s="7" t="s">
        <v>404</v>
      </c>
      <c r="I54" s="7" t="s">
        <v>136</v>
      </c>
      <c r="J54" s="7" t="s">
        <v>1223</v>
      </c>
      <c r="K54" s="7" t="s">
        <v>139</v>
      </c>
    </row>
    <row r="55" ht="13.5" customHeight="1">
      <c r="A55" s="7">
        <v>12.0</v>
      </c>
      <c r="B55" s="7" t="s">
        <v>7</v>
      </c>
      <c r="C55" s="7" t="s">
        <v>1224</v>
      </c>
      <c r="D55" s="7" t="s">
        <v>213</v>
      </c>
      <c r="E55" s="7" t="s">
        <v>135</v>
      </c>
      <c r="F55" s="7" t="s">
        <v>135</v>
      </c>
      <c r="G55" s="7" t="s">
        <v>1225</v>
      </c>
      <c r="H55" s="7" t="s">
        <v>1226</v>
      </c>
      <c r="I55" s="7" t="s">
        <v>136</v>
      </c>
      <c r="J55" s="7" t="s">
        <v>1227</v>
      </c>
      <c r="K55" s="7" t="s">
        <v>139</v>
      </c>
    </row>
    <row r="56" ht="13.5" customHeight="1">
      <c r="A56" s="7">
        <v>33.0</v>
      </c>
      <c r="B56" s="7" t="s">
        <v>7</v>
      </c>
      <c r="C56" s="7" t="s">
        <v>1228</v>
      </c>
      <c r="D56" s="7" t="s">
        <v>233</v>
      </c>
      <c r="E56" s="7" t="s">
        <v>135</v>
      </c>
      <c r="F56" s="7" t="s">
        <v>136</v>
      </c>
      <c r="G56" s="7" t="s">
        <v>185</v>
      </c>
      <c r="H56" s="7" t="s">
        <v>1229</v>
      </c>
      <c r="I56" s="7" t="s">
        <v>135</v>
      </c>
      <c r="J56" s="7" t="s">
        <v>1230</v>
      </c>
      <c r="K56" s="7" t="s">
        <v>139</v>
      </c>
    </row>
    <row r="57" ht="13.5" customHeight="1">
      <c r="A57" s="7">
        <v>53.0</v>
      </c>
      <c r="B57" s="7" t="s">
        <v>6</v>
      </c>
      <c r="C57" s="7" t="s">
        <v>1116</v>
      </c>
      <c r="D57" s="7" t="s">
        <v>197</v>
      </c>
      <c r="E57" s="7" t="s">
        <v>136</v>
      </c>
      <c r="F57" s="7" t="s">
        <v>136</v>
      </c>
      <c r="G57" s="7" t="s">
        <v>1231</v>
      </c>
      <c r="H57" s="7" t="s">
        <v>1232</v>
      </c>
      <c r="I57" s="7" t="s">
        <v>136</v>
      </c>
      <c r="J57" s="7" t="s">
        <v>1233</v>
      </c>
      <c r="K57" s="7" t="s">
        <v>139</v>
      </c>
    </row>
    <row r="58" ht="13.5" customHeight="1">
      <c r="A58" s="7">
        <v>64.0</v>
      </c>
      <c r="B58" s="7" t="s">
        <v>6</v>
      </c>
      <c r="C58" s="7" t="s">
        <v>167</v>
      </c>
      <c r="D58" s="7" t="s">
        <v>143</v>
      </c>
      <c r="E58" s="7" t="s">
        <v>136</v>
      </c>
      <c r="F58" s="7" t="s">
        <v>136</v>
      </c>
      <c r="G58" s="7" t="s">
        <v>231</v>
      </c>
      <c r="I58" s="7" t="s">
        <v>135</v>
      </c>
      <c r="J58" s="7" t="s">
        <v>1234</v>
      </c>
      <c r="K58" s="7" t="s">
        <v>139</v>
      </c>
    </row>
    <row r="59" ht="13.5" customHeight="1">
      <c r="A59" s="7">
        <v>26.0</v>
      </c>
      <c r="B59" s="7" t="s">
        <v>7</v>
      </c>
      <c r="C59" s="7" t="s">
        <v>1235</v>
      </c>
      <c r="D59" s="7" t="s">
        <v>233</v>
      </c>
      <c r="E59" s="7" t="s">
        <v>135</v>
      </c>
      <c r="F59" s="7" t="s">
        <v>136</v>
      </c>
      <c r="G59" s="7" t="s">
        <v>185</v>
      </c>
      <c r="H59" s="7" t="s">
        <v>1236</v>
      </c>
      <c r="I59" s="7" t="s">
        <v>135</v>
      </c>
      <c r="J59" s="7" t="s">
        <v>1237</v>
      </c>
      <c r="K59" s="7" t="s">
        <v>139</v>
      </c>
    </row>
    <row r="60" ht="13.5" customHeight="1">
      <c r="A60" s="7">
        <v>31.0</v>
      </c>
      <c r="B60" s="7" t="s">
        <v>7</v>
      </c>
      <c r="C60" s="7" t="s">
        <v>1238</v>
      </c>
      <c r="D60" s="7" t="s">
        <v>233</v>
      </c>
      <c r="E60" s="7" t="s">
        <v>135</v>
      </c>
      <c r="F60" s="7" t="s">
        <v>136</v>
      </c>
      <c r="G60" s="7" t="s">
        <v>157</v>
      </c>
      <c r="I60" s="7" t="s">
        <v>136</v>
      </c>
      <c r="J60" s="7" t="s">
        <v>1239</v>
      </c>
      <c r="K60" s="7" t="s">
        <v>139</v>
      </c>
    </row>
    <row r="61" ht="13.5" customHeight="1">
      <c r="A61" s="7">
        <v>82.0</v>
      </c>
      <c r="B61" s="7" t="s">
        <v>6</v>
      </c>
      <c r="C61" s="7" t="s">
        <v>1240</v>
      </c>
      <c r="D61" s="7" t="s">
        <v>233</v>
      </c>
      <c r="E61" s="7" t="s">
        <v>135</v>
      </c>
      <c r="F61" s="7" t="s">
        <v>136</v>
      </c>
      <c r="G61" s="7" t="s">
        <v>185</v>
      </c>
      <c r="H61" s="7" t="s">
        <v>1241</v>
      </c>
      <c r="I61" s="7" t="s">
        <v>135</v>
      </c>
      <c r="J61" s="7" t="s">
        <v>1242</v>
      </c>
      <c r="K61" s="7" t="s">
        <v>139</v>
      </c>
    </row>
    <row r="62" ht="13.5" customHeight="1">
      <c r="A62" s="7">
        <v>24.0</v>
      </c>
      <c r="B62" s="7" t="s">
        <v>7</v>
      </c>
      <c r="C62" s="7" t="s">
        <v>1243</v>
      </c>
      <c r="D62" s="7" t="s">
        <v>187</v>
      </c>
      <c r="E62" s="7" t="s">
        <v>136</v>
      </c>
      <c r="F62" s="7" t="s">
        <v>136</v>
      </c>
      <c r="G62" s="7" t="s">
        <v>297</v>
      </c>
      <c r="I62" s="7" t="s">
        <v>135</v>
      </c>
      <c r="J62" s="7" t="s">
        <v>1244</v>
      </c>
      <c r="K62" s="7" t="s">
        <v>139</v>
      </c>
    </row>
    <row r="63" ht="13.5" customHeight="1">
      <c r="A63" s="7">
        <v>66.0</v>
      </c>
      <c r="B63" s="7" t="s">
        <v>7</v>
      </c>
      <c r="C63" s="7" t="s">
        <v>1213</v>
      </c>
      <c r="D63" s="7" t="s">
        <v>233</v>
      </c>
      <c r="E63" s="7" t="s">
        <v>135</v>
      </c>
      <c r="F63" s="7" t="s">
        <v>136</v>
      </c>
      <c r="G63" s="7" t="s">
        <v>157</v>
      </c>
      <c r="H63" s="7" t="s">
        <v>1245</v>
      </c>
      <c r="I63" s="7" t="s">
        <v>136</v>
      </c>
      <c r="J63" s="7" t="s">
        <v>1246</v>
      </c>
      <c r="K63" s="7" t="s">
        <v>139</v>
      </c>
    </row>
    <row r="64" ht="13.5" customHeight="1">
      <c r="A64" s="7">
        <v>17.0</v>
      </c>
      <c r="B64" s="7" t="s">
        <v>7</v>
      </c>
      <c r="C64" s="7" t="s">
        <v>1247</v>
      </c>
      <c r="D64" s="7" t="s">
        <v>233</v>
      </c>
      <c r="E64" s="7" t="s">
        <v>136</v>
      </c>
      <c r="F64" s="7" t="s">
        <v>136</v>
      </c>
      <c r="G64" s="7" t="s">
        <v>185</v>
      </c>
      <c r="I64" s="7" t="s">
        <v>136</v>
      </c>
      <c r="J64" s="7" t="s">
        <v>1248</v>
      </c>
      <c r="K64" s="7" t="s">
        <v>139</v>
      </c>
    </row>
    <row r="65" ht="13.5" customHeight="1">
      <c r="A65" s="7">
        <v>16.0</v>
      </c>
      <c r="B65" s="7" t="s">
        <v>7</v>
      </c>
      <c r="C65" s="7" t="s">
        <v>1249</v>
      </c>
      <c r="D65" s="7" t="s">
        <v>143</v>
      </c>
      <c r="E65" s="7" t="s">
        <v>135</v>
      </c>
      <c r="F65" s="7" t="s">
        <v>136</v>
      </c>
      <c r="G65" s="7" t="s">
        <v>1250</v>
      </c>
      <c r="H65" s="7" t="s">
        <v>1251</v>
      </c>
      <c r="I65" s="7" t="s">
        <v>136</v>
      </c>
      <c r="J65" s="7" t="s">
        <v>1252</v>
      </c>
      <c r="K65" s="7" t="s">
        <v>139</v>
      </c>
    </row>
    <row r="66" ht="13.5" customHeight="1">
      <c r="A66" s="7">
        <v>43.0</v>
      </c>
      <c r="B66" s="7" t="s">
        <v>7</v>
      </c>
      <c r="C66" s="7" t="s">
        <v>1253</v>
      </c>
      <c r="D66" s="7" t="s">
        <v>233</v>
      </c>
      <c r="E66" s="7" t="s">
        <v>136</v>
      </c>
      <c r="F66" s="7" t="s">
        <v>136</v>
      </c>
      <c r="G66" s="7" t="s">
        <v>185</v>
      </c>
      <c r="H66" s="7" t="s">
        <v>1254</v>
      </c>
      <c r="I66" s="7" t="s">
        <v>135</v>
      </c>
      <c r="J66" s="7" t="s">
        <v>1255</v>
      </c>
      <c r="K66" s="7" t="s">
        <v>139</v>
      </c>
    </row>
    <row r="67" ht="13.5" customHeight="1">
      <c r="A67" s="7">
        <v>8.0</v>
      </c>
      <c r="B67" s="7" t="s">
        <v>6</v>
      </c>
      <c r="C67" s="7" t="s">
        <v>1256</v>
      </c>
      <c r="D67" s="7" t="s">
        <v>233</v>
      </c>
      <c r="E67" s="7" t="s">
        <v>135</v>
      </c>
      <c r="F67" s="7" t="s">
        <v>136</v>
      </c>
      <c r="G67" s="7" t="s">
        <v>1257</v>
      </c>
      <c r="H67" s="7" t="s">
        <v>1258</v>
      </c>
      <c r="I67" s="7" t="s">
        <v>136</v>
      </c>
      <c r="J67" s="7" t="s">
        <v>1259</v>
      </c>
      <c r="K67" s="7" t="s">
        <v>139</v>
      </c>
    </row>
    <row r="68" ht="13.5" customHeight="1">
      <c r="A68" s="7">
        <v>36.0</v>
      </c>
      <c r="B68" s="7" t="s">
        <v>7</v>
      </c>
      <c r="C68" s="7" t="s">
        <v>1119</v>
      </c>
      <c r="D68" s="7" t="s">
        <v>233</v>
      </c>
      <c r="E68" s="7" t="s">
        <v>136</v>
      </c>
      <c r="F68" s="7" t="s">
        <v>135</v>
      </c>
      <c r="G68" s="7" t="s">
        <v>157</v>
      </c>
      <c r="H68" s="7" t="s">
        <v>1114</v>
      </c>
      <c r="I68" s="7" t="s">
        <v>135</v>
      </c>
      <c r="J68" s="7" t="s">
        <v>1260</v>
      </c>
      <c r="K68" s="7" t="s">
        <v>139</v>
      </c>
    </row>
    <row r="69" ht="13.5" customHeight="1">
      <c r="A69" s="7">
        <v>39.0</v>
      </c>
      <c r="B69" s="7" t="s">
        <v>7</v>
      </c>
      <c r="C69" s="7" t="s">
        <v>1119</v>
      </c>
      <c r="D69" s="7" t="s">
        <v>233</v>
      </c>
      <c r="E69" s="7" t="s">
        <v>136</v>
      </c>
      <c r="F69" s="7" t="s">
        <v>136</v>
      </c>
      <c r="G69" s="7" t="s">
        <v>157</v>
      </c>
      <c r="I69" s="7" t="s">
        <v>135</v>
      </c>
      <c r="J69" s="7" t="s">
        <v>1261</v>
      </c>
      <c r="K69" s="7" t="s">
        <v>139</v>
      </c>
    </row>
    <row r="70" ht="13.5" customHeight="1">
      <c r="A70" s="7">
        <v>34.0</v>
      </c>
      <c r="B70" s="7" t="s">
        <v>7</v>
      </c>
      <c r="C70" s="7" t="s">
        <v>1262</v>
      </c>
      <c r="D70" s="7" t="s">
        <v>233</v>
      </c>
      <c r="E70" s="7" t="s">
        <v>135</v>
      </c>
      <c r="F70" s="7" t="s">
        <v>136</v>
      </c>
      <c r="G70" s="7" t="s">
        <v>185</v>
      </c>
      <c r="H70" s="7" t="s">
        <v>1263</v>
      </c>
      <c r="I70" s="7" t="s">
        <v>135</v>
      </c>
      <c r="J70" s="7" t="s">
        <v>1264</v>
      </c>
      <c r="K70" s="7" t="s">
        <v>139</v>
      </c>
    </row>
    <row r="71" ht="13.5" customHeight="1">
      <c r="A71" s="7">
        <v>60.0</v>
      </c>
      <c r="B71" s="7" t="s">
        <v>7</v>
      </c>
      <c r="C71" s="7" t="s">
        <v>1265</v>
      </c>
      <c r="D71" s="7" t="s">
        <v>290</v>
      </c>
      <c r="E71" s="7" t="s">
        <v>135</v>
      </c>
      <c r="F71" s="7" t="s">
        <v>136</v>
      </c>
      <c r="G71" s="7" t="s">
        <v>479</v>
      </c>
      <c r="H71" s="7" t="s">
        <v>1266</v>
      </c>
      <c r="I71" s="7" t="s">
        <v>136</v>
      </c>
      <c r="J71" s="7" t="s">
        <v>1267</v>
      </c>
      <c r="K71" s="7" t="s">
        <v>139</v>
      </c>
    </row>
    <row r="72" ht="13.5" customHeight="1">
      <c r="A72" s="7">
        <v>86.0</v>
      </c>
      <c r="B72" s="7" t="s">
        <v>7</v>
      </c>
      <c r="C72" s="7" t="s">
        <v>1268</v>
      </c>
      <c r="D72" s="7" t="s">
        <v>290</v>
      </c>
      <c r="E72" s="7" t="s">
        <v>135</v>
      </c>
      <c r="F72" s="7" t="s">
        <v>136</v>
      </c>
      <c r="G72" s="7" t="s">
        <v>479</v>
      </c>
      <c r="I72" s="7" t="s">
        <v>136</v>
      </c>
      <c r="J72" s="7" t="s">
        <v>1269</v>
      </c>
      <c r="K72" s="7" t="s">
        <v>139</v>
      </c>
    </row>
    <row r="73" ht="13.5" customHeight="1">
      <c r="A73" s="7">
        <v>55.0</v>
      </c>
      <c r="B73" s="7" t="s">
        <v>6</v>
      </c>
      <c r="C73" s="7" t="s">
        <v>1094</v>
      </c>
      <c r="D73" s="7" t="s">
        <v>143</v>
      </c>
      <c r="E73" s="7" t="s">
        <v>135</v>
      </c>
      <c r="F73" s="7" t="s">
        <v>136</v>
      </c>
      <c r="G73" s="7" t="s">
        <v>349</v>
      </c>
      <c r="I73" s="7" t="s">
        <v>135</v>
      </c>
      <c r="J73" s="7" t="s">
        <v>1270</v>
      </c>
      <c r="K73" s="7" t="s">
        <v>139</v>
      </c>
    </row>
    <row r="74" ht="13.5" customHeight="1">
      <c r="A74" s="7">
        <v>32.0</v>
      </c>
      <c r="B74" s="7" t="s">
        <v>6</v>
      </c>
      <c r="C74" s="7" t="s">
        <v>1127</v>
      </c>
      <c r="D74" s="7" t="s">
        <v>233</v>
      </c>
      <c r="E74" s="7" t="s">
        <v>136</v>
      </c>
      <c r="F74" s="7" t="s">
        <v>136</v>
      </c>
      <c r="G74" s="7" t="s">
        <v>185</v>
      </c>
      <c r="H74" s="7" t="s">
        <v>1271</v>
      </c>
      <c r="I74" s="7" t="s">
        <v>135</v>
      </c>
      <c r="J74" s="7" t="s">
        <v>1272</v>
      </c>
      <c r="K74" s="7" t="s">
        <v>139</v>
      </c>
    </row>
    <row r="75" ht="13.5" customHeight="1">
      <c r="A75" s="7">
        <v>27.0</v>
      </c>
      <c r="B75" s="7" t="s">
        <v>6</v>
      </c>
      <c r="C75" s="7" t="s">
        <v>1273</v>
      </c>
      <c r="D75" s="7" t="s">
        <v>233</v>
      </c>
      <c r="E75" s="7" t="s">
        <v>135</v>
      </c>
      <c r="F75" s="7" t="s">
        <v>135</v>
      </c>
      <c r="G75" s="7" t="s">
        <v>157</v>
      </c>
      <c r="H75" s="7" t="s">
        <v>1274</v>
      </c>
      <c r="I75" s="7" t="s">
        <v>136</v>
      </c>
      <c r="J75" s="7" t="s">
        <v>1275</v>
      </c>
      <c r="K75" s="7" t="s">
        <v>139</v>
      </c>
    </row>
    <row r="76" ht="13.5" customHeight="1">
      <c r="A76" s="7">
        <v>62.0</v>
      </c>
      <c r="B76" s="7" t="s">
        <v>7</v>
      </c>
      <c r="C76" s="7" t="s">
        <v>338</v>
      </c>
      <c r="D76" s="7" t="s">
        <v>143</v>
      </c>
      <c r="E76" s="7" t="s">
        <v>136</v>
      </c>
      <c r="F76" s="7" t="s">
        <v>136</v>
      </c>
      <c r="G76" s="7" t="s">
        <v>385</v>
      </c>
      <c r="I76" s="7" t="s">
        <v>135</v>
      </c>
      <c r="J76" s="7" t="s">
        <v>1276</v>
      </c>
      <c r="K76" s="7" t="s">
        <v>139</v>
      </c>
    </row>
    <row r="77" ht="13.5" customHeight="1">
      <c r="A77" s="7">
        <v>78.0</v>
      </c>
      <c r="B77" s="7" t="s">
        <v>6</v>
      </c>
      <c r="C77" s="7" t="s">
        <v>315</v>
      </c>
      <c r="D77" s="7" t="s">
        <v>164</v>
      </c>
      <c r="E77" s="7" t="s">
        <v>136</v>
      </c>
      <c r="F77" s="7" t="s">
        <v>136</v>
      </c>
      <c r="G77" s="7" t="s">
        <v>1277</v>
      </c>
      <c r="I77" s="7" t="s">
        <v>135</v>
      </c>
      <c r="J77" s="7" t="s">
        <v>1278</v>
      </c>
      <c r="K77" s="7" t="s">
        <v>139</v>
      </c>
    </row>
    <row r="78" ht="13.5" customHeight="1">
      <c r="A78" s="7">
        <v>47.0</v>
      </c>
      <c r="B78" s="7" t="s">
        <v>7</v>
      </c>
      <c r="C78" s="7" t="s">
        <v>1279</v>
      </c>
      <c r="D78" s="7" t="s">
        <v>233</v>
      </c>
      <c r="E78" s="7" t="s">
        <v>136</v>
      </c>
      <c r="F78" s="7" t="s">
        <v>136</v>
      </c>
      <c r="G78" s="7" t="s">
        <v>144</v>
      </c>
      <c r="I78" s="7" t="s">
        <v>135</v>
      </c>
      <c r="J78" s="7" t="s">
        <v>1280</v>
      </c>
      <c r="K78" s="7" t="s">
        <v>139</v>
      </c>
    </row>
    <row r="79" ht="13.5" customHeight="1">
      <c r="A79" s="7">
        <v>49.0</v>
      </c>
      <c r="B79" s="7" t="s">
        <v>7</v>
      </c>
      <c r="C79" s="7" t="s">
        <v>1279</v>
      </c>
      <c r="D79" s="7" t="s">
        <v>233</v>
      </c>
      <c r="E79" s="7" t="s">
        <v>136</v>
      </c>
      <c r="F79" s="7" t="s">
        <v>136</v>
      </c>
      <c r="G79" s="7" t="s">
        <v>144</v>
      </c>
      <c r="I79" s="7" t="s">
        <v>135</v>
      </c>
      <c r="J79" s="7" t="s">
        <v>1281</v>
      </c>
      <c r="K79" s="7" t="s">
        <v>139</v>
      </c>
    </row>
    <row r="80" ht="13.5" customHeight="1">
      <c r="A80" s="7">
        <v>77.0</v>
      </c>
      <c r="B80" s="7" t="s">
        <v>6</v>
      </c>
      <c r="C80" s="7" t="s">
        <v>1282</v>
      </c>
      <c r="D80" s="7" t="s">
        <v>134</v>
      </c>
      <c r="E80" s="7" t="s">
        <v>136</v>
      </c>
      <c r="F80" s="7" t="s">
        <v>136</v>
      </c>
      <c r="G80" s="7" t="s">
        <v>137</v>
      </c>
      <c r="I80" s="7" t="s">
        <v>135</v>
      </c>
      <c r="J80" s="7" t="s">
        <v>1283</v>
      </c>
      <c r="K80" s="7" t="s">
        <v>139</v>
      </c>
    </row>
    <row r="81" ht="13.5" customHeight="1">
      <c r="A81" s="7">
        <v>74.0</v>
      </c>
      <c r="B81" s="7" t="s">
        <v>7</v>
      </c>
      <c r="C81" s="7" t="s">
        <v>1284</v>
      </c>
      <c r="D81" s="7" t="s">
        <v>233</v>
      </c>
      <c r="E81" s="7" t="s">
        <v>135</v>
      </c>
      <c r="F81" s="7" t="s">
        <v>136</v>
      </c>
      <c r="G81" s="7" t="s">
        <v>185</v>
      </c>
      <c r="H81" s="7" t="s">
        <v>1217</v>
      </c>
      <c r="I81" s="7" t="s">
        <v>135</v>
      </c>
      <c r="J81" s="7" t="s">
        <v>1285</v>
      </c>
      <c r="K81" s="7" t="s">
        <v>139</v>
      </c>
    </row>
    <row r="82" ht="13.5" customHeight="1">
      <c r="A82" s="7">
        <v>71.0</v>
      </c>
      <c r="B82" s="7" t="s">
        <v>6</v>
      </c>
      <c r="C82" s="7" t="s">
        <v>459</v>
      </c>
      <c r="D82" s="7" t="s">
        <v>197</v>
      </c>
      <c r="E82" s="7" t="s">
        <v>136</v>
      </c>
      <c r="F82" s="7" t="s">
        <v>136</v>
      </c>
      <c r="G82" s="7" t="s">
        <v>1042</v>
      </c>
      <c r="I82" s="7" t="s">
        <v>135</v>
      </c>
      <c r="J82" s="7" t="s">
        <v>1286</v>
      </c>
      <c r="K82" s="7" t="s">
        <v>139</v>
      </c>
    </row>
    <row r="83" ht="13.5" customHeight="1">
      <c r="A83" s="7">
        <v>84.0</v>
      </c>
      <c r="B83" s="7" t="s">
        <v>6</v>
      </c>
      <c r="C83" s="7" t="s">
        <v>1127</v>
      </c>
      <c r="D83" s="7" t="s">
        <v>233</v>
      </c>
      <c r="E83" s="7" t="s">
        <v>136</v>
      </c>
      <c r="F83" s="7" t="s">
        <v>136</v>
      </c>
      <c r="G83" s="7" t="s">
        <v>185</v>
      </c>
      <c r="I83" s="7" t="s">
        <v>135</v>
      </c>
      <c r="J83" s="7" t="s">
        <v>1287</v>
      </c>
      <c r="K83" s="7" t="s">
        <v>139</v>
      </c>
    </row>
    <row r="84" ht="13.5" customHeight="1">
      <c r="A84" s="7">
        <v>14.0</v>
      </c>
      <c r="B84" s="7" t="s">
        <v>7</v>
      </c>
      <c r="C84" s="7" t="s">
        <v>315</v>
      </c>
      <c r="D84" s="7" t="s">
        <v>164</v>
      </c>
      <c r="E84" s="7" t="s">
        <v>136</v>
      </c>
      <c r="F84" s="7" t="s">
        <v>136</v>
      </c>
      <c r="G84" s="7" t="s">
        <v>185</v>
      </c>
      <c r="H84" s="7" t="s">
        <v>1288</v>
      </c>
      <c r="I84" s="7" t="s">
        <v>136</v>
      </c>
      <c r="J84" s="7" t="s">
        <v>1289</v>
      </c>
      <c r="K84" s="7" t="s">
        <v>139</v>
      </c>
    </row>
    <row r="85" ht="13.5" customHeight="1">
      <c r="A85" s="7">
        <v>57.0</v>
      </c>
      <c r="B85" s="7" t="s">
        <v>6</v>
      </c>
      <c r="C85" s="7" t="s">
        <v>1106</v>
      </c>
      <c r="D85" s="7" t="s">
        <v>193</v>
      </c>
      <c r="E85" s="7" t="s">
        <v>135</v>
      </c>
      <c r="F85" s="7" t="s">
        <v>136</v>
      </c>
      <c r="G85" s="7" t="s">
        <v>1027</v>
      </c>
      <c r="I85" s="7" t="s">
        <v>136</v>
      </c>
      <c r="J85" s="7" t="s">
        <v>1290</v>
      </c>
      <c r="K85" s="7" t="s">
        <v>139</v>
      </c>
    </row>
    <row r="86" ht="13.5" customHeight="1">
      <c r="A86" s="7">
        <v>81.0</v>
      </c>
      <c r="B86" s="7" t="s">
        <v>7</v>
      </c>
      <c r="C86" s="7" t="s">
        <v>466</v>
      </c>
      <c r="D86" s="7" t="s">
        <v>255</v>
      </c>
      <c r="E86" s="7" t="s">
        <v>135</v>
      </c>
      <c r="F86" s="7" t="s">
        <v>136</v>
      </c>
      <c r="G86" s="7" t="s">
        <v>1291</v>
      </c>
      <c r="H86" s="7" t="s">
        <v>1292</v>
      </c>
      <c r="I86" s="7" t="s">
        <v>135</v>
      </c>
      <c r="J86" s="7" t="s">
        <v>1293</v>
      </c>
      <c r="K86" s="7" t="s">
        <v>139</v>
      </c>
    </row>
    <row r="87" ht="13.5" customHeight="1">
      <c r="A87" s="7">
        <v>10.0</v>
      </c>
      <c r="B87" s="7" t="s">
        <v>7</v>
      </c>
      <c r="C87" s="7" t="s">
        <v>1294</v>
      </c>
      <c r="D87" s="7" t="s">
        <v>202</v>
      </c>
      <c r="E87" s="7" t="s">
        <v>136</v>
      </c>
      <c r="F87" s="7" t="s">
        <v>136</v>
      </c>
      <c r="G87" s="7" t="s">
        <v>1295</v>
      </c>
      <c r="I87" s="7" t="s">
        <v>135</v>
      </c>
      <c r="J87" s="7" t="s">
        <v>1296</v>
      </c>
      <c r="K87" s="7" t="s">
        <v>139</v>
      </c>
    </row>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5277777777778" footer="0.0" header="0.0" left="0.7875" right="0.7875" top="1.05277777777778"/>
  <pageSetup paperSize="9" orientation="portrait"/>
  <headerFooter>
    <oddHeader>&amp;Cffffff&amp;A</oddHeader>
    <oddFooter>&amp;CffffffSeite &amp;P</oddFooter>
  </headerFooter>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46.71"/>
    <col customWidth="1" min="4" max="4" width="8.71"/>
    <col customWidth="1" min="5" max="5" width="11.14"/>
    <col customWidth="1" min="6" max="6" width="7.71"/>
    <col customWidth="1" min="7" max="7" width="53.71"/>
    <col customWidth="1" min="8" max="8" width="39.57"/>
    <col customWidth="1" min="9" max="26" width="8.71"/>
  </cols>
  <sheetData>
    <row r="1">
      <c r="A1" s="299" t="s">
        <v>116</v>
      </c>
      <c r="B1" s="299" t="s">
        <v>117</v>
      </c>
      <c r="C1" s="299" t="s">
        <v>118</v>
      </c>
      <c r="D1" s="299" t="s">
        <v>119</v>
      </c>
      <c r="E1" s="299" t="s">
        <v>120</v>
      </c>
      <c r="F1" s="299" t="s">
        <v>121</v>
      </c>
      <c r="G1" s="299" t="s">
        <v>122</v>
      </c>
      <c r="H1" s="299" t="s">
        <v>123</v>
      </c>
      <c r="I1" s="299" t="s">
        <v>3890</v>
      </c>
      <c r="J1" s="299" t="s">
        <v>4124</v>
      </c>
      <c r="K1" s="299" t="s">
        <v>4125</v>
      </c>
      <c r="L1" s="299" t="s">
        <v>125</v>
      </c>
      <c r="M1" s="299" t="s">
        <v>126</v>
      </c>
      <c r="N1" s="299" t="s">
        <v>3771</v>
      </c>
    </row>
    <row r="2">
      <c r="A2" s="144">
        <v>14.0</v>
      </c>
      <c r="B2" s="144" t="s">
        <v>6</v>
      </c>
      <c r="C2" s="144" t="s">
        <v>356</v>
      </c>
      <c r="D2" s="144" t="s">
        <v>228</v>
      </c>
      <c r="E2" s="144" t="s">
        <v>135</v>
      </c>
      <c r="F2" s="144" t="s">
        <v>136</v>
      </c>
      <c r="G2" s="145" t="s">
        <v>137</v>
      </c>
      <c r="H2" s="144"/>
      <c r="I2" s="144" t="s">
        <v>135</v>
      </c>
      <c r="J2" s="144"/>
      <c r="K2" s="144" t="s">
        <v>696</v>
      </c>
      <c r="L2" s="144" t="s">
        <v>1297</v>
      </c>
      <c r="M2" s="144" t="s">
        <v>139</v>
      </c>
      <c r="N2" s="300" t="s">
        <v>69</v>
      </c>
      <c r="P2" s="7">
        <v>13.0</v>
      </c>
      <c r="Q2" s="7" t="s">
        <v>228</v>
      </c>
      <c r="R2" s="142" t="s">
        <v>4126</v>
      </c>
    </row>
    <row r="3">
      <c r="A3" s="144">
        <v>3.0</v>
      </c>
      <c r="B3" s="144" t="s">
        <v>7</v>
      </c>
      <c r="C3" s="144" t="s">
        <v>1298</v>
      </c>
      <c r="D3" s="144" t="s">
        <v>228</v>
      </c>
      <c r="E3" s="144" t="s">
        <v>136</v>
      </c>
      <c r="F3" s="144" t="s">
        <v>135</v>
      </c>
      <c r="G3" s="145" t="s">
        <v>4127</v>
      </c>
      <c r="H3" s="144"/>
      <c r="I3" s="144" t="s">
        <v>136</v>
      </c>
      <c r="J3" s="144"/>
      <c r="K3" s="144" t="s">
        <v>696</v>
      </c>
      <c r="L3" s="144" t="s">
        <v>1300</v>
      </c>
      <c r="M3" s="144" t="s">
        <v>139</v>
      </c>
      <c r="N3" s="300" t="s">
        <v>69</v>
      </c>
      <c r="P3" s="7">
        <v>1.0</v>
      </c>
      <c r="Q3" s="7" t="s">
        <v>322</v>
      </c>
      <c r="R3" s="7" t="s">
        <v>4128</v>
      </c>
    </row>
    <row r="4">
      <c r="A4" s="144">
        <v>1.0</v>
      </c>
      <c r="B4" s="144" t="s">
        <v>7</v>
      </c>
      <c r="C4" s="144" t="s">
        <v>1301</v>
      </c>
      <c r="D4" s="144" t="s">
        <v>322</v>
      </c>
      <c r="E4" s="144" t="s">
        <v>135</v>
      </c>
      <c r="F4" s="144" t="s">
        <v>136</v>
      </c>
      <c r="G4" s="144" t="s">
        <v>137</v>
      </c>
      <c r="H4" s="144"/>
      <c r="I4" s="144" t="s">
        <v>136</v>
      </c>
      <c r="J4" s="144"/>
      <c r="K4" s="144" t="s">
        <v>4129</v>
      </c>
      <c r="L4" s="144" t="s">
        <v>1302</v>
      </c>
      <c r="M4" s="144" t="s">
        <v>139</v>
      </c>
      <c r="N4" s="300" t="s">
        <v>69</v>
      </c>
    </row>
    <row r="5">
      <c r="A5" s="144">
        <v>4.0</v>
      </c>
      <c r="B5" s="144" t="s">
        <v>6</v>
      </c>
      <c r="C5" s="144" t="s">
        <v>1303</v>
      </c>
      <c r="D5" s="144" t="s">
        <v>228</v>
      </c>
      <c r="E5" s="144" t="s">
        <v>135</v>
      </c>
      <c r="F5" s="301" t="s">
        <v>135</v>
      </c>
      <c r="G5" s="144" t="s">
        <v>185</v>
      </c>
      <c r="H5" s="145" t="s">
        <v>4130</v>
      </c>
      <c r="I5" s="144" t="s">
        <v>136</v>
      </c>
      <c r="J5" s="144"/>
      <c r="K5" s="144" t="s">
        <v>185</v>
      </c>
      <c r="L5" s="144" t="s">
        <v>1305</v>
      </c>
      <c r="M5" s="144" t="s">
        <v>139</v>
      </c>
      <c r="N5" s="300" t="s">
        <v>69</v>
      </c>
    </row>
    <row r="6">
      <c r="A6" s="144">
        <v>9.0</v>
      </c>
      <c r="B6" s="144" t="s">
        <v>7</v>
      </c>
      <c r="C6" s="144" t="s">
        <v>1306</v>
      </c>
      <c r="D6" s="144" t="s">
        <v>228</v>
      </c>
      <c r="E6" s="144" t="s">
        <v>136</v>
      </c>
      <c r="F6" s="144" t="s">
        <v>136</v>
      </c>
      <c r="G6" s="145" t="s">
        <v>221</v>
      </c>
      <c r="H6" s="144" t="s">
        <v>1307</v>
      </c>
      <c r="I6" s="144" t="s">
        <v>135</v>
      </c>
      <c r="J6" s="144"/>
      <c r="K6" s="144" t="s">
        <v>2097</v>
      </c>
      <c r="L6" s="144" t="s">
        <v>1308</v>
      </c>
      <c r="M6" s="144" t="s">
        <v>139</v>
      </c>
      <c r="N6" s="300" t="s">
        <v>69</v>
      </c>
    </row>
    <row r="7">
      <c r="A7" s="144">
        <v>2.0</v>
      </c>
      <c r="B7" s="144" t="s">
        <v>7</v>
      </c>
      <c r="C7" s="144" t="s">
        <v>1298</v>
      </c>
      <c r="D7" s="144" t="s">
        <v>228</v>
      </c>
      <c r="E7" s="144" t="s">
        <v>136</v>
      </c>
      <c r="F7" s="144" t="s">
        <v>135</v>
      </c>
      <c r="G7" s="144" t="s">
        <v>1309</v>
      </c>
      <c r="H7" s="144"/>
      <c r="I7" s="144" t="s">
        <v>136</v>
      </c>
      <c r="J7" s="144"/>
      <c r="K7" s="144" t="s">
        <v>696</v>
      </c>
      <c r="L7" s="144" t="s">
        <v>1310</v>
      </c>
      <c r="M7" s="144" t="s">
        <v>139</v>
      </c>
      <c r="N7" s="300" t="s">
        <v>69</v>
      </c>
    </row>
    <row r="8">
      <c r="A8" s="144">
        <v>7.0</v>
      </c>
      <c r="B8" s="144" t="s">
        <v>6</v>
      </c>
      <c r="C8" s="144" t="s">
        <v>1311</v>
      </c>
      <c r="D8" s="144" t="s">
        <v>228</v>
      </c>
      <c r="E8" s="144" t="s">
        <v>136</v>
      </c>
      <c r="F8" s="144" t="s">
        <v>136</v>
      </c>
      <c r="G8" s="144" t="s">
        <v>554</v>
      </c>
      <c r="H8" s="145" t="s">
        <v>411</v>
      </c>
      <c r="I8" s="144" t="s">
        <v>135</v>
      </c>
      <c r="J8" s="144"/>
      <c r="K8" s="144" t="s">
        <v>4129</v>
      </c>
      <c r="L8" s="144" t="s">
        <v>1312</v>
      </c>
      <c r="M8" s="144" t="s">
        <v>139</v>
      </c>
      <c r="N8" s="300" t="s">
        <v>69</v>
      </c>
    </row>
    <row r="9">
      <c r="A9" s="144">
        <v>6.0</v>
      </c>
      <c r="B9" s="144" t="s">
        <v>7</v>
      </c>
      <c r="C9" s="144" t="s">
        <v>228</v>
      </c>
      <c r="D9" s="144" t="s">
        <v>228</v>
      </c>
      <c r="E9" s="144" t="s">
        <v>135</v>
      </c>
      <c r="F9" s="144" t="s">
        <v>136</v>
      </c>
      <c r="G9" s="145" t="s">
        <v>174</v>
      </c>
      <c r="H9" s="144"/>
      <c r="I9" s="144" t="s">
        <v>136</v>
      </c>
      <c r="J9" s="144"/>
      <c r="K9" s="144" t="s">
        <v>696</v>
      </c>
      <c r="L9" s="144" t="s">
        <v>1313</v>
      </c>
      <c r="M9" s="144" t="s">
        <v>139</v>
      </c>
      <c r="N9" s="300" t="s">
        <v>69</v>
      </c>
    </row>
    <row r="10">
      <c r="A10" s="144">
        <v>8.0</v>
      </c>
      <c r="B10" s="144" t="s">
        <v>6</v>
      </c>
      <c r="C10" s="144" t="s">
        <v>1314</v>
      </c>
      <c r="D10" s="144" t="s">
        <v>228</v>
      </c>
      <c r="E10" s="144" t="s">
        <v>135</v>
      </c>
      <c r="F10" s="144" t="s">
        <v>136</v>
      </c>
      <c r="G10" s="145" t="s">
        <v>4131</v>
      </c>
      <c r="H10" s="144"/>
      <c r="I10" s="144" t="s">
        <v>136</v>
      </c>
      <c r="J10" s="144"/>
      <c r="K10" s="144" t="s">
        <v>3026</v>
      </c>
      <c r="L10" s="144" t="s">
        <v>1316</v>
      </c>
      <c r="M10" s="144" t="s">
        <v>139</v>
      </c>
      <c r="N10" s="300" t="s">
        <v>69</v>
      </c>
    </row>
    <row r="11">
      <c r="A11" s="144">
        <v>5.0</v>
      </c>
      <c r="B11" s="144" t="s">
        <v>6</v>
      </c>
      <c r="C11" s="144" t="s">
        <v>1317</v>
      </c>
      <c r="D11" s="144" t="s">
        <v>228</v>
      </c>
      <c r="E11" s="144" t="s">
        <v>135</v>
      </c>
      <c r="F11" s="144" t="s">
        <v>135</v>
      </c>
      <c r="G11" s="144" t="s">
        <v>137</v>
      </c>
      <c r="H11" s="144"/>
      <c r="I11" s="144" t="s">
        <v>135</v>
      </c>
      <c r="J11" s="144"/>
      <c r="K11" s="144" t="s">
        <v>696</v>
      </c>
      <c r="L11" s="144" t="s">
        <v>1318</v>
      </c>
      <c r="M11" s="144" t="s">
        <v>139</v>
      </c>
      <c r="N11" s="300" t="s">
        <v>69</v>
      </c>
    </row>
    <row r="12">
      <c r="A12" s="144">
        <v>11.0</v>
      </c>
      <c r="B12" s="144" t="s">
        <v>6</v>
      </c>
      <c r="C12" s="144" t="s">
        <v>1319</v>
      </c>
      <c r="D12" s="144" t="s">
        <v>228</v>
      </c>
      <c r="E12" s="144" t="s">
        <v>135</v>
      </c>
      <c r="F12" s="144" t="s">
        <v>136</v>
      </c>
      <c r="G12" s="145" t="s">
        <v>1320</v>
      </c>
      <c r="H12" s="144"/>
      <c r="I12" s="144" t="s">
        <v>136</v>
      </c>
      <c r="J12" s="144"/>
      <c r="K12" s="144" t="s">
        <v>3024</v>
      </c>
      <c r="L12" s="144" t="s">
        <v>1321</v>
      </c>
      <c r="M12" s="144" t="s">
        <v>139</v>
      </c>
      <c r="N12" s="300" t="s">
        <v>69</v>
      </c>
    </row>
    <row r="13">
      <c r="A13" s="144">
        <v>10.0</v>
      </c>
      <c r="B13" s="144" t="s">
        <v>6</v>
      </c>
      <c r="C13" s="144" t="s">
        <v>1322</v>
      </c>
      <c r="D13" s="144" t="s">
        <v>228</v>
      </c>
      <c r="E13" s="144" t="s">
        <v>135</v>
      </c>
      <c r="F13" s="144" t="s">
        <v>135</v>
      </c>
      <c r="G13" s="144" t="s">
        <v>185</v>
      </c>
      <c r="H13" s="144" t="s">
        <v>1323</v>
      </c>
      <c r="I13" s="144" t="s">
        <v>135</v>
      </c>
      <c r="J13" s="144"/>
      <c r="K13" s="144" t="s">
        <v>3024</v>
      </c>
      <c r="L13" s="144" t="s">
        <v>1324</v>
      </c>
      <c r="M13" s="144" t="s">
        <v>139</v>
      </c>
      <c r="N13" s="300" t="s">
        <v>69</v>
      </c>
    </row>
    <row r="14">
      <c r="A14" s="144">
        <v>12.0</v>
      </c>
      <c r="B14" s="144" t="s">
        <v>6</v>
      </c>
      <c r="C14" s="144" t="s">
        <v>1325</v>
      </c>
      <c r="D14" s="144" t="s">
        <v>228</v>
      </c>
      <c r="E14" s="144" t="s">
        <v>135</v>
      </c>
      <c r="F14" s="144" t="s">
        <v>135</v>
      </c>
      <c r="G14" s="144" t="s">
        <v>137</v>
      </c>
      <c r="H14" s="144"/>
      <c r="I14" s="144" t="s">
        <v>135</v>
      </c>
      <c r="J14" s="144"/>
      <c r="K14" s="144" t="s">
        <v>696</v>
      </c>
      <c r="L14" s="144" t="s">
        <v>1326</v>
      </c>
      <c r="M14" s="144" t="s">
        <v>139</v>
      </c>
      <c r="N14" s="300" t="s">
        <v>69</v>
      </c>
    </row>
    <row r="15">
      <c r="A15" s="144">
        <v>13.0</v>
      </c>
      <c r="B15" s="144" t="s">
        <v>6</v>
      </c>
      <c r="C15" s="144" t="s">
        <v>1327</v>
      </c>
      <c r="D15" s="144" t="s">
        <v>228</v>
      </c>
      <c r="E15" s="144" t="s">
        <v>135</v>
      </c>
      <c r="F15" s="144" t="s">
        <v>136</v>
      </c>
      <c r="G15" s="144" t="s">
        <v>137</v>
      </c>
      <c r="H15" s="144"/>
      <c r="I15" s="144" t="s">
        <v>136</v>
      </c>
      <c r="J15" s="144"/>
      <c r="K15" s="144" t="s">
        <v>3024</v>
      </c>
      <c r="L15" s="144" t="s">
        <v>1328</v>
      </c>
      <c r="M15" s="144" t="s">
        <v>139</v>
      </c>
      <c r="N15" s="300" t="s">
        <v>69</v>
      </c>
    </row>
    <row r="18">
      <c r="F18" s="7">
        <f>1/14</f>
        <v>0.07142857143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s>
  <sheetData>
    <row r="1">
      <c r="A1" s="7" t="s">
        <v>143</v>
      </c>
      <c r="B1" s="302">
        <v>41.0</v>
      </c>
    </row>
    <row r="2">
      <c r="A2" s="7" t="s">
        <v>134</v>
      </c>
      <c r="B2" s="302">
        <v>33.0</v>
      </c>
    </row>
    <row r="3">
      <c r="A3" s="7" t="s">
        <v>164</v>
      </c>
      <c r="B3" s="302">
        <v>23.0</v>
      </c>
    </row>
    <row r="4">
      <c r="A4" s="7" t="s">
        <v>193</v>
      </c>
      <c r="B4" s="302">
        <v>8.0</v>
      </c>
    </row>
    <row r="5">
      <c r="A5" s="217" t="s">
        <v>4132</v>
      </c>
      <c r="B5" s="303">
        <v>8.0</v>
      </c>
    </row>
    <row r="6">
      <c r="A6" s="7" t="s">
        <v>202</v>
      </c>
      <c r="B6" s="302">
        <v>6.0</v>
      </c>
    </row>
    <row r="7">
      <c r="A7" s="217" t="s">
        <v>219</v>
      </c>
      <c r="B7" s="303">
        <v>6.0</v>
      </c>
    </row>
    <row r="8">
      <c r="A8" s="7" t="s">
        <v>353</v>
      </c>
      <c r="B8" s="302">
        <v>4.0</v>
      </c>
    </row>
    <row r="9">
      <c r="A9" s="217" t="s">
        <v>255</v>
      </c>
      <c r="B9" s="303">
        <v>4.0</v>
      </c>
    </row>
    <row r="10">
      <c r="A10" s="7" t="s">
        <v>187</v>
      </c>
      <c r="B10" s="302">
        <v>3.0</v>
      </c>
    </row>
    <row r="11">
      <c r="A11" s="7" t="s">
        <v>197</v>
      </c>
      <c r="B11" s="302">
        <v>2.0</v>
      </c>
    </row>
    <row r="12">
      <c r="A12" s="217" t="s">
        <v>203</v>
      </c>
      <c r="B12" s="303">
        <v>2.0</v>
      </c>
    </row>
    <row r="13">
      <c r="A13" s="7" t="s">
        <v>331</v>
      </c>
      <c r="B13" s="302">
        <v>2.0</v>
      </c>
    </row>
    <row r="14">
      <c r="A14" s="54" t="s">
        <v>233</v>
      </c>
      <c r="B14" s="304">
        <v>2.0</v>
      </c>
    </row>
    <row r="15">
      <c r="A15" s="54" t="s">
        <v>274</v>
      </c>
      <c r="B15" s="304">
        <v>1.0</v>
      </c>
    </row>
    <row r="16">
      <c r="A16" s="7" t="s">
        <v>248</v>
      </c>
      <c r="B16" s="302">
        <v>1.0</v>
      </c>
    </row>
    <row r="17">
      <c r="A17" s="7" t="s">
        <v>218</v>
      </c>
      <c r="B17" s="302">
        <v>1.0</v>
      </c>
    </row>
    <row r="18">
      <c r="A18" s="54" t="s">
        <v>228</v>
      </c>
      <c r="B18" s="304">
        <v>1.0</v>
      </c>
    </row>
    <row r="20">
      <c r="A20" s="217" t="s">
        <v>22</v>
      </c>
      <c r="B20" s="217">
        <v>20.0</v>
      </c>
    </row>
    <row r="21">
      <c r="A21" s="54" t="s">
        <v>4133</v>
      </c>
      <c r="B21" s="54">
        <v>4.0</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5.29"/>
    <col customWidth="1" min="6" max="6" width="7.57"/>
    <col customWidth="1" min="7" max="7" width="55.29"/>
    <col customWidth="1" min="8" max="8" width="24.43"/>
    <col customWidth="1" min="9" max="9" width="45.29"/>
    <col customWidth="1" min="10" max="10" width="19.29"/>
    <col customWidth="1" min="11" max="16" width="8.71"/>
    <col customWidth="1" min="17" max="17" width="19.29"/>
    <col customWidth="1" min="18" max="26" width="8.71"/>
  </cols>
  <sheetData>
    <row r="1">
      <c r="A1" s="299" t="s">
        <v>116</v>
      </c>
      <c r="B1" s="299" t="s">
        <v>117</v>
      </c>
      <c r="C1" s="299" t="s">
        <v>118</v>
      </c>
      <c r="D1" s="299" t="s">
        <v>119</v>
      </c>
      <c r="E1" s="299" t="s">
        <v>120</v>
      </c>
      <c r="F1" s="299" t="s">
        <v>121</v>
      </c>
      <c r="G1" s="299" t="s">
        <v>122</v>
      </c>
      <c r="H1" s="299" t="s">
        <v>123</v>
      </c>
      <c r="I1" s="299" t="s">
        <v>3769</v>
      </c>
      <c r="J1" s="299" t="s">
        <v>125</v>
      </c>
      <c r="K1" s="299" t="s">
        <v>126</v>
      </c>
      <c r="L1" s="299" t="s">
        <v>3771</v>
      </c>
      <c r="M1" s="2"/>
      <c r="N1" s="2"/>
      <c r="O1" s="123" t="s">
        <v>129</v>
      </c>
      <c r="P1" s="123" t="s">
        <v>130</v>
      </c>
      <c r="Q1" s="123" t="s">
        <v>131</v>
      </c>
      <c r="R1" s="123" t="s">
        <v>3880</v>
      </c>
      <c r="S1" s="2"/>
      <c r="T1" s="2"/>
      <c r="U1" s="2"/>
      <c r="V1" s="2"/>
      <c r="W1" s="2"/>
      <c r="X1" s="2"/>
      <c r="Y1" s="2"/>
      <c r="Z1" s="2"/>
    </row>
    <row r="2">
      <c r="A2" s="144">
        <v>52.0</v>
      </c>
      <c r="B2" s="144" t="s">
        <v>6</v>
      </c>
      <c r="C2" s="144" t="s">
        <v>1329</v>
      </c>
      <c r="D2" s="144" t="s">
        <v>214</v>
      </c>
      <c r="E2" s="144" t="s">
        <v>135</v>
      </c>
      <c r="F2" s="144" t="s">
        <v>136</v>
      </c>
      <c r="G2" s="144" t="s">
        <v>150</v>
      </c>
      <c r="H2" s="144"/>
      <c r="I2" s="144" t="s">
        <v>135</v>
      </c>
      <c r="J2" s="144" t="s">
        <v>1330</v>
      </c>
      <c r="K2" s="144" t="s">
        <v>139</v>
      </c>
      <c r="L2" s="144"/>
      <c r="O2" s="7" t="str">
        <f t="array" ref="O2:O15">UNIQUE(D2:D60)</f>
        <v>Indonesia</v>
      </c>
      <c r="P2" s="7">
        <f t="shared" ref="P2:P15" si="1">COUNTIF(D$2:D$60,O2)</f>
        <v>1</v>
      </c>
      <c r="Q2" s="289" t="str">
        <f t="array" ref="Q2">XLOOKUP(O2,Countries!A$2:A$98,Countries!B$2:B$98,"tbd",0)</f>
        <v>Asia</v>
      </c>
    </row>
    <row r="3">
      <c r="A3" s="144">
        <v>19.0</v>
      </c>
      <c r="B3" s="144" t="s">
        <v>7</v>
      </c>
      <c r="C3" s="144" t="s">
        <v>362</v>
      </c>
      <c r="D3" s="144" t="s">
        <v>202</v>
      </c>
      <c r="E3" s="144" t="s">
        <v>135</v>
      </c>
      <c r="F3" s="144" t="s">
        <v>135</v>
      </c>
      <c r="G3" s="144" t="s">
        <v>144</v>
      </c>
      <c r="H3" s="144"/>
      <c r="I3" s="144" t="s">
        <v>135</v>
      </c>
      <c r="J3" s="144" t="s">
        <v>1331</v>
      </c>
      <c r="K3" s="144" t="s">
        <v>139</v>
      </c>
      <c r="L3" s="144"/>
      <c r="O3" s="7" t="s">
        <v>202</v>
      </c>
      <c r="P3" s="7">
        <f t="shared" si="1"/>
        <v>6</v>
      </c>
      <c r="Q3" s="7" t="str">
        <f t="array" ref="Q3">XLOOKUP(O3,Countries!A$2:A$98,Countries!B$2:B$98,"tbd",0)</f>
        <v>Europe</v>
      </c>
    </row>
    <row r="4">
      <c r="A4" s="144">
        <v>3.0</v>
      </c>
      <c r="B4" s="144" t="s">
        <v>6</v>
      </c>
      <c r="C4" s="144" t="s">
        <v>1116</v>
      </c>
      <c r="D4" s="144" t="s">
        <v>197</v>
      </c>
      <c r="E4" s="144" t="s">
        <v>135</v>
      </c>
      <c r="F4" s="144" t="s">
        <v>136</v>
      </c>
      <c r="G4" s="144" t="s">
        <v>185</v>
      </c>
      <c r="H4" s="144" t="s">
        <v>411</v>
      </c>
      <c r="I4" s="144" t="s">
        <v>136</v>
      </c>
      <c r="J4" s="144" t="s">
        <v>1332</v>
      </c>
      <c r="K4" s="144" t="s">
        <v>139</v>
      </c>
      <c r="L4" s="144"/>
      <c r="O4" s="7" t="s">
        <v>197</v>
      </c>
      <c r="P4" s="7">
        <f t="shared" si="1"/>
        <v>5</v>
      </c>
      <c r="Q4" s="7" t="str">
        <f t="array" ref="Q4">XLOOKUP(O4,Countries!A$2:A$98,Countries!B$2:B$98,"tbd",0)</f>
        <v>Europe</v>
      </c>
    </row>
    <row r="5">
      <c r="A5" s="144">
        <v>27.0</v>
      </c>
      <c r="B5" s="144" t="s">
        <v>7</v>
      </c>
      <c r="C5" s="144" t="s">
        <v>1333</v>
      </c>
      <c r="D5" s="144" t="s">
        <v>233</v>
      </c>
      <c r="E5" s="144" t="s">
        <v>136</v>
      </c>
      <c r="F5" s="144" t="s">
        <v>136</v>
      </c>
      <c r="G5" s="144" t="s">
        <v>144</v>
      </c>
      <c r="H5" s="144"/>
      <c r="I5" s="144" t="s">
        <v>135</v>
      </c>
      <c r="J5" s="144" t="s">
        <v>1334</v>
      </c>
      <c r="K5" s="144" t="s">
        <v>139</v>
      </c>
      <c r="L5" s="144"/>
      <c r="O5" s="7" t="s">
        <v>233</v>
      </c>
      <c r="P5" s="7">
        <f t="shared" si="1"/>
        <v>19</v>
      </c>
      <c r="Q5" s="142" t="str">
        <f t="array" ref="Q5">XLOOKUP(O5,Countries!A$2:A$98,Countries!B$2:B$98,"tbd",0)</f>
        <v>widening countries</v>
      </c>
    </row>
    <row r="6">
      <c r="A6" s="144">
        <v>41.0</v>
      </c>
      <c r="B6" s="144" t="s">
        <v>6</v>
      </c>
      <c r="C6" s="144" t="s">
        <v>1253</v>
      </c>
      <c r="D6" s="144" t="s">
        <v>233</v>
      </c>
      <c r="E6" s="144" t="s">
        <v>136</v>
      </c>
      <c r="F6" s="144" t="s">
        <v>136</v>
      </c>
      <c r="G6" s="144" t="s">
        <v>185</v>
      </c>
      <c r="H6" s="144" t="s">
        <v>1335</v>
      </c>
      <c r="I6" s="144" t="s">
        <v>136</v>
      </c>
      <c r="J6" s="144" t="s">
        <v>1336</v>
      </c>
      <c r="K6" s="144" t="s">
        <v>139</v>
      </c>
      <c r="L6" s="144"/>
      <c r="O6" s="7" t="s">
        <v>134</v>
      </c>
      <c r="P6" s="7">
        <f t="shared" si="1"/>
        <v>7</v>
      </c>
      <c r="Q6" s="7" t="str">
        <f t="array" ref="Q6">XLOOKUP(O6,Countries!A$2:A$98,Countries!B$2:B$98,"tbd",0)</f>
        <v>Europe</v>
      </c>
    </row>
    <row r="7">
      <c r="A7" s="144">
        <v>53.0</v>
      </c>
      <c r="B7" s="144" t="s">
        <v>7</v>
      </c>
      <c r="C7" s="144" t="s">
        <v>149</v>
      </c>
      <c r="D7" s="144" t="s">
        <v>134</v>
      </c>
      <c r="E7" s="144" t="s">
        <v>135</v>
      </c>
      <c r="F7" s="144" t="s">
        <v>136</v>
      </c>
      <c r="G7" s="144" t="s">
        <v>150</v>
      </c>
      <c r="H7" s="144"/>
      <c r="I7" s="144" t="s">
        <v>135</v>
      </c>
      <c r="J7" s="144" t="s">
        <v>1337</v>
      </c>
      <c r="K7" s="144" t="s">
        <v>139</v>
      </c>
      <c r="L7" s="144"/>
      <c r="O7" s="7" t="s">
        <v>218</v>
      </c>
      <c r="P7" s="7">
        <f t="shared" si="1"/>
        <v>2</v>
      </c>
      <c r="Q7" s="7" t="str">
        <f t="array" ref="Q7">XLOOKUP(O7,Countries!A$2:A$98,Countries!B$2:B$98,"tbd",0)</f>
        <v>associated countries</v>
      </c>
    </row>
    <row r="8">
      <c r="A8" s="144">
        <v>34.0</v>
      </c>
      <c r="B8" s="144" t="s">
        <v>7</v>
      </c>
      <c r="C8" s="144" t="s">
        <v>1338</v>
      </c>
      <c r="D8" s="144" t="s">
        <v>218</v>
      </c>
      <c r="E8" s="144" t="s">
        <v>136</v>
      </c>
      <c r="F8" s="144" t="s">
        <v>136</v>
      </c>
      <c r="G8" s="144" t="s">
        <v>1339</v>
      </c>
      <c r="H8" s="144"/>
      <c r="I8" s="144" t="s">
        <v>135</v>
      </c>
      <c r="J8" s="144" t="s">
        <v>1340</v>
      </c>
      <c r="K8" s="144" t="s">
        <v>139</v>
      </c>
      <c r="L8" s="144"/>
      <c r="O8" s="7" t="s">
        <v>143</v>
      </c>
      <c r="P8" s="7">
        <f t="shared" si="1"/>
        <v>6</v>
      </c>
      <c r="Q8" s="7" t="str">
        <f t="array" ref="Q8">XLOOKUP(O8,Countries!A$2:A$98,Countries!B$2:B$98,"tbd",0)</f>
        <v>Europe</v>
      </c>
    </row>
    <row r="9">
      <c r="A9" s="144">
        <v>44.0</v>
      </c>
      <c r="B9" s="144" t="s">
        <v>7</v>
      </c>
      <c r="C9" s="144" t="s">
        <v>1116</v>
      </c>
      <c r="D9" s="144" t="s">
        <v>197</v>
      </c>
      <c r="E9" s="144" t="s">
        <v>136</v>
      </c>
      <c r="F9" s="144" t="s">
        <v>136</v>
      </c>
      <c r="G9" s="144" t="s">
        <v>185</v>
      </c>
      <c r="H9" s="144" t="s">
        <v>411</v>
      </c>
      <c r="I9" s="144" t="s">
        <v>135</v>
      </c>
      <c r="J9" s="144" t="s">
        <v>1341</v>
      </c>
      <c r="K9" s="144" t="s">
        <v>139</v>
      </c>
      <c r="L9" s="144"/>
      <c r="O9" s="7" t="s">
        <v>209</v>
      </c>
      <c r="P9" s="7">
        <f t="shared" si="1"/>
        <v>5</v>
      </c>
      <c r="Q9" s="7" t="str">
        <f t="array" ref="Q9">XLOOKUP(O9,Countries!A$2:A$98,Countries!B$2:B$98,"tbd",0)</f>
        <v>associated countries</v>
      </c>
    </row>
    <row r="10">
      <c r="A10" s="144">
        <v>40.0</v>
      </c>
      <c r="B10" s="144" t="s">
        <v>7</v>
      </c>
      <c r="C10" s="144" t="s">
        <v>1132</v>
      </c>
      <c r="D10" s="144" t="s">
        <v>233</v>
      </c>
      <c r="E10" s="144" t="s">
        <v>135</v>
      </c>
      <c r="F10" s="144" t="s">
        <v>136</v>
      </c>
      <c r="G10" s="144" t="s">
        <v>174</v>
      </c>
      <c r="H10" s="144"/>
      <c r="I10" s="144" t="s">
        <v>135</v>
      </c>
      <c r="J10" s="144" t="s">
        <v>1342</v>
      </c>
      <c r="K10" s="144" t="s">
        <v>139</v>
      </c>
      <c r="L10" s="144"/>
      <c r="O10" s="7" t="s">
        <v>164</v>
      </c>
      <c r="P10" s="7">
        <f t="shared" si="1"/>
        <v>3</v>
      </c>
      <c r="Q10" s="7" t="str">
        <f t="array" ref="Q10">XLOOKUP(O10,Countries!A$2:A$98,Countries!B$2:B$98,"tbd",0)</f>
        <v>Europe</v>
      </c>
    </row>
    <row r="11">
      <c r="A11" s="144">
        <v>43.0</v>
      </c>
      <c r="B11" s="144" t="s">
        <v>6</v>
      </c>
      <c r="C11" s="144" t="s">
        <v>1134</v>
      </c>
      <c r="D11" s="144" t="s">
        <v>233</v>
      </c>
      <c r="E11" s="144" t="s">
        <v>135</v>
      </c>
      <c r="F11" s="144" t="s">
        <v>136</v>
      </c>
      <c r="G11" s="144" t="s">
        <v>174</v>
      </c>
      <c r="H11" s="144"/>
      <c r="I11" s="144" t="s">
        <v>135</v>
      </c>
      <c r="J11" s="144" t="s">
        <v>1343</v>
      </c>
      <c r="K11" s="144" t="s">
        <v>139</v>
      </c>
      <c r="L11" s="144"/>
      <c r="O11" s="7" t="s">
        <v>228</v>
      </c>
      <c r="P11" s="7">
        <f t="shared" si="1"/>
        <v>1</v>
      </c>
      <c r="Q11" s="142" t="str">
        <f t="array" ref="Q11">XLOOKUP(O11,Countries!A$2:A$98,Countries!B$2:B$98,"tbd",0)</f>
        <v>widening countries</v>
      </c>
    </row>
    <row r="12">
      <c r="A12" s="144">
        <v>2.0</v>
      </c>
      <c r="B12" s="144" t="s">
        <v>7</v>
      </c>
      <c r="C12" s="144" t="s">
        <v>1136</v>
      </c>
      <c r="D12" s="144" t="s">
        <v>202</v>
      </c>
      <c r="E12" s="144" t="s">
        <v>135</v>
      </c>
      <c r="F12" s="144" t="s">
        <v>136</v>
      </c>
      <c r="G12" s="144" t="s">
        <v>144</v>
      </c>
      <c r="H12" s="144"/>
      <c r="I12" s="144" t="s">
        <v>136</v>
      </c>
      <c r="J12" s="144" t="s">
        <v>1344</v>
      </c>
      <c r="K12" s="144" t="s">
        <v>139</v>
      </c>
      <c r="L12" s="144"/>
      <c r="O12" s="7" t="s">
        <v>243</v>
      </c>
      <c r="P12" s="7">
        <f t="shared" si="1"/>
        <v>1</v>
      </c>
      <c r="Q12" s="289" t="str">
        <f t="array" ref="Q12">XLOOKUP(O12,Countries!A$2:A$98,Countries!B$2:B$98,"tbd",0)</f>
        <v>Middle East</v>
      </c>
    </row>
    <row r="13">
      <c r="A13" s="144">
        <v>28.0</v>
      </c>
      <c r="B13" s="144" t="s">
        <v>7</v>
      </c>
      <c r="C13" s="144" t="s">
        <v>1279</v>
      </c>
      <c r="D13" s="144" t="s">
        <v>233</v>
      </c>
      <c r="E13" s="144" t="s">
        <v>135</v>
      </c>
      <c r="F13" s="144" t="s">
        <v>136</v>
      </c>
      <c r="G13" s="144" t="s">
        <v>1345</v>
      </c>
      <c r="H13" s="144"/>
      <c r="I13" s="144" t="s">
        <v>135</v>
      </c>
      <c r="J13" s="144" t="s">
        <v>1346</v>
      </c>
      <c r="K13" s="144" t="s">
        <v>139</v>
      </c>
      <c r="L13" s="144"/>
      <c r="O13" s="7" t="s">
        <v>213</v>
      </c>
      <c r="P13" s="7">
        <f t="shared" si="1"/>
        <v>1</v>
      </c>
      <c r="Q13" s="142" t="str">
        <f t="array" ref="Q13">XLOOKUP(O13,Countries!A$2:A$98,Countries!B$2:B$98,"tbd",0)</f>
        <v>widening countries</v>
      </c>
    </row>
    <row r="14">
      <c r="A14" s="144">
        <v>31.0</v>
      </c>
      <c r="B14" s="144" t="s">
        <v>7</v>
      </c>
      <c r="C14" s="144" t="s">
        <v>1347</v>
      </c>
      <c r="D14" s="144" t="s">
        <v>233</v>
      </c>
      <c r="E14" s="144" t="s">
        <v>135</v>
      </c>
      <c r="F14" s="144" t="s">
        <v>136</v>
      </c>
      <c r="G14" s="144" t="s">
        <v>185</v>
      </c>
      <c r="H14" s="144" t="s">
        <v>1348</v>
      </c>
      <c r="I14" s="144" t="s">
        <v>135</v>
      </c>
      <c r="J14" s="144" t="s">
        <v>1349</v>
      </c>
      <c r="K14" s="144" t="s">
        <v>139</v>
      </c>
      <c r="L14" s="144"/>
      <c r="O14" s="7" t="s">
        <v>187</v>
      </c>
      <c r="P14" s="7">
        <f t="shared" si="1"/>
        <v>1</v>
      </c>
      <c r="Q14" s="7" t="str">
        <f t="array" ref="Q14">XLOOKUP(O14,Countries!A$2:A$98,Countries!B$2:B$98,"tbd",0)</f>
        <v>Europe</v>
      </c>
    </row>
    <row r="15">
      <c r="A15" s="144">
        <v>18.0</v>
      </c>
      <c r="B15" s="144" t="s">
        <v>7</v>
      </c>
      <c r="C15" s="144" t="s">
        <v>200</v>
      </c>
      <c r="D15" s="144" t="s">
        <v>143</v>
      </c>
      <c r="E15" s="144" t="s">
        <v>136</v>
      </c>
      <c r="F15" s="144" t="s">
        <v>136</v>
      </c>
      <c r="G15" s="144" t="s">
        <v>1350</v>
      </c>
      <c r="H15" s="144"/>
      <c r="I15" s="144" t="s">
        <v>135</v>
      </c>
      <c r="J15" s="144" t="s">
        <v>1351</v>
      </c>
      <c r="K15" s="144" t="s">
        <v>139</v>
      </c>
      <c r="L15" s="144"/>
      <c r="O15" s="7" t="s">
        <v>255</v>
      </c>
      <c r="P15" s="7">
        <f t="shared" si="1"/>
        <v>1</v>
      </c>
      <c r="Q15" s="289" t="str">
        <f t="array" ref="Q15">XLOOKUP(O15,Countries!A$2:A$98,Countries!B$2:B$98,"tbd",0)</f>
        <v>Asia</v>
      </c>
    </row>
    <row r="16">
      <c r="A16" s="144">
        <v>37.0</v>
      </c>
      <c r="B16" s="144" t="s">
        <v>7</v>
      </c>
      <c r="C16" s="144" t="s">
        <v>1188</v>
      </c>
      <c r="D16" s="144" t="s">
        <v>233</v>
      </c>
      <c r="E16" s="144" t="s">
        <v>136</v>
      </c>
      <c r="F16" s="144" t="s">
        <v>136</v>
      </c>
      <c r="G16" s="144" t="s">
        <v>185</v>
      </c>
      <c r="H16" s="144" t="s">
        <v>1217</v>
      </c>
      <c r="I16" s="144" t="s">
        <v>135</v>
      </c>
      <c r="J16" s="144" t="s">
        <v>1352</v>
      </c>
      <c r="K16" s="144" t="s">
        <v>139</v>
      </c>
      <c r="L16" s="144"/>
    </row>
    <row r="17">
      <c r="A17" s="144">
        <v>47.0</v>
      </c>
      <c r="B17" s="144" t="s">
        <v>6</v>
      </c>
      <c r="C17" s="144" t="s">
        <v>240</v>
      </c>
      <c r="D17" s="144" t="s">
        <v>197</v>
      </c>
      <c r="E17" s="144" t="s">
        <v>136</v>
      </c>
      <c r="F17" s="144" t="s">
        <v>136</v>
      </c>
      <c r="G17" s="144" t="s">
        <v>1353</v>
      </c>
      <c r="H17" s="144"/>
      <c r="I17" s="144" t="s">
        <v>135</v>
      </c>
      <c r="J17" s="144" t="s">
        <v>1354</v>
      </c>
      <c r="K17" s="144" t="s">
        <v>139</v>
      </c>
      <c r="L17" s="144"/>
    </row>
    <row r="18">
      <c r="A18" s="144">
        <v>21.0</v>
      </c>
      <c r="B18" s="144" t="s">
        <v>7</v>
      </c>
      <c r="C18" s="144" t="s">
        <v>362</v>
      </c>
      <c r="D18" s="144" t="s">
        <v>202</v>
      </c>
      <c r="E18" s="144" t="s">
        <v>136</v>
      </c>
      <c r="F18" s="144" t="s">
        <v>136</v>
      </c>
      <c r="G18" s="144" t="s">
        <v>144</v>
      </c>
      <c r="H18" s="144"/>
      <c r="I18" s="144" t="s">
        <v>135</v>
      </c>
      <c r="J18" s="144" t="s">
        <v>1355</v>
      </c>
      <c r="K18" s="144" t="s">
        <v>139</v>
      </c>
      <c r="L18" s="144"/>
      <c r="P18" s="7">
        <v>21.0</v>
      </c>
      <c r="Q18" s="7" t="s">
        <v>451</v>
      </c>
    </row>
    <row r="19">
      <c r="A19" s="144">
        <v>29.0</v>
      </c>
      <c r="B19" s="144" t="s">
        <v>6</v>
      </c>
      <c r="C19" s="144" t="s">
        <v>1356</v>
      </c>
      <c r="D19" s="144" t="s">
        <v>233</v>
      </c>
      <c r="E19" s="144" t="s">
        <v>136</v>
      </c>
      <c r="F19" s="144" t="s">
        <v>136</v>
      </c>
      <c r="G19" s="144" t="s">
        <v>226</v>
      </c>
      <c r="H19" s="144"/>
      <c r="I19" s="144" t="s">
        <v>135</v>
      </c>
      <c r="J19" s="144" t="s">
        <v>1357</v>
      </c>
      <c r="K19" s="144" t="s">
        <v>139</v>
      </c>
      <c r="L19" s="144"/>
      <c r="P19" s="7">
        <v>3.0</v>
      </c>
      <c r="Q19" s="289" t="s">
        <v>22</v>
      </c>
    </row>
    <row r="20">
      <c r="A20" s="144">
        <v>56.0</v>
      </c>
      <c r="B20" s="144" t="s">
        <v>7</v>
      </c>
      <c r="C20" s="144" t="s">
        <v>250</v>
      </c>
      <c r="D20" s="144" t="s">
        <v>209</v>
      </c>
      <c r="E20" s="144" t="s">
        <v>135</v>
      </c>
      <c r="F20" s="144" t="s">
        <v>136</v>
      </c>
      <c r="G20" s="144" t="s">
        <v>1358</v>
      </c>
      <c r="H20" s="144" t="s">
        <v>252</v>
      </c>
      <c r="I20" s="144" t="s">
        <v>135</v>
      </c>
      <c r="J20" s="144" t="s">
        <v>1359</v>
      </c>
      <c r="K20" s="144" t="s">
        <v>139</v>
      </c>
      <c r="L20" s="144"/>
    </row>
    <row r="21" ht="15.75" customHeight="1">
      <c r="A21" s="144">
        <v>57.0</v>
      </c>
      <c r="B21" s="144" t="s">
        <v>7</v>
      </c>
      <c r="C21" s="144" t="s">
        <v>1360</v>
      </c>
      <c r="D21" s="144" t="s">
        <v>134</v>
      </c>
      <c r="E21" s="144" t="s">
        <v>136</v>
      </c>
      <c r="F21" s="144" t="s">
        <v>136</v>
      </c>
      <c r="G21" s="144" t="s">
        <v>385</v>
      </c>
      <c r="H21" s="144" t="s">
        <v>1361</v>
      </c>
      <c r="I21" s="144" t="s">
        <v>136</v>
      </c>
      <c r="J21" s="144" t="s">
        <v>1362</v>
      </c>
      <c r="K21" s="144" t="s">
        <v>139</v>
      </c>
      <c r="L21" s="144"/>
    </row>
    <row r="22" ht="15.75" customHeight="1">
      <c r="A22" s="144">
        <v>42.0</v>
      </c>
      <c r="B22" s="144" t="s">
        <v>7</v>
      </c>
      <c r="C22" s="144" t="s">
        <v>338</v>
      </c>
      <c r="D22" s="144" t="s">
        <v>143</v>
      </c>
      <c r="E22" s="144" t="s">
        <v>136</v>
      </c>
      <c r="F22" s="144" t="s">
        <v>136</v>
      </c>
      <c r="G22" s="144" t="s">
        <v>401</v>
      </c>
      <c r="H22" s="144"/>
      <c r="I22" s="144" t="s">
        <v>135</v>
      </c>
      <c r="J22" s="144" t="s">
        <v>1363</v>
      </c>
      <c r="K22" s="144" t="s">
        <v>139</v>
      </c>
      <c r="L22" s="144"/>
    </row>
    <row r="23" ht="15.75" customHeight="1">
      <c r="A23" s="144">
        <v>25.0</v>
      </c>
      <c r="B23" s="144" t="s">
        <v>7</v>
      </c>
      <c r="C23" s="144" t="s">
        <v>1364</v>
      </c>
      <c r="D23" s="144" t="s">
        <v>233</v>
      </c>
      <c r="E23" s="144" t="s">
        <v>136</v>
      </c>
      <c r="F23" s="144" t="s">
        <v>136</v>
      </c>
      <c r="G23" s="144" t="s">
        <v>185</v>
      </c>
      <c r="H23" s="144" t="s">
        <v>1365</v>
      </c>
      <c r="I23" s="144" t="s">
        <v>136</v>
      </c>
      <c r="J23" s="144" t="s">
        <v>1366</v>
      </c>
      <c r="K23" s="144" t="s">
        <v>139</v>
      </c>
      <c r="L23" s="144"/>
    </row>
    <row r="24" ht="15.75" customHeight="1">
      <c r="A24" s="144">
        <v>36.0</v>
      </c>
      <c r="B24" s="144" t="s">
        <v>7</v>
      </c>
      <c r="C24" s="144" t="s">
        <v>1367</v>
      </c>
      <c r="D24" s="144" t="s">
        <v>209</v>
      </c>
      <c r="E24" s="144" t="s">
        <v>136</v>
      </c>
      <c r="F24" s="144" t="s">
        <v>136</v>
      </c>
      <c r="G24" s="144" t="s">
        <v>401</v>
      </c>
      <c r="H24" s="144"/>
      <c r="I24" s="144" t="s">
        <v>135</v>
      </c>
      <c r="J24" s="144" t="s">
        <v>1368</v>
      </c>
      <c r="K24" s="144" t="s">
        <v>139</v>
      </c>
      <c r="L24" s="144"/>
    </row>
    <row r="25" ht="15.75" customHeight="1">
      <c r="A25" s="144">
        <v>58.0</v>
      </c>
      <c r="B25" s="144" t="s">
        <v>7</v>
      </c>
      <c r="C25" s="144" t="s">
        <v>1369</v>
      </c>
      <c r="D25" s="144" t="s">
        <v>209</v>
      </c>
      <c r="E25" s="144" t="s">
        <v>136</v>
      </c>
      <c r="F25" s="144" t="s">
        <v>136</v>
      </c>
      <c r="G25" s="144" t="s">
        <v>385</v>
      </c>
      <c r="H25" s="144"/>
      <c r="I25" s="144" t="s">
        <v>136</v>
      </c>
      <c r="J25" s="144" t="s">
        <v>1370</v>
      </c>
      <c r="K25" s="144" t="s">
        <v>139</v>
      </c>
      <c r="L25" s="144"/>
      <c r="O25" s="123"/>
      <c r="P25" s="123"/>
      <c r="Q25" s="123"/>
    </row>
    <row r="26" ht="15.75" customHeight="1">
      <c r="A26" s="144">
        <v>50.0</v>
      </c>
      <c r="B26" s="144" t="s">
        <v>7</v>
      </c>
      <c r="C26" s="144" t="s">
        <v>315</v>
      </c>
      <c r="D26" s="144" t="s">
        <v>164</v>
      </c>
      <c r="E26" s="144" t="s">
        <v>135</v>
      </c>
      <c r="F26" s="144" t="s">
        <v>136</v>
      </c>
      <c r="G26" s="144" t="s">
        <v>1197</v>
      </c>
      <c r="H26" s="144" t="s">
        <v>1371</v>
      </c>
      <c r="I26" s="144" t="s">
        <v>135</v>
      </c>
      <c r="J26" s="144" t="s">
        <v>1372</v>
      </c>
      <c r="K26" s="144" t="s">
        <v>139</v>
      </c>
      <c r="L26" s="144"/>
    </row>
    <row r="27" ht="15.75" customHeight="1">
      <c r="A27" s="144">
        <v>35.0</v>
      </c>
      <c r="B27" s="144" t="s">
        <v>7</v>
      </c>
      <c r="C27" s="144" t="s">
        <v>250</v>
      </c>
      <c r="D27" s="144" t="s">
        <v>209</v>
      </c>
      <c r="E27" s="144" t="s">
        <v>135</v>
      </c>
      <c r="F27" s="144" t="s">
        <v>136</v>
      </c>
      <c r="G27" s="144" t="s">
        <v>1358</v>
      </c>
      <c r="H27" s="144" t="s">
        <v>1373</v>
      </c>
      <c r="I27" s="144" t="s">
        <v>135</v>
      </c>
      <c r="J27" s="144" t="s">
        <v>1374</v>
      </c>
      <c r="K27" s="144" t="s">
        <v>139</v>
      </c>
      <c r="L27" s="144"/>
    </row>
    <row r="28" ht="15.75" customHeight="1">
      <c r="A28" s="144">
        <v>15.0</v>
      </c>
      <c r="B28" s="144" t="s">
        <v>7</v>
      </c>
      <c r="C28" s="144" t="s">
        <v>1174</v>
      </c>
      <c r="D28" s="144" t="s">
        <v>134</v>
      </c>
      <c r="E28" s="144" t="s">
        <v>135</v>
      </c>
      <c r="F28" s="144" t="s">
        <v>136</v>
      </c>
      <c r="G28" s="144" t="s">
        <v>1175</v>
      </c>
      <c r="H28" s="144"/>
      <c r="I28" s="144" t="s">
        <v>135</v>
      </c>
      <c r="J28" s="144" t="s">
        <v>1375</v>
      </c>
      <c r="K28" s="144" t="s">
        <v>139</v>
      </c>
      <c r="L28" s="144"/>
    </row>
    <row r="29" ht="15.75" customHeight="1">
      <c r="A29" s="144">
        <v>30.0</v>
      </c>
      <c r="B29" s="144" t="s">
        <v>7</v>
      </c>
      <c r="C29" s="144" t="s">
        <v>356</v>
      </c>
      <c r="D29" s="144" t="s">
        <v>228</v>
      </c>
      <c r="E29" s="144" t="s">
        <v>136</v>
      </c>
      <c r="F29" s="144" t="s">
        <v>136</v>
      </c>
      <c r="G29" s="144" t="s">
        <v>144</v>
      </c>
      <c r="H29" s="144"/>
      <c r="I29" s="144" t="s">
        <v>135</v>
      </c>
      <c r="J29" s="144" t="s">
        <v>1376</v>
      </c>
      <c r="K29" s="144" t="s">
        <v>139</v>
      </c>
      <c r="L29" s="144"/>
    </row>
    <row r="30" ht="15.75" customHeight="1">
      <c r="A30" s="144">
        <v>54.0</v>
      </c>
      <c r="B30" s="144" t="s">
        <v>6</v>
      </c>
      <c r="C30" s="144" t="s">
        <v>1377</v>
      </c>
      <c r="D30" s="144" t="s">
        <v>164</v>
      </c>
      <c r="E30" s="144" t="s">
        <v>135</v>
      </c>
      <c r="F30" s="144" t="s">
        <v>136</v>
      </c>
      <c r="G30" s="144" t="s">
        <v>157</v>
      </c>
      <c r="H30" s="144"/>
      <c r="I30" s="144" t="s">
        <v>135</v>
      </c>
      <c r="J30" s="144" t="s">
        <v>1378</v>
      </c>
      <c r="K30" s="144" t="s">
        <v>139</v>
      </c>
      <c r="L30" s="144"/>
    </row>
    <row r="31" ht="15.75" customHeight="1">
      <c r="A31" s="144">
        <v>59.0</v>
      </c>
      <c r="B31" s="144" t="s">
        <v>6</v>
      </c>
      <c r="C31" s="144" t="s">
        <v>1379</v>
      </c>
      <c r="D31" s="144" t="s">
        <v>134</v>
      </c>
      <c r="E31" s="144" t="s">
        <v>136</v>
      </c>
      <c r="F31" s="144" t="s">
        <v>136</v>
      </c>
      <c r="G31" s="144" t="s">
        <v>767</v>
      </c>
      <c r="H31" s="144"/>
      <c r="I31" s="144" t="s">
        <v>135</v>
      </c>
      <c r="J31" s="144" t="s">
        <v>1380</v>
      </c>
      <c r="K31" s="144" t="s">
        <v>139</v>
      </c>
      <c r="L31" s="144"/>
    </row>
    <row r="32" ht="15.75" customHeight="1">
      <c r="A32" s="144">
        <v>9.0</v>
      </c>
      <c r="B32" s="144" t="s">
        <v>7</v>
      </c>
      <c r="C32" s="144" t="s">
        <v>1177</v>
      </c>
      <c r="D32" s="144" t="s">
        <v>233</v>
      </c>
      <c r="E32" s="144" t="s">
        <v>136</v>
      </c>
      <c r="F32" s="144" t="s">
        <v>136</v>
      </c>
      <c r="G32" s="144" t="s">
        <v>144</v>
      </c>
      <c r="H32" s="144" t="s">
        <v>903</v>
      </c>
      <c r="I32" s="144" t="s">
        <v>135</v>
      </c>
      <c r="J32" s="144" t="s">
        <v>1381</v>
      </c>
      <c r="K32" s="144" t="s">
        <v>139</v>
      </c>
      <c r="L32" s="144"/>
    </row>
    <row r="33" ht="15.75" customHeight="1">
      <c r="A33" s="144">
        <v>16.0</v>
      </c>
      <c r="B33" s="144" t="s">
        <v>7</v>
      </c>
      <c r="C33" s="144" t="s">
        <v>276</v>
      </c>
      <c r="D33" s="144" t="s">
        <v>218</v>
      </c>
      <c r="E33" s="144" t="s">
        <v>136</v>
      </c>
      <c r="F33" s="144" t="s">
        <v>135</v>
      </c>
      <c r="G33" s="144" t="s">
        <v>221</v>
      </c>
      <c r="H33" s="144"/>
      <c r="I33" s="144" t="s">
        <v>136</v>
      </c>
      <c r="J33" s="144" t="s">
        <v>1382</v>
      </c>
      <c r="K33" s="144" t="s">
        <v>139</v>
      </c>
      <c r="L33" s="144"/>
    </row>
    <row r="34" ht="15.75" customHeight="1">
      <c r="A34" s="144">
        <v>8.0</v>
      </c>
      <c r="B34" s="144" t="s">
        <v>7</v>
      </c>
      <c r="C34" s="144" t="s">
        <v>1116</v>
      </c>
      <c r="D34" s="144" t="s">
        <v>197</v>
      </c>
      <c r="E34" s="144" t="s">
        <v>136</v>
      </c>
      <c r="F34" s="144" t="s">
        <v>136</v>
      </c>
      <c r="G34" s="144" t="s">
        <v>401</v>
      </c>
      <c r="H34" s="144"/>
      <c r="I34" s="144" t="s">
        <v>135</v>
      </c>
      <c r="J34" s="144" t="s">
        <v>1383</v>
      </c>
      <c r="K34" s="144" t="s">
        <v>139</v>
      </c>
      <c r="L34" s="144"/>
    </row>
    <row r="35" ht="15.75" customHeight="1">
      <c r="A35" s="144">
        <v>11.0</v>
      </c>
      <c r="B35" s="144" t="s">
        <v>6</v>
      </c>
      <c r="C35" s="144" t="s">
        <v>1127</v>
      </c>
      <c r="D35" s="144" t="s">
        <v>233</v>
      </c>
      <c r="E35" s="144" t="s">
        <v>136</v>
      </c>
      <c r="F35" s="144" t="s">
        <v>136</v>
      </c>
      <c r="G35" s="144" t="s">
        <v>185</v>
      </c>
      <c r="H35" s="144" t="s">
        <v>1384</v>
      </c>
      <c r="I35" s="144" t="s">
        <v>135</v>
      </c>
      <c r="J35" s="144" t="s">
        <v>1385</v>
      </c>
      <c r="K35" s="144" t="s">
        <v>139</v>
      </c>
      <c r="L35" s="144"/>
    </row>
    <row r="36" ht="15.75" customHeight="1">
      <c r="A36" s="144">
        <v>1.0</v>
      </c>
      <c r="B36" s="144" t="s">
        <v>7</v>
      </c>
      <c r="C36" s="144" t="s">
        <v>1127</v>
      </c>
      <c r="D36" s="144" t="s">
        <v>233</v>
      </c>
      <c r="E36" s="144" t="s">
        <v>136</v>
      </c>
      <c r="F36" s="144" t="s">
        <v>136</v>
      </c>
      <c r="G36" s="144" t="s">
        <v>157</v>
      </c>
      <c r="H36" s="144" t="s">
        <v>1386</v>
      </c>
      <c r="I36" s="144" t="s">
        <v>135</v>
      </c>
      <c r="J36" s="144" t="s">
        <v>1387</v>
      </c>
      <c r="K36" s="144" t="s">
        <v>139</v>
      </c>
      <c r="L36" s="144"/>
    </row>
    <row r="37" ht="15.75" customHeight="1">
      <c r="A37" s="144">
        <v>14.0</v>
      </c>
      <c r="B37" s="144" t="s">
        <v>6</v>
      </c>
      <c r="C37" s="144" t="s">
        <v>142</v>
      </c>
      <c r="D37" s="144" t="s">
        <v>143</v>
      </c>
      <c r="E37" s="144" t="s">
        <v>136</v>
      </c>
      <c r="F37" s="144" t="s">
        <v>136</v>
      </c>
      <c r="G37" s="144" t="s">
        <v>144</v>
      </c>
      <c r="H37" s="144" t="s">
        <v>1388</v>
      </c>
      <c r="I37" s="144" t="s">
        <v>135</v>
      </c>
      <c r="J37" s="144" t="s">
        <v>1389</v>
      </c>
      <c r="K37" s="144" t="s">
        <v>139</v>
      </c>
      <c r="L37" s="144"/>
    </row>
    <row r="38" ht="15.75" customHeight="1">
      <c r="A38" s="144">
        <v>5.0</v>
      </c>
      <c r="B38" s="144" t="s">
        <v>7</v>
      </c>
      <c r="C38" s="144" t="s">
        <v>371</v>
      </c>
      <c r="D38" s="144" t="s">
        <v>197</v>
      </c>
      <c r="E38" s="144" t="s">
        <v>136</v>
      </c>
      <c r="F38" s="144" t="s">
        <v>136</v>
      </c>
      <c r="G38" s="144" t="s">
        <v>599</v>
      </c>
      <c r="H38" s="144"/>
      <c r="I38" s="144" t="s">
        <v>135</v>
      </c>
      <c r="J38" s="144" t="s">
        <v>1332</v>
      </c>
      <c r="K38" s="144" t="s">
        <v>139</v>
      </c>
      <c r="L38" s="144"/>
    </row>
    <row r="39" ht="15.75" customHeight="1">
      <c r="A39" s="144">
        <v>23.0</v>
      </c>
      <c r="B39" s="144" t="s">
        <v>7</v>
      </c>
      <c r="C39" s="144" t="s">
        <v>1390</v>
      </c>
      <c r="D39" s="144" t="s">
        <v>233</v>
      </c>
      <c r="E39" s="144" t="s">
        <v>135</v>
      </c>
      <c r="F39" s="144" t="s">
        <v>136</v>
      </c>
      <c r="G39" s="144" t="s">
        <v>185</v>
      </c>
      <c r="H39" s="144" t="s">
        <v>1236</v>
      </c>
      <c r="I39" s="144" t="s">
        <v>135</v>
      </c>
      <c r="J39" s="144" t="s">
        <v>1391</v>
      </c>
      <c r="K39" s="144" t="s">
        <v>139</v>
      </c>
      <c r="L39" s="144"/>
    </row>
    <row r="40" ht="15.75" customHeight="1">
      <c r="A40" s="144">
        <v>26.0</v>
      </c>
      <c r="B40" s="144" t="s">
        <v>7</v>
      </c>
      <c r="C40" s="144" t="s">
        <v>1046</v>
      </c>
      <c r="D40" s="144" t="s">
        <v>243</v>
      </c>
      <c r="E40" s="144" t="s">
        <v>135</v>
      </c>
      <c r="F40" s="144" t="s">
        <v>136</v>
      </c>
      <c r="G40" s="144" t="s">
        <v>180</v>
      </c>
      <c r="H40" s="144"/>
      <c r="I40" s="144" t="s">
        <v>136</v>
      </c>
      <c r="J40" s="144" t="s">
        <v>1392</v>
      </c>
      <c r="K40" s="144" t="s">
        <v>139</v>
      </c>
      <c r="L40" s="144"/>
    </row>
    <row r="41" ht="15.75" customHeight="1">
      <c r="A41" s="144">
        <v>10.0</v>
      </c>
      <c r="B41" s="144" t="s">
        <v>7</v>
      </c>
      <c r="C41" s="144" t="s">
        <v>167</v>
      </c>
      <c r="D41" s="144" t="s">
        <v>143</v>
      </c>
      <c r="E41" s="144" t="s">
        <v>136</v>
      </c>
      <c r="F41" s="144" t="s">
        <v>136</v>
      </c>
      <c r="G41" s="144" t="s">
        <v>1393</v>
      </c>
      <c r="H41" s="144"/>
      <c r="I41" s="144" t="s">
        <v>135</v>
      </c>
      <c r="J41" s="144" t="s">
        <v>1381</v>
      </c>
      <c r="K41" s="144" t="s">
        <v>139</v>
      </c>
      <c r="L41" s="144"/>
    </row>
    <row r="42" ht="15.75" customHeight="1">
      <c r="A42" s="144">
        <v>20.0</v>
      </c>
      <c r="B42" s="144" t="s">
        <v>7</v>
      </c>
      <c r="C42" s="144" t="s">
        <v>362</v>
      </c>
      <c r="D42" s="144" t="s">
        <v>202</v>
      </c>
      <c r="E42" s="144" t="s">
        <v>135</v>
      </c>
      <c r="F42" s="144" t="s">
        <v>136</v>
      </c>
      <c r="G42" s="144" t="s">
        <v>382</v>
      </c>
      <c r="H42" s="144"/>
      <c r="I42" s="144" t="s">
        <v>135</v>
      </c>
      <c r="J42" s="144" t="s">
        <v>1394</v>
      </c>
      <c r="K42" s="144" t="s">
        <v>139</v>
      </c>
      <c r="L42" s="144"/>
    </row>
    <row r="43" ht="15.75" customHeight="1">
      <c r="A43" s="144">
        <v>24.0</v>
      </c>
      <c r="B43" s="144" t="s">
        <v>6</v>
      </c>
      <c r="C43" s="144" t="s">
        <v>1395</v>
      </c>
      <c r="D43" s="144" t="s">
        <v>233</v>
      </c>
      <c r="E43" s="144" t="s">
        <v>136</v>
      </c>
      <c r="F43" s="144" t="s">
        <v>136</v>
      </c>
      <c r="G43" s="144" t="s">
        <v>185</v>
      </c>
      <c r="H43" s="144" t="s">
        <v>1396</v>
      </c>
      <c r="I43" s="144" t="s">
        <v>135</v>
      </c>
      <c r="J43" s="144" t="s">
        <v>1397</v>
      </c>
      <c r="K43" s="144" t="s">
        <v>139</v>
      </c>
      <c r="L43" s="144"/>
    </row>
    <row r="44" ht="15.75" customHeight="1">
      <c r="A44" s="144">
        <v>22.0</v>
      </c>
      <c r="B44" s="144" t="s">
        <v>7</v>
      </c>
      <c r="C44" s="144" t="s">
        <v>1398</v>
      </c>
      <c r="D44" s="144" t="s">
        <v>213</v>
      </c>
      <c r="E44" s="144" t="s">
        <v>135</v>
      </c>
      <c r="F44" s="144" t="s">
        <v>136</v>
      </c>
      <c r="G44" s="144" t="s">
        <v>180</v>
      </c>
      <c r="H44" s="144"/>
      <c r="I44" s="144" t="s">
        <v>136</v>
      </c>
      <c r="J44" s="144" t="s">
        <v>1399</v>
      </c>
      <c r="K44" s="144" t="s">
        <v>139</v>
      </c>
      <c r="L44" s="144"/>
    </row>
    <row r="45" ht="15.75" customHeight="1">
      <c r="A45" s="144">
        <v>49.0</v>
      </c>
      <c r="B45" s="144" t="s">
        <v>6</v>
      </c>
      <c r="C45" s="144" t="s">
        <v>1400</v>
      </c>
      <c r="D45" s="144" t="s">
        <v>143</v>
      </c>
      <c r="E45" s="144" t="s">
        <v>135</v>
      </c>
      <c r="F45" s="144" t="s">
        <v>135</v>
      </c>
      <c r="G45" s="144" t="s">
        <v>1401</v>
      </c>
      <c r="H45" s="144"/>
      <c r="I45" s="144" t="s">
        <v>136</v>
      </c>
      <c r="J45" s="144" t="s">
        <v>1402</v>
      </c>
      <c r="K45" s="144" t="s">
        <v>139</v>
      </c>
      <c r="L45" s="144"/>
    </row>
    <row r="46" ht="15.75" customHeight="1">
      <c r="A46" s="144">
        <v>39.0</v>
      </c>
      <c r="B46" s="144" t="s">
        <v>7</v>
      </c>
      <c r="C46" s="144" t="s">
        <v>1403</v>
      </c>
      <c r="D46" s="144" t="s">
        <v>233</v>
      </c>
      <c r="E46" s="144" t="s">
        <v>135</v>
      </c>
      <c r="F46" s="144" t="s">
        <v>135</v>
      </c>
      <c r="G46" s="144" t="s">
        <v>671</v>
      </c>
      <c r="H46" s="144" t="s">
        <v>1404</v>
      </c>
      <c r="I46" s="144" t="s">
        <v>135</v>
      </c>
      <c r="J46" s="144" t="s">
        <v>1405</v>
      </c>
      <c r="K46" s="144" t="s">
        <v>139</v>
      </c>
      <c r="L46" s="144"/>
    </row>
    <row r="47" ht="15.75" customHeight="1">
      <c r="A47" s="144">
        <v>51.0</v>
      </c>
      <c r="B47" s="144" t="s">
        <v>7</v>
      </c>
      <c r="C47" s="144" t="s">
        <v>1406</v>
      </c>
      <c r="D47" s="144" t="s">
        <v>134</v>
      </c>
      <c r="E47" s="144" t="s">
        <v>136</v>
      </c>
      <c r="F47" s="144" t="s">
        <v>136</v>
      </c>
      <c r="G47" s="144" t="s">
        <v>401</v>
      </c>
      <c r="H47" s="144"/>
      <c r="I47" s="144" t="s">
        <v>135</v>
      </c>
      <c r="J47" s="144" t="s">
        <v>1407</v>
      </c>
      <c r="K47" s="144" t="s">
        <v>139</v>
      </c>
      <c r="L47" s="144"/>
    </row>
    <row r="48" ht="15.75" customHeight="1">
      <c r="A48" s="144">
        <v>32.0</v>
      </c>
      <c r="B48" s="144" t="s">
        <v>7</v>
      </c>
      <c r="C48" s="144" t="s">
        <v>1408</v>
      </c>
      <c r="D48" s="144" t="s">
        <v>233</v>
      </c>
      <c r="E48" s="144" t="s">
        <v>135</v>
      </c>
      <c r="F48" s="144" t="s">
        <v>136</v>
      </c>
      <c r="G48" s="144" t="s">
        <v>185</v>
      </c>
      <c r="H48" s="144" t="s">
        <v>1409</v>
      </c>
      <c r="I48" s="144" t="s">
        <v>136</v>
      </c>
      <c r="J48" s="144" t="s">
        <v>1410</v>
      </c>
      <c r="K48" s="144" t="s">
        <v>139</v>
      </c>
      <c r="L48" s="144"/>
    </row>
    <row r="49" ht="15.75" customHeight="1">
      <c r="A49" s="144">
        <v>48.0</v>
      </c>
      <c r="B49" s="144" t="s">
        <v>6</v>
      </c>
      <c r="C49" s="144" t="s">
        <v>1411</v>
      </c>
      <c r="D49" s="144" t="s">
        <v>202</v>
      </c>
      <c r="E49" s="144" t="s">
        <v>136</v>
      </c>
      <c r="F49" s="144" t="s">
        <v>136</v>
      </c>
      <c r="G49" s="144" t="s">
        <v>1412</v>
      </c>
      <c r="H49" s="144" t="s">
        <v>1413</v>
      </c>
      <c r="I49" s="144" t="s">
        <v>136</v>
      </c>
      <c r="J49" s="144" t="s">
        <v>1414</v>
      </c>
      <c r="K49" s="144" t="s">
        <v>139</v>
      </c>
      <c r="L49" s="144"/>
    </row>
    <row r="50" ht="15.75" customHeight="1">
      <c r="A50" s="144">
        <v>45.0</v>
      </c>
      <c r="B50" s="144" t="s">
        <v>8</v>
      </c>
      <c r="C50" s="144" t="s">
        <v>1415</v>
      </c>
      <c r="D50" s="144" t="s">
        <v>134</v>
      </c>
      <c r="E50" s="144" t="s">
        <v>136</v>
      </c>
      <c r="F50" s="144" t="s">
        <v>136</v>
      </c>
      <c r="G50" s="144" t="s">
        <v>1416</v>
      </c>
      <c r="H50" s="144"/>
      <c r="I50" s="144" t="s">
        <v>135</v>
      </c>
      <c r="J50" s="144" t="s">
        <v>1417</v>
      </c>
      <c r="K50" s="144" t="s">
        <v>139</v>
      </c>
      <c r="L50" s="144"/>
    </row>
    <row r="51" ht="15.75" customHeight="1">
      <c r="A51" s="144">
        <v>13.0</v>
      </c>
      <c r="B51" s="144" t="s">
        <v>8</v>
      </c>
      <c r="C51" s="144" t="s">
        <v>1243</v>
      </c>
      <c r="D51" s="144" t="s">
        <v>187</v>
      </c>
      <c r="E51" s="144" t="s">
        <v>136</v>
      </c>
      <c r="F51" s="144" t="s">
        <v>136</v>
      </c>
      <c r="G51" s="144" t="s">
        <v>174</v>
      </c>
      <c r="H51" s="144"/>
      <c r="I51" s="144" t="s">
        <v>135</v>
      </c>
      <c r="J51" s="144" t="s">
        <v>1418</v>
      </c>
      <c r="K51" s="144" t="s">
        <v>139</v>
      </c>
      <c r="L51" s="144"/>
    </row>
    <row r="52" ht="15.75" customHeight="1">
      <c r="A52" s="144">
        <v>7.0</v>
      </c>
      <c r="B52" s="144" t="s">
        <v>7</v>
      </c>
      <c r="C52" s="144" t="s">
        <v>1127</v>
      </c>
      <c r="D52" s="144" t="s">
        <v>233</v>
      </c>
      <c r="E52" s="144" t="s">
        <v>136</v>
      </c>
      <c r="F52" s="144" t="s">
        <v>136</v>
      </c>
      <c r="G52" s="144" t="s">
        <v>185</v>
      </c>
      <c r="H52" s="144"/>
      <c r="I52" s="144" t="s">
        <v>135</v>
      </c>
      <c r="J52" s="144" t="s">
        <v>1383</v>
      </c>
      <c r="K52" s="144" t="s">
        <v>139</v>
      </c>
      <c r="L52" s="144"/>
    </row>
    <row r="53" ht="15.75" customHeight="1">
      <c r="A53" s="144">
        <v>6.0</v>
      </c>
      <c r="B53" s="144" t="s">
        <v>6</v>
      </c>
      <c r="C53" s="144" t="s">
        <v>1249</v>
      </c>
      <c r="D53" s="144" t="s">
        <v>143</v>
      </c>
      <c r="E53" s="144" t="s">
        <v>135</v>
      </c>
      <c r="F53" s="144" t="s">
        <v>136</v>
      </c>
      <c r="G53" s="144" t="s">
        <v>1250</v>
      </c>
      <c r="H53" s="144"/>
      <c r="I53" s="144" t="s">
        <v>135</v>
      </c>
      <c r="J53" s="144" t="s">
        <v>1332</v>
      </c>
      <c r="K53" s="144" t="s">
        <v>139</v>
      </c>
      <c r="L53" s="144"/>
    </row>
    <row r="54" ht="15.75" customHeight="1">
      <c r="A54" s="144">
        <v>38.0</v>
      </c>
      <c r="B54" s="144" t="s">
        <v>6</v>
      </c>
      <c r="C54" s="144" t="s">
        <v>1419</v>
      </c>
      <c r="D54" s="144" t="s">
        <v>233</v>
      </c>
      <c r="E54" s="144" t="s">
        <v>135</v>
      </c>
      <c r="F54" s="144" t="s">
        <v>136</v>
      </c>
      <c r="G54" s="144" t="s">
        <v>185</v>
      </c>
      <c r="H54" s="144" t="s">
        <v>1217</v>
      </c>
      <c r="I54" s="144" t="s">
        <v>135</v>
      </c>
      <c r="J54" s="144" t="s">
        <v>1420</v>
      </c>
      <c r="K54" s="144" t="s">
        <v>139</v>
      </c>
      <c r="L54" s="144"/>
    </row>
    <row r="55" ht="15.75" customHeight="1">
      <c r="A55" s="144">
        <v>4.0</v>
      </c>
      <c r="B55" s="144" t="s">
        <v>6</v>
      </c>
      <c r="C55" s="144" t="s">
        <v>1282</v>
      </c>
      <c r="D55" s="144" t="s">
        <v>134</v>
      </c>
      <c r="E55" s="144" t="s">
        <v>136</v>
      </c>
      <c r="F55" s="144" t="s">
        <v>136</v>
      </c>
      <c r="G55" s="144" t="s">
        <v>1421</v>
      </c>
      <c r="H55" s="144"/>
      <c r="I55" s="144" t="s">
        <v>136</v>
      </c>
      <c r="J55" s="144" t="s">
        <v>1332</v>
      </c>
      <c r="K55" s="144" t="s">
        <v>139</v>
      </c>
      <c r="L55" s="144"/>
    </row>
    <row r="56" ht="15.75" customHeight="1">
      <c r="A56" s="144">
        <v>17.0</v>
      </c>
      <c r="B56" s="144" t="s">
        <v>7</v>
      </c>
      <c r="C56" s="144" t="s">
        <v>1422</v>
      </c>
      <c r="D56" s="144" t="s">
        <v>202</v>
      </c>
      <c r="E56" s="144" t="s">
        <v>136</v>
      </c>
      <c r="F56" s="144" t="s">
        <v>136</v>
      </c>
      <c r="G56" s="144" t="s">
        <v>1423</v>
      </c>
      <c r="H56" s="144" t="s">
        <v>1424</v>
      </c>
      <c r="I56" s="144" t="s">
        <v>135</v>
      </c>
      <c r="J56" s="144" t="s">
        <v>1425</v>
      </c>
      <c r="K56" s="144" t="s">
        <v>139</v>
      </c>
      <c r="L56" s="144"/>
    </row>
    <row r="57" ht="15.75" customHeight="1">
      <c r="A57" s="144">
        <v>12.0</v>
      </c>
      <c r="B57" s="144" t="s">
        <v>6</v>
      </c>
      <c r="C57" s="144" t="s">
        <v>1127</v>
      </c>
      <c r="D57" s="144" t="s">
        <v>233</v>
      </c>
      <c r="E57" s="144" t="s">
        <v>136</v>
      </c>
      <c r="F57" s="144" t="s">
        <v>136</v>
      </c>
      <c r="G57" s="144" t="s">
        <v>185</v>
      </c>
      <c r="H57" s="144"/>
      <c r="I57" s="144" t="s">
        <v>135</v>
      </c>
      <c r="J57" s="144" t="s">
        <v>1426</v>
      </c>
      <c r="K57" s="144" t="s">
        <v>139</v>
      </c>
      <c r="L57" s="144"/>
    </row>
    <row r="58" ht="15.75" customHeight="1">
      <c r="A58" s="144">
        <v>55.0</v>
      </c>
      <c r="B58" s="144" t="s">
        <v>7</v>
      </c>
      <c r="C58" s="144" t="s">
        <v>315</v>
      </c>
      <c r="D58" s="144" t="s">
        <v>164</v>
      </c>
      <c r="E58" s="144" t="s">
        <v>136</v>
      </c>
      <c r="F58" s="144" t="s">
        <v>136</v>
      </c>
      <c r="G58" s="144" t="s">
        <v>185</v>
      </c>
      <c r="H58" s="144"/>
      <c r="I58" s="144" t="s">
        <v>135</v>
      </c>
      <c r="J58" s="144" t="s">
        <v>1427</v>
      </c>
      <c r="K58" s="144" t="s">
        <v>139</v>
      </c>
      <c r="L58" s="144"/>
    </row>
    <row r="59" ht="15.75" customHeight="1">
      <c r="A59" s="144">
        <v>46.0</v>
      </c>
      <c r="B59" s="144" t="s">
        <v>7</v>
      </c>
      <c r="C59" s="144" t="s">
        <v>466</v>
      </c>
      <c r="D59" s="144" t="s">
        <v>255</v>
      </c>
      <c r="E59" s="144" t="s">
        <v>135</v>
      </c>
      <c r="F59" s="144" t="s">
        <v>136</v>
      </c>
      <c r="G59" s="144" t="s">
        <v>1108</v>
      </c>
      <c r="H59" s="144"/>
      <c r="I59" s="144" t="s">
        <v>135</v>
      </c>
      <c r="J59" s="144" t="s">
        <v>1428</v>
      </c>
      <c r="K59" s="144" t="s">
        <v>139</v>
      </c>
      <c r="L59" s="144"/>
    </row>
    <row r="60" ht="15.75" customHeight="1">
      <c r="A60" s="144">
        <v>33.0</v>
      </c>
      <c r="B60" s="144" t="s">
        <v>6</v>
      </c>
      <c r="C60" s="144" t="s">
        <v>250</v>
      </c>
      <c r="D60" s="144" t="s">
        <v>209</v>
      </c>
      <c r="E60" s="144" t="s">
        <v>135</v>
      </c>
      <c r="F60" s="144" t="s">
        <v>136</v>
      </c>
      <c r="G60" s="144" t="s">
        <v>157</v>
      </c>
      <c r="H60" s="144"/>
      <c r="I60" s="144" t="s">
        <v>135</v>
      </c>
      <c r="J60" s="144" t="s">
        <v>1429</v>
      </c>
      <c r="K60" s="144" t="s">
        <v>139</v>
      </c>
      <c r="L60" s="144"/>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7.71"/>
    <col customWidth="1" min="7" max="7" width="22.14"/>
    <col customWidth="1" min="8" max="8" width="8.71"/>
    <col customWidth="1" min="9" max="9" width="19.86"/>
    <col customWidth="1" min="10" max="26" width="8.71"/>
  </cols>
  <sheetData>
    <row r="1">
      <c r="A1" s="305" t="s">
        <v>116</v>
      </c>
      <c r="B1" s="305" t="s">
        <v>117</v>
      </c>
      <c r="C1" s="305" t="s">
        <v>118</v>
      </c>
      <c r="D1" s="305" t="s">
        <v>119</v>
      </c>
      <c r="E1" s="305" t="s">
        <v>120</v>
      </c>
      <c r="F1" s="305" t="s">
        <v>121</v>
      </c>
      <c r="G1" s="305" t="s">
        <v>4134</v>
      </c>
      <c r="H1" s="305" t="s">
        <v>4135</v>
      </c>
      <c r="I1" s="305" t="s">
        <v>4136</v>
      </c>
      <c r="J1" s="305" t="s">
        <v>125</v>
      </c>
      <c r="K1" s="305" t="s">
        <v>126</v>
      </c>
      <c r="L1" s="305" t="s">
        <v>4137</v>
      </c>
      <c r="M1" s="7" t="s">
        <v>4138</v>
      </c>
      <c r="O1" s="123" t="s">
        <v>129</v>
      </c>
      <c r="P1" s="123" t="s">
        <v>130</v>
      </c>
      <c r="Q1" s="123" t="s">
        <v>131</v>
      </c>
      <c r="T1" s="7" t="s">
        <v>117</v>
      </c>
      <c r="U1" s="7" t="s">
        <v>4139</v>
      </c>
    </row>
    <row r="2">
      <c r="A2" s="146">
        <v>10.0</v>
      </c>
      <c r="B2" s="147" t="s">
        <v>6</v>
      </c>
      <c r="C2" s="147" t="s">
        <v>1430</v>
      </c>
      <c r="D2" s="147" t="s">
        <v>263</v>
      </c>
      <c r="E2" s="147" t="s">
        <v>136</v>
      </c>
      <c r="F2" s="147" t="s">
        <v>135</v>
      </c>
      <c r="G2" s="148"/>
      <c r="H2" s="148"/>
      <c r="I2" s="147" t="s">
        <v>136</v>
      </c>
      <c r="J2" s="147" t="s">
        <v>1431</v>
      </c>
      <c r="K2" s="147" t="s">
        <v>139</v>
      </c>
      <c r="L2" s="147" t="s">
        <v>4140</v>
      </c>
      <c r="O2" s="217" t="str">
        <f t="array" ref="O2:O28">UNIQUE(D2:D220)</f>
        <v>United States</v>
      </c>
      <c r="P2" s="217">
        <f t="shared" ref="P2:P27" si="1">COUNTIF(D$2:D$220,O2)</f>
        <v>15</v>
      </c>
      <c r="Q2" s="218" t="str">
        <f t="array" ref="Q2">XLOOKUP(O2,Countries!A$2:A$98,Countries!B$2:B$98,"tbd",0)</f>
        <v>U.S. + Canada</v>
      </c>
      <c r="R2" s="217"/>
      <c r="T2" s="306" t="str">
        <f t="array" ref="T2:T4">UNIQUE(B2:B220)</f>
        <v>Male</v>
      </c>
      <c r="U2" s="134">
        <f t="shared" ref="U2:U3" si="2">COUNTIF(B$2:B$220,T2)</f>
        <v>73</v>
      </c>
    </row>
    <row r="3">
      <c r="A3" s="146">
        <v>14.0</v>
      </c>
      <c r="B3" s="147" t="s">
        <v>7</v>
      </c>
      <c r="C3" s="147" t="s">
        <v>1432</v>
      </c>
      <c r="D3" s="147" t="s">
        <v>143</v>
      </c>
      <c r="E3" s="147" t="s">
        <v>136</v>
      </c>
      <c r="F3" s="147" t="s">
        <v>136</v>
      </c>
      <c r="G3" s="148"/>
      <c r="H3" s="148"/>
      <c r="I3" s="147" t="s">
        <v>136</v>
      </c>
      <c r="J3" s="147" t="s">
        <v>1433</v>
      </c>
      <c r="K3" s="147" t="s">
        <v>139</v>
      </c>
      <c r="L3" s="147" t="s">
        <v>4140</v>
      </c>
      <c r="O3" s="7" t="s">
        <v>143</v>
      </c>
      <c r="P3" s="7">
        <f t="shared" si="1"/>
        <v>16</v>
      </c>
      <c r="Q3" s="11" t="str">
        <f t="array" ref="Q3">XLOOKUP(O3,Countries!A$2:A$98,Countries!B$2:B$98,"tbd",0)</f>
        <v>Europe</v>
      </c>
      <c r="T3" s="7" t="s">
        <v>7</v>
      </c>
      <c r="U3" s="134">
        <f t="shared" si="2"/>
        <v>53</v>
      </c>
    </row>
    <row r="4">
      <c r="A4" s="146">
        <v>34.0</v>
      </c>
      <c r="B4" s="147" t="s">
        <v>7</v>
      </c>
      <c r="C4" s="147" t="s">
        <v>1434</v>
      </c>
      <c r="D4" s="147" t="s">
        <v>263</v>
      </c>
      <c r="E4" s="147" t="s">
        <v>136</v>
      </c>
      <c r="F4" s="147" t="s">
        <v>136</v>
      </c>
      <c r="G4" s="148"/>
      <c r="H4" s="148"/>
      <c r="I4" s="147" t="s">
        <v>136</v>
      </c>
      <c r="J4" s="147" t="s">
        <v>1435</v>
      </c>
      <c r="K4" s="147" t="s">
        <v>139</v>
      </c>
      <c r="L4" s="147" t="s">
        <v>4140</v>
      </c>
      <c r="O4" s="7" t="s">
        <v>153</v>
      </c>
      <c r="P4" s="7">
        <f t="shared" si="1"/>
        <v>2</v>
      </c>
      <c r="Q4" s="11" t="str">
        <f t="array" ref="Q4">XLOOKUP(O4,Countries!A$2:A$98,Countries!B$2:B$98,"tbd",0)</f>
        <v>associated countries</v>
      </c>
      <c r="T4" s="7"/>
      <c r="U4" s="134"/>
    </row>
    <row r="5">
      <c r="A5" s="146">
        <v>25.0</v>
      </c>
      <c r="B5" s="147" t="s">
        <v>7</v>
      </c>
      <c r="C5" s="147" t="s">
        <v>1436</v>
      </c>
      <c r="D5" s="147" t="s">
        <v>153</v>
      </c>
      <c r="E5" s="147" t="s">
        <v>136</v>
      </c>
      <c r="F5" s="147" t="s">
        <v>136</v>
      </c>
      <c r="G5" s="148"/>
      <c r="H5" s="148"/>
      <c r="I5" s="147" t="s">
        <v>136</v>
      </c>
      <c r="J5" s="147" t="s">
        <v>1437</v>
      </c>
      <c r="K5" s="147" t="s">
        <v>139</v>
      </c>
      <c r="L5" s="147" t="s">
        <v>4140</v>
      </c>
      <c r="O5" s="7" t="s">
        <v>134</v>
      </c>
      <c r="P5" s="7">
        <f t="shared" si="1"/>
        <v>11</v>
      </c>
      <c r="Q5" s="11" t="str">
        <f t="array" ref="Q5">XLOOKUP(O5,Countries!A$2:A$98,Countries!B$2:B$98,"tbd",0)</f>
        <v>Europe</v>
      </c>
      <c r="U5" s="134"/>
    </row>
    <row r="6">
      <c r="A6" s="146">
        <v>18.0</v>
      </c>
      <c r="B6" s="147" t="s">
        <v>6</v>
      </c>
      <c r="C6" s="147" t="s">
        <v>1438</v>
      </c>
      <c r="D6" s="147" t="s">
        <v>134</v>
      </c>
      <c r="E6" s="147" t="s">
        <v>136</v>
      </c>
      <c r="F6" s="147" t="s">
        <v>136</v>
      </c>
      <c r="G6" s="148"/>
      <c r="H6" s="148"/>
      <c r="I6" s="147" t="s">
        <v>136</v>
      </c>
      <c r="J6" s="147" t="s">
        <v>1439</v>
      </c>
      <c r="K6" s="147" t="s">
        <v>139</v>
      </c>
      <c r="L6" s="147" t="s">
        <v>4140</v>
      </c>
      <c r="O6" s="7" t="s">
        <v>187</v>
      </c>
      <c r="P6" s="7">
        <f t="shared" si="1"/>
        <v>6</v>
      </c>
      <c r="Q6" s="11" t="str">
        <f t="array" ref="Q6">XLOOKUP(O6,Countries!A$2:A$98,Countries!B$2:B$98,"tbd",0)</f>
        <v>Europe</v>
      </c>
      <c r="U6" s="134"/>
    </row>
    <row r="7">
      <c r="A7" s="146">
        <v>12.0</v>
      </c>
      <c r="B7" s="147" t="s">
        <v>6</v>
      </c>
      <c r="C7" s="147" t="s">
        <v>1440</v>
      </c>
      <c r="D7" s="147" t="s">
        <v>187</v>
      </c>
      <c r="E7" s="147" t="s">
        <v>136</v>
      </c>
      <c r="F7" s="147" t="s">
        <v>136</v>
      </c>
      <c r="G7" s="148"/>
      <c r="H7" s="148"/>
      <c r="I7" s="147" t="s">
        <v>135</v>
      </c>
      <c r="J7" s="147" t="s">
        <v>1441</v>
      </c>
      <c r="K7" s="147" t="s">
        <v>139</v>
      </c>
      <c r="L7" s="147" t="s">
        <v>4140</v>
      </c>
      <c r="O7" s="217" t="s">
        <v>255</v>
      </c>
      <c r="P7" s="217">
        <f t="shared" si="1"/>
        <v>3</v>
      </c>
      <c r="Q7" s="218" t="str">
        <f t="array" ref="Q7">XLOOKUP(O7,Countries!A$2:A$98,Countries!B$2:B$98,"tbd",0)</f>
        <v>Asia</v>
      </c>
      <c r="U7" s="134"/>
    </row>
    <row r="8">
      <c r="A8" s="146">
        <v>24.0</v>
      </c>
      <c r="B8" s="147" t="s">
        <v>6</v>
      </c>
      <c r="C8" s="147" t="s">
        <v>1442</v>
      </c>
      <c r="D8" s="147" t="s">
        <v>255</v>
      </c>
      <c r="E8" s="147" t="s">
        <v>136</v>
      </c>
      <c r="F8" s="147" t="s">
        <v>136</v>
      </c>
      <c r="G8" s="148"/>
      <c r="H8" s="148"/>
      <c r="I8" s="147" t="s">
        <v>136</v>
      </c>
      <c r="J8" s="147" t="s">
        <v>1443</v>
      </c>
      <c r="K8" s="147" t="s">
        <v>139</v>
      </c>
      <c r="L8" s="147" t="s">
        <v>4140</v>
      </c>
      <c r="O8" s="7" t="s">
        <v>164</v>
      </c>
      <c r="P8" s="7">
        <f t="shared" si="1"/>
        <v>32</v>
      </c>
      <c r="Q8" s="11" t="str">
        <f t="array" ref="Q8">XLOOKUP(O8,Countries!A$2:A$98,Countries!B$2:B$98,"tbd",0)</f>
        <v>Europe</v>
      </c>
      <c r="U8" s="134"/>
    </row>
    <row r="9">
      <c r="A9" s="146">
        <v>17.0</v>
      </c>
      <c r="B9" s="147" t="s">
        <v>7</v>
      </c>
      <c r="C9" s="147" t="s">
        <v>1444</v>
      </c>
      <c r="D9" s="147" t="s">
        <v>164</v>
      </c>
      <c r="E9" s="147" t="s">
        <v>136</v>
      </c>
      <c r="F9" s="147" t="s">
        <v>136</v>
      </c>
      <c r="G9" s="148"/>
      <c r="H9" s="148"/>
      <c r="I9" s="147" t="s">
        <v>135</v>
      </c>
      <c r="J9" s="147" t="s">
        <v>1445</v>
      </c>
      <c r="K9" s="147" t="s">
        <v>139</v>
      </c>
      <c r="L9" s="147" t="s">
        <v>4140</v>
      </c>
      <c r="O9" s="7" t="s">
        <v>202</v>
      </c>
      <c r="P9" s="7">
        <f t="shared" si="1"/>
        <v>6</v>
      </c>
      <c r="Q9" s="11" t="str">
        <f t="array" ref="Q9">XLOOKUP(O9,Countries!A$2:A$98,Countries!B$2:B$98,"tbd",0)</f>
        <v>Europe</v>
      </c>
    </row>
    <row r="10">
      <c r="A10" s="146">
        <v>6.0</v>
      </c>
      <c r="B10" s="147" t="s">
        <v>6</v>
      </c>
      <c r="C10" s="147" t="s">
        <v>1446</v>
      </c>
      <c r="D10" s="147" t="s">
        <v>187</v>
      </c>
      <c r="E10" s="147" t="s">
        <v>136</v>
      </c>
      <c r="F10" s="147" t="s">
        <v>136</v>
      </c>
      <c r="G10" s="148"/>
      <c r="H10" s="148"/>
      <c r="I10" s="147" t="s">
        <v>135</v>
      </c>
      <c r="J10" s="147" t="s">
        <v>1447</v>
      </c>
      <c r="K10" s="147" t="s">
        <v>139</v>
      </c>
      <c r="L10" s="147" t="s">
        <v>4140</v>
      </c>
      <c r="O10" s="7" t="s">
        <v>209</v>
      </c>
      <c r="P10" s="7">
        <f t="shared" si="1"/>
        <v>4</v>
      </c>
      <c r="Q10" s="11" t="str">
        <f t="array" ref="Q10">XLOOKUP(O10,Countries!A$2:A$98,Countries!B$2:B$98,"tbd",0)</f>
        <v>associated countries</v>
      </c>
    </row>
    <row r="11">
      <c r="A11" s="146">
        <v>33.0</v>
      </c>
      <c r="B11" s="147" t="s">
        <v>6</v>
      </c>
      <c r="C11" s="147" t="s">
        <v>1448</v>
      </c>
      <c r="D11" s="147" t="s">
        <v>202</v>
      </c>
      <c r="E11" s="147" t="s">
        <v>136</v>
      </c>
      <c r="F11" s="147" t="s">
        <v>136</v>
      </c>
      <c r="G11" s="148"/>
      <c r="H11" s="148"/>
      <c r="I11" s="147" t="s">
        <v>136</v>
      </c>
      <c r="J11" s="147" t="s">
        <v>1449</v>
      </c>
      <c r="K11" s="147" t="s">
        <v>139</v>
      </c>
      <c r="L11" s="147" t="s">
        <v>4140</v>
      </c>
      <c r="O11" s="217" t="s">
        <v>203</v>
      </c>
      <c r="P11" s="217">
        <f t="shared" si="1"/>
        <v>7</v>
      </c>
      <c r="Q11" s="218" t="str">
        <f t="array" ref="Q11">XLOOKUP(O11,Countries!A$2:A$98,Countries!B$2:B$98,"tbd",0)</f>
        <v>Asia</v>
      </c>
    </row>
    <row r="12">
      <c r="A12" s="146">
        <v>30.0</v>
      </c>
      <c r="B12" s="147" t="s">
        <v>7</v>
      </c>
      <c r="C12" s="147" t="s">
        <v>1450</v>
      </c>
      <c r="D12" s="147" t="s">
        <v>263</v>
      </c>
      <c r="E12" s="147" t="s">
        <v>136</v>
      </c>
      <c r="F12" s="147" t="s">
        <v>136</v>
      </c>
      <c r="G12" s="148"/>
      <c r="H12" s="148"/>
      <c r="I12" s="147" t="s">
        <v>135</v>
      </c>
      <c r="J12" s="147" t="s">
        <v>1451</v>
      </c>
      <c r="K12" s="147" t="s">
        <v>139</v>
      </c>
      <c r="L12" s="147" t="s">
        <v>4140</v>
      </c>
      <c r="O12" s="217" t="s">
        <v>249</v>
      </c>
      <c r="P12" s="217">
        <f t="shared" si="1"/>
        <v>1</v>
      </c>
      <c r="Q12" s="218" t="str">
        <f t="array" ref="Q12">XLOOKUP(O12,Countries!A$2:A$98,Countries!B$2:B$98,"tbd",0)</f>
        <v>Asia</v>
      </c>
    </row>
    <row r="13">
      <c r="A13" s="146">
        <v>20.0</v>
      </c>
      <c r="B13" s="147" t="s">
        <v>6</v>
      </c>
      <c r="C13" s="147" t="s">
        <v>1452</v>
      </c>
      <c r="D13" s="147" t="s">
        <v>209</v>
      </c>
      <c r="E13" s="147" t="s">
        <v>136</v>
      </c>
      <c r="F13" s="147" t="s">
        <v>136</v>
      </c>
      <c r="G13" s="148"/>
      <c r="H13" s="148"/>
      <c r="I13" s="147" t="s">
        <v>136</v>
      </c>
      <c r="J13" s="147" t="s">
        <v>1453</v>
      </c>
      <c r="K13" s="147" t="s">
        <v>139</v>
      </c>
      <c r="L13" s="147" t="s">
        <v>4140</v>
      </c>
      <c r="O13" s="217" t="s">
        <v>358</v>
      </c>
      <c r="P13" s="217">
        <f t="shared" si="1"/>
        <v>5</v>
      </c>
      <c r="Q13" s="218" t="str">
        <f t="array" ref="Q13">XLOOKUP(O13,Countries!A$2:A$98,Countries!B$2:B$98,"tbd",0)</f>
        <v>Middle East</v>
      </c>
    </row>
    <row r="14">
      <c r="A14" s="146">
        <v>23.0</v>
      </c>
      <c r="B14" s="147" t="s">
        <v>6</v>
      </c>
      <c r="C14" s="147" t="s">
        <v>1454</v>
      </c>
      <c r="D14" s="147" t="s">
        <v>255</v>
      </c>
      <c r="E14" s="147" t="s">
        <v>136</v>
      </c>
      <c r="F14" s="147" t="s">
        <v>136</v>
      </c>
      <c r="G14" s="148"/>
      <c r="H14" s="148"/>
      <c r="I14" s="147" t="s">
        <v>136</v>
      </c>
      <c r="J14" s="147" t="s">
        <v>1455</v>
      </c>
      <c r="K14" s="147" t="s">
        <v>139</v>
      </c>
      <c r="L14" s="147" t="s">
        <v>4140</v>
      </c>
      <c r="O14" s="217" t="s">
        <v>219</v>
      </c>
      <c r="P14" s="217">
        <f t="shared" si="1"/>
        <v>1</v>
      </c>
      <c r="Q14" s="218" t="str">
        <f t="array" ref="Q14">XLOOKUP(O14,Countries!A$2:A$98,Countries!B$2:B$98,"tbd",0)</f>
        <v>Asia</v>
      </c>
    </row>
    <row r="15">
      <c r="A15" s="146">
        <v>22.0</v>
      </c>
      <c r="B15" s="147" t="s">
        <v>6</v>
      </c>
      <c r="C15" s="147" t="s">
        <v>1456</v>
      </c>
      <c r="D15" s="147" t="s">
        <v>203</v>
      </c>
      <c r="E15" s="147" t="s">
        <v>135</v>
      </c>
      <c r="F15" s="147" t="s">
        <v>136</v>
      </c>
      <c r="G15" s="148"/>
      <c r="H15" s="148"/>
      <c r="I15" s="147" t="s">
        <v>136</v>
      </c>
      <c r="J15" s="147" t="s">
        <v>1457</v>
      </c>
      <c r="K15" s="147" t="s">
        <v>139</v>
      </c>
      <c r="L15" s="147" t="s">
        <v>4140</v>
      </c>
      <c r="O15" s="54" t="s">
        <v>383</v>
      </c>
      <c r="P15" s="54">
        <f t="shared" si="1"/>
        <v>3</v>
      </c>
      <c r="Q15" s="142" t="str">
        <f t="array" ref="Q15">XLOOKUP(O15,Countries!A$2:A$98,Countries!B$2:B$98,"tbd",0)</f>
        <v>widening countries</v>
      </c>
    </row>
    <row r="16">
      <c r="A16" s="146">
        <v>15.0</v>
      </c>
      <c r="B16" s="147" t="s">
        <v>6</v>
      </c>
      <c r="C16" s="147" t="s">
        <v>1458</v>
      </c>
      <c r="D16" s="147" t="s">
        <v>249</v>
      </c>
      <c r="E16" s="147" t="s">
        <v>136</v>
      </c>
      <c r="F16" s="147" t="s">
        <v>136</v>
      </c>
      <c r="G16" s="148"/>
      <c r="H16" s="148"/>
      <c r="I16" s="147" t="s">
        <v>136</v>
      </c>
      <c r="J16" s="147" t="s">
        <v>1459</v>
      </c>
      <c r="K16" s="147" t="s">
        <v>139</v>
      </c>
      <c r="L16" s="147" t="s">
        <v>4140</v>
      </c>
      <c r="O16" s="7" t="s">
        <v>193</v>
      </c>
      <c r="P16" s="7">
        <f t="shared" si="1"/>
        <v>1</v>
      </c>
      <c r="Q16" s="11" t="str">
        <f t="array" ref="Q16">XLOOKUP(O16,Countries!A$2:A$98,Countries!B$2:B$98,"tbd",0)</f>
        <v>associated countries</v>
      </c>
    </row>
    <row r="17">
      <c r="A17" s="146">
        <v>5.0</v>
      </c>
      <c r="B17" s="147" t="s">
        <v>7</v>
      </c>
      <c r="C17" s="147" t="s">
        <v>1460</v>
      </c>
      <c r="D17" s="147" t="s">
        <v>164</v>
      </c>
      <c r="E17" s="147" t="s">
        <v>135</v>
      </c>
      <c r="F17" s="147" t="s">
        <v>136</v>
      </c>
      <c r="G17" s="148"/>
      <c r="H17" s="148"/>
      <c r="I17" s="147" t="s">
        <v>135</v>
      </c>
      <c r="J17" s="147" t="s">
        <v>1461</v>
      </c>
      <c r="K17" s="147" t="s">
        <v>139</v>
      </c>
      <c r="L17" s="147" t="s">
        <v>4140</v>
      </c>
      <c r="O17" s="217" t="s">
        <v>165</v>
      </c>
      <c r="P17" s="217">
        <f t="shared" si="1"/>
        <v>1</v>
      </c>
      <c r="Q17" s="218" t="str">
        <f t="array" ref="Q17">XLOOKUP(O17,Countries!A$2:A$98,Countries!B$2:B$98,"tbd",0)</f>
        <v>Africa</v>
      </c>
    </row>
    <row r="18">
      <c r="A18" s="146">
        <v>35.0</v>
      </c>
      <c r="B18" s="147" t="s">
        <v>6</v>
      </c>
      <c r="C18" s="147" t="s">
        <v>1434</v>
      </c>
      <c r="D18" s="147" t="s">
        <v>263</v>
      </c>
      <c r="E18" s="147" t="s">
        <v>135</v>
      </c>
      <c r="F18" s="147" t="s">
        <v>136</v>
      </c>
      <c r="G18" s="148"/>
      <c r="H18" s="148"/>
      <c r="I18" s="147" t="s">
        <v>136</v>
      </c>
      <c r="J18" s="147" t="s">
        <v>1462</v>
      </c>
      <c r="K18" s="147" t="s">
        <v>139</v>
      </c>
      <c r="L18" s="147" t="s">
        <v>4140</v>
      </c>
      <c r="O18" s="217" t="s">
        <v>259</v>
      </c>
      <c r="P18" s="217">
        <f t="shared" si="1"/>
        <v>2</v>
      </c>
      <c r="Q18" s="218" t="str">
        <f t="array" ref="Q18">XLOOKUP(O18,Countries!A$2:A$98,Countries!B$2:B$98,"tbd",0)</f>
        <v>Asia</v>
      </c>
    </row>
    <row r="19">
      <c r="A19" s="146">
        <v>32.0</v>
      </c>
      <c r="B19" s="147" t="s">
        <v>7</v>
      </c>
      <c r="C19" s="147" t="s">
        <v>1463</v>
      </c>
      <c r="D19" s="147" t="s">
        <v>263</v>
      </c>
      <c r="E19" s="147" t="s">
        <v>135</v>
      </c>
      <c r="F19" s="147" t="s">
        <v>136</v>
      </c>
      <c r="G19" s="148"/>
      <c r="H19" s="148"/>
      <c r="I19" s="147" t="s">
        <v>136</v>
      </c>
      <c r="J19" s="147" t="s">
        <v>1464</v>
      </c>
      <c r="K19" s="147" t="s">
        <v>139</v>
      </c>
      <c r="L19" s="147" t="s">
        <v>4140</v>
      </c>
      <c r="O19" s="217" t="s">
        <v>390</v>
      </c>
      <c r="P19" s="217">
        <f t="shared" si="1"/>
        <v>1</v>
      </c>
      <c r="Q19" s="218" t="str">
        <f t="array" ref="Q19">XLOOKUP(O19,Countries!A$2:A$98,Countries!B$2:B$98,"tbd",0)</f>
        <v>Middle/South America</v>
      </c>
    </row>
    <row r="20">
      <c r="A20" s="146">
        <v>28.0</v>
      </c>
      <c r="B20" s="147" t="s">
        <v>6</v>
      </c>
      <c r="C20" s="147" t="s">
        <v>1465</v>
      </c>
      <c r="D20" s="147" t="s">
        <v>358</v>
      </c>
      <c r="E20" s="147" t="s">
        <v>136</v>
      </c>
      <c r="F20" s="147" t="s">
        <v>136</v>
      </c>
      <c r="G20" s="148"/>
      <c r="H20" s="148"/>
      <c r="I20" s="147" t="s">
        <v>136</v>
      </c>
      <c r="J20" s="147" t="s">
        <v>1466</v>
      </c>
      <c r="K20" s="147" t="s">
        <v>139</v>
      </c>
      <c r="L20" s="147" t="s">
        <v>4140</v>
      </c>
      <c r="O20" s="217" t="s">
        <v>4141</v>
      </c>
      <c r="P20" s="217">
        <f t="shared" si="1"/>
        <v>1</v>
      </c>
      <c r="Q20" s="218" t="str">
        <f t="array" ref="Q20">XLOOKUP(O20,Countries!A$2:A$98,Countries!B$2:B$98,"tbd",0)</f>
        <v>Africa</v>
      </c>
    </row>
    <row r="21" ht="15.75" customHeight="1">
      <c r="A21" s="146">
        <v>11.0</v>
      </c>
      <c r="B21" s="147" t="s">
        <v>7</v>
      </c>
      <c r="C21" s="147" t="s">
        <v>1467</v>
      </c>
      <c r="D21" s="147" t="s">
        <v>219</v>
      </c>
      <c r="E21" s="147" t="s">
        <v>136</v>
      </c>
      <c r="F21" s="147" t="s">
        <v>136</v>
      </c>
      <c r="G21" s="148"/>
      <c r="H21" s="148"/>
      <c r="I21" s="147" t="s">
        <v>136</v>
      </c>
      <c r="J21" s="147" t="s">
        <v>1468</v>
      </c>
      <c r="K21" s="147" t="s">
        <v>139</v>
      </c>
      <c r="L21" s="147" t="s">
        <v>4140</v>
      </c>
      <c r="O21" s="7" t="s">
        <v>159</v>
      </c>
      <c r="P21" s="7">
        <f t="shared" si="1"/>
        <v>1</v>
      </c>
      <c r="Q21" s="11" t="str">
        <f t="array" ref="Q21">XLOOKUP(O21,Countries!A$2:A$98,Countries!B$2:B$98,"tbd",0)</f>
        <v>associated countries</v>
      </c>
    </row>
    <row r="22" ht="15.75" customHeight="1">
      <c r="A22" s="146">
        <v>31.0</v>
      </c>
      <c r="B22" s="147" t="s">
        <v>7</v>
      </c>
      <c r="C22" s="147" t="s">
        <v>469</v>
      </c>
      <c r="D22" s="147" t="s">
        <v>202</v>
      </c>
      <c r="E22" s="147" t="s">
        <v>136</v>
      </c>
      <c r="F22" s="147" t="s">
        <v>136</v>
      </c>
      <c r="G22" s="148"/>
      <c r="H22" s="148"/>
      <c r="I22" s="147" t="s">
        <v>136</v>
      </c>
      <c r="J22" s="147" t="s">
        <v>1469</v>
      </c>
      <c r="K22" s="147" t="s">
        <v>139</v>
      </c>
      <c r="L22" s="147" t="s">
        <v>4140</v>
      </c>
      <c r="O22" s="54" t="s">
        <v>213</v>
      </c>
      <c r="P22" s="54">
        <f t="shared" si="1"/>
        <v>1</v>
      </c>
      <c r="Q22" s="142" t="str">
        <f t="array" ref="Q22">XLOOKUP(O22,Countries!A$2:A$98,Countries!B$2:B$98,"tbd",0)</f>
        <v>widening countries</v>
      </c>
    </row>
    <row r="23" ht="15.75" customHeight="1">
      <c r="A23" s="146">
        <v>27.0</v>
      </c>
      <c r="B23" s="147" t="s">
        <v>6</v>
      </c>
      <c r="C23" s="147" t="s">
        <v>1470</v>
      </c>
      <c r="D23" s="147" t="s">
        <v>143</v>
      </c>
      <c r="E23" s="147" t="s">
        <v>136</v>
      </c>
      <c r="F23" s="147" t="s">
        <v>136</v>
      </c>
      <c r="G23" s="148"/>
      <c r="H23" s="148"/>
      <c r="I23" s="147" t="s">
        <v>136</v>
      </c>
      <c r="J23" s="147" t="s">
        <v>1471</v>
      </c>
      <c r="K23" s="147" t="s">
        <v>139</v>
      </c>
      <c r="L23" s="147" t="s">
        <v>4140</v>
      </c>
      <c r="O23" s="217" t="s">
        <v>296</v>
      </c>
      <c r="P23" s="217">
        <f t="shared" si="1"/>
        <v>2</v>
      </c>
      <c r="Q23" s="218" t="str">
        <f t="array" ref="Q23">XLOOKUP(O23,Countries!A$2:A$98,Countries!B$2:B$98,"tbd",0)</f>
        <v>Middle East</v>
      </c>
    </row>
    <row r="24" ht="15.75" customHeight="1">
      <c r="A24" s="146">
        <v>7.0</v>
      </c>
      <c r="B24" s="147" t="s">
        <v>6</v>
      </c>
      <c r="C24" s="147" t="s">
        <v>1460</v>
      </c>
      <c r="D24" s="147" t="s">
        <v>164</v>
      </c>
      <c r="E24" s="147" t="s">
        <v>136</v>
      </c>
      <c r="F24" s="147" t="s">
        <v>136</v>
      </c>
      <c r="G24" s="148"/>
      <c r="H24" s="148"/>
      <c r="I24" s="147" t="s">
        <v>135</v>
      </c>
      <c r="J24" s="147" t="s">
        <v>1472</v>
      </c>
      <c r="K24" s="147" t="s">
        <v>139</v>
      </c>
      <c r="L24" s="147" t="s">
        <v>4140</v>
      </c>
      <c r="O24" s="217" t="s">
        <v>166</v>
      </c>
      <c r="P24" s="217">
        <f t="shared" si="1"/>
        <v>1</v>
      </c>
      <c r="Q24" s="218" t="str">
        <f t="array" ref="Q24">XLOOKUP(O24,Countries!A$2:A$98,Countries!B$2:B$98,"tbd",0)</f>
        <v>Oceania</v>
      </c>
    </row>
    <row r="25" ht="15.75" customHeight="1">
      <c r="A25" s="146">
        <v>9.0</v>
      </c>
      <c r="B25" s="147" t="s">
        <v>6</v>
      </c>
      <c r="C25" s="147" t="s">
        <v>1473</v>
      </c>
      <c r="D25" s="147" t="s">
        <v>263</v>
      </c>
      <c r="E25" s="147" t="s">
        <v>136</v>
      </c>
      <c r="F25" s="147" t="s">
        <v>136</v>
      </c>
      <c r="G25" s="148"/>
      <c r="H25" s="148"/>
      <c r="I25" s="147" t="s">
        <v>136</v>
      </c>
      <c r="J25" s="147" t="s">
        <v>1474</v>
      </c>
      <c r="K25" s="147" t="s">
        <v>139</v>
      </c>
      <c r="L25" s="147" t="s">
        <v>4140</v>
      </c>
      <c r="O25" s="7" t="s">
        <v>218</v>
      </c>
      <c r="P25" s="7">
        <f t="shared" si="1"/>
        <v>1</v>
      </c>
      <c r="Q25" s="11" t="str">
        <f t="array" ref="Q25">XLOOKUP(O25,Countries!A$2:A$98,Countries!B$2:B$98,"tbd",0)</f>
        <v>associated countries</v>
      </c>
    </row>
    <row r="26" ht="15.75" customHeight="1">
      <c r="A26" s="146">
        <v>13.0</v>
      </c>
      <c r="B26" s="147" t="s">
        <v>7</v>
      </c>
      <c r="C26" s="147" t="s">
        <v>184</v>
      </c>
      <c r="D26" s="147" t="s">
        <v>143</v>
      </c>
      <c r="E26" s="147" t="s">
        <v>136</v>
      </c>
      <c r="F26" s="147" t="s">
        <v>136</v>
      </c>
      <c r="G26" s="148"/>
      <c r="H26" s="148"/>
      <c r="I26" s="147" t="s">
        <v>136</v>
      </c>
      <c r="J26" s="147" t="s">
        <v>1475</v>
      </c>
      <c r="K26" s="147" t="s">
        <v>139</v>
      </c>
      <c r="L26" s="147" t="s">
        <v>4140</v>
      </c>
      <c r="O26" s="217" t="s">
        <v>369</v>
      </c>
      <c r="P26" s="217">
        <f t="shared" si="1"/>
        <v>1</v>
      </c>
      <c r="Q26" s="218" t="str">
        <f t="array" ref="Q26">XLOOKUP(O26,Countries!A$2:A$98,Countries!B$2:B$98,"tbd",0)</f>
        <v>Middle/South America</v>
      </c>
    </row>
    <row r="27" ht="15.75" customHeight="1">
      <c r="A27" s="146">
        <v>26.0</v>
      </c>
      <c r="B27" s="147" t="s">
        <v>7</v>
      </c>
      <c r="C27" s="147" t="s">
        <v>1470</v>
      </c>
      <c r="D27" s="147" t="s">
        <v>143</v>
      </c>
      <c r="E27" s="147" t="s">
        <v>136</v>
      </c>
      <c r="F27" s="147" t="s">
        <v>136</v>
      </c>
      <c r="G27" s="148"/>
      <c r="H27" s="148"/>
      <c r="I27" s="147" t="s">
        <v>136</v>
      </c>
      <c r="J27" s="147" t="s">
        <v>1476</v>
      </c>
      <c r="K27" s="147" t="s">
        <v>139</v>
      </c>
      <c r="L27" s="147" t="s">
        <v>4140</v>
      </c>
      <c r="O27" s="217" t="s">
        <v>214</v>
      </c>
      <c r="P27" s="217">
        <f t="shared" si="1"/>
        <v>1</v>
      </c>
      <c r="Q27" s="218" t="str">
        <f t="array" ref="Q27">XLOOKUP(O27,Countries!A$2:A$98,Countries!B$2:B$98,"tbd",0)</f>
        <v>Asia</v>
      </c>
    </row>
    <row r="28" ht="15.75" customHeight="1">
      <c r="A28" s="146">
        <v>16.0</v>
      </c>
      <c r="B28" s="147" t="s">
        <v>6</v>
      </c>
      <c r="C28" s="147" t="s">
        <v>1477</v>
      </c>
      <c r="D28" s="147" t="s">
        <v>187</v>
      </c>
      <c r="E28" s="147" t="s">
        <v>136</v>
      </c>
      <c r="F28" s="147" t="s">
        <v>135</v>
      </c>
      <c r="G28" s="148"/>
      <c r="H28" s="148"/>
      <c r="I28" s="147" t="s">
        <v>136</v>
      </c>
      <c r="J28" s="147" t="s">
        <v>1478</v>
      </c>
      <c r="K28" s="147" t="s">
        <v>139</v>
      </c>
      <c r="L28" s="147" t="s">
        <v>4140</v>
      </c>
      <c r="O28" s="7"/>
      <c r="Q28" s="11"/>
    </row>
    <row r="29" ht="15.75" customHeight="1">
      <c r="A29" s="146">
        <v>29.0</v>
      </c>
      <c r="B29" s="147" t="s">
        <v>6</v>
      </c>
      <c r="C29" s="147" t="s">
        <v>1479</v>
      </c>
      <c r="D29" s="147" t="s">
        <v>164</v>
      </c>
      <c r="E29" s="147" t="s">
        <v>136</v>
      </c>
      <c r="F29" s="147" t="s">
        <v>135</v>
      </c>
      <c r="G29" s="148"/>
      <c r="H29" s="148"/>
      <c r="I29" s="147" t="s">
        <v>136</v>
      </c>
      <c r="J29" s="147" t="s">
        <v>1480</v>
      </c>
      <c r="K29" s="147" t="s">
        <v>139</v>
      </c>
      <c r="L29" s="147" t="s">
        <v>4140</v>
      </c>
      <c r="Q29" s="11"/>
    </row>
    <row r="30" ht="15.75" customHeight="1">
      <c r="A30" s="146">
        <v>19.0</v>
      </c>
      <c r="B30" s="147" t="s">
        <v>7</v>
      </c>
      <c r="C30" s="147" t="s">
        <v>1481</v>
      </c>
      <c r="D30" s="147" t="s">
        <v>383</v>
      </c>
      <c r="E30" s="147" t="s">
        <v>135</v>
      </c>
      <c r="F30" s="147" t="s">
        <v>136</v>
      </c>
      <c r="G30" s="148"/>
      <c r="H30" s="148"/>
      <c r="I30" s="147" t="s">
        <v>136</v>
      </c>
      <c r="J30" s="147" t="s">
        <v>1482</v>
      </c>
      <c r="K30" s="147" t="s">
        <v>139</v>
      </c>
      <c r="L30" s="147" t="s">
        <v>4140</v>
      </c>
      <c r="P30" s="307">
        <v>4.0</v>
      </c>
      <c r="Q30" s="290" t="s">
        <v>451</v>
      </c>
    </row>
    <row r="31" ht="15.75" customHeight="1">
      <c r="A31" s="146">
        <v>8.0</v>
      </c>
      <c r="B31" s="147" t="s">
        <v>6</v>
      </c>
      <c r="C31" s="147" t="s">
        <v>1460</v>
      </c>
      <c r="D31" s="147" t="s">
        <v>164</v>
      </c>
      <c r="E31" s="147" t="s">
        <v>136</v>
      </c>
      <c r="F31" s="147" t="s">
        <v>136</v>
      </c>
      <c r="G31" s="148"/>
      <c r="H31" s="148"/>
      <c r="I31" s="147" t="s">
        <v>135</v>
      </c>
      <c r="J31" s="147" t="s">
        <v>1483</v>
      </c>
      <c r="K31" s="147" t="s">
        <v>139</v>
      </c>
      <c r="L31" s="147" t="s">
        <v>4140</v>
      </c>
      <c r="P31" s="308">
        <v>42.0</v>
      </c>
      <c r="Q31" s="309" t="s">
        <v>22</v>
      </c>
    </row>
    <row r="32" ht="15.75" customHeight="1">
      <c r="A32" s="146">
        <v>4.0</v>
      </c>
      <c r="B32" s="147" t="s">
        <v>7</v>
      </c>
      <c r="C32" s="147" t="s">
        <v>952</v>
      </c>
      <c r="D32" s="147" t="s">
        <v>164</v>
      </c>
      <c r="E32" s="147" t="s">
        <v>135</v>
      </c>
      <c r="F32" s="147" t="s">
        <v>135</v>
      </c>
      <c r="G32" s="148"/>
      <c r="H32" s="148"/>
      <c r="I32" s="147" t="s">
        <v>135</v>
      </c>
      <c r="J32" s="147" t="s">
        <v>1484</v>
      </c>
      <c r="K32" s="147" t="s">
        <v>1485</v>
      </c>
      <c r="L32" s="147" t="s">
        <v>4140</v>
      </c>
      <c r="Q32" s="11"/>
    </row>
    <row r="33" ht="15.75" customHeight="1">
      <c r="A33" s="146">
        <v>21.0</v>
      </c>
      <c r="B33" s="147" t="s">
        <v>6</v>
      </c>
      <c r="C33" s="147" t="s">
        <v>1486</v>
      </c>
      <c r="D33" s="147" t="s">
        <v>193</v>
      </c>
      <c r="E33" s="147" t="s">
        <v>135</v>
      </c>
      <c r="F33" s="147" t="s">
        <v>136</v>
      </c>
      <c r="G33" s="148"/>
      <c r="H33" s="148"/>
      <c r="I33" s="147" t="s">
        <v>136</v>
      </c>
      <c r="J33" s="147" t="s">
        <v>1487</v>
      </c>
      <c r="K33" s="147" t="s">
        <v>139</v>
      </c>
      <c r="L33" s="147" t="s">
        <v>4140</v>
      </c>
      <c r="Q33" s="11"/>
    </row>
    <row r="34" ht="15.75" customHeight="1">
      <c r="A34" s="146">
        <v>62.0</v>
      </c>
      <c r="B34" s="147" t="s">
        <v>6</v>
      </c>
      <c r="C34" s="147" t="s">
        <v>1489</v>
      </c>
      <c r="D34" s="147" t="s">
        <v>263</v>
      </c>
      <c r="E34" s="147" t="s">
        <v>136</v>
      </c>
      <c r="F34" s="147" t="s">
        <v>136</v>
      </c>
      <c r="G34" s="149" t="s">
        <v>1490</v>
      </c>
      <c r="H34" s="148"/>
      <c r="I34" s="147" t="s">
        <v>136</v>
      </c>
      <c r="J34" s="150">
        <v>45525.6625</v>
      </c>
      <c r="K34" s="147" t="s">
        <v>139</v>
      </c>
      <c r="L34" s="147" t="s">
        <v>4142</v>
      </c>
      <c r="M34" s="147"/>
    </row>
    <row r="35" ht="15.75" customHeight="1">
      <c r="A35" s="146">
        <v>34.0</v>
      </c>
      <c r="B35" s="147" t="s">
        <v>7</v>
      </c>
      <c r="C35" s="147" t="s">
        <v>1492</v>
      </c>
      <c r="D35" s="147" t="s">
        <v>143</v>
      </c>
      <c r="E35" s="147" t="s">
        <v>135</v>
      </c>
      <c r="F35" s="147" t="s">
        <v>136</v>
      </c>
      <c r="G35" s="147" t="s">
        <v>1493</v>
      </c>
      <c r="H35" s="148"/>
      <c r="I35" s="147" t="s">
        <v>136</v>
      </c>
      <c r="J35" s="147" t="s">
        <v>1494</v>
      </c>
      <c r="K35" s="147" t="s">
        <v>139</v>
      </c>
      <c r="L35" s="147" t="s">
        <v>4142</v>
      </c>
      <c r="M35" s="147"/>
    </row>
    <row r="36" ht="15.75" customHeight="1">
      <c r="A36" s="146">
        <v>16.0</v>
      </c>
      <c r="B36" s="147" t="s">
        <v>7</v>
      </c>
      <c r="C36" s="147" t="s">
        <v>973</v>
      </c>
      <c r="D36" s="147" t="s">
        <v>164</v>
      </c>
      <c r="E36" s="147" t="s">
        <v>135</v>
      </c>
      <c r="F36" s="147" t="s">
        <v>136</v>
      </c>
      <c r="G36" s="147" t="s">
        <v>1495</v>
      </c>
      <c r="H36" s="148"/>
      <c r="I36" s="147" t="s">
        <v>136</v>
      </c>
      <c r="J36" s="147" t="s">
        <v>1496</v>
      </c>
      <c r="K36" s="147" t="s">
        <v>139</v>
      </c>
      <c r="L36" s="147" t="s">
        <v>4142</v>
      </c>
      <c r="M36" s="147"/>
    </row>
    <row r="37" ht="15.75" customHeight="1">
      <c r="A37" s="146">
        <v>43.0</v>
      </c>
      <c r="B37" s="147" t="s">
        <v>6</v>
      </c>
      <c r="C37" s="147" t="s">
        <v>1497</v>
      </c>
      <c r="D37" s="147" t="s">
        <v>165</v>
      </c>
      <c r="E37" s="147" t="s">
        <v>135</v>
      </c>
      <c r="F37" s="147" t="s">
        <v>136</v>
      </c>
      <c r="G37" s="147" t="s">
        <v>1498</v>
      </c>
      <c r="H37" s="148"/>
      <c r="I37" s="147" t="s">
        <v>135</v>
      </c>
      <c r="J37" s="147" t="s">
        <v>1499</v>
      </c>
      <c r="K37" s="147" t="s">
        <v>139</v>
      </c>
      <c r="L37" s="147" t="s">
        <v>4142</v>
      </c>
      <c r="M37" s="148"/>
    </row>
    <row r="38" ht="15.75" customHeight="1">
      <c r="A38" s="146">
        <v>56.0</v>
      </c>
      <c r="B38" s="147" t="s">
        <v>7</v>
      </c>
      <c r="C38" s="147" t="s">
        <v>1500</v>
      </c>
      <c r="D38" s="147" t="s">
        <v>259</v>
      </c>
      <c r="E38" s="147" t="s">
        <v>135</v>
      </c>
      <c r="F38" s="147" t="s">
        <v>135</v>
      </c>
      <c r="G38" s="149" t="s">
        <v>137</v>
      </c>
      <c r="H38" s="148"/>
      <c r="I38" s="147" t="s">
        <v>136</v>
      </c>
      <c r="J38" s="150">
        <v>45509.57083333333</v>
      </c>
      <c r="K38" s="147" t="s">
        <v>139</v>
      </c>
      <c r="L38" s="147" t="s">
        <v>4142</v>
      </c>
      <c r="M38" s="148"/>
    </row>
    <row r="39" ht="15.75" customHeight="1">
      <c r="A39" s="146">
        <v>81.0</v>
      </c>
      <c r="B39" s="147" t="s">
        <v>6</v>
      </c>
      <c r="C39" s="147" t="s">
        <v>1501</v>
      </c>
      <c r="D39" s="147" t="s">
        <v>187</v>
      </c>
      <c r="E39" s="147" t="s">
        <v>135</v>
      </c>
      <c r="F39" s="147" t="s">
        <v>136</v>
      </c>
      <c r="G39" s="147" t="s">
        <v>1502</v>
      </c>
      <c r="H39" s="148"/>
      <c r="I39" s="147" t="s">
        <v>136</v>
      </c>
      <c r="J39" s="150">
        <v>45532.67638888889</v>
      </c>
      <c r="K39" s="147" t="s">
        <v>139</v>
      </c>
      <c r="L39" s="147" t="s">
        <v>4142</v>
      </c>
      <c r="M39" s="147"/>
    </row>
    <row r="40" ht="15.75" customHeight="1">
      <c r="A40" s="146">
        <v>88.0</v>
      </c>
      <c r="B40" s="147" t="s">
        <v>6</v>
      </c>
      <c r="C40" s="147" t="s">
        <v>235</v>
      </c>
      <c r="D40" s="147" t="s">
        <v>164</v>
      </c>
      <c r="E40" s="147" t="s">
        <v>136</v>
      </c>
      <c r="F40" s="147" t="s">
        <v>136</v>
      </c>
      <c r="G40" s="147" t="s">
        <v>1503</v>
      </c>
      <c r="H40" s="148"/>
      <c r="I40" s="147" t="s">
        <v>136</v>
      </c>
      <c r="J40" s="150">
        <v>45534.67152777778</v>
      </c>
      <c r="K40" s="147" t="s">
        <v>139</v>
      </c>
      <c r="L40" s="147" t="s">
        <v>4142</v>
      </c>
      <c r="M40" s="147"/>
    </row>
    <row r="41" ht="15.75" customHeight="1">
      <c r="A41" s="146">
        <v>87.0</v>
      </c>
      <c r="B41" s="147" t="s">
        <v>6</v>
      </c>
      <c r="C41" s="147" t="s">
        <v>1504</v>
      </c>
      <c r="D41" s="147" t="s">
        <v>358</v>
      </c>
      <c r="E41" s="147" t="s">
        <v>135</v>
      </c>
      <c r="F41" s="147" t="s">
        <v>136</v>
      </c>
      <c r="G41" s="147" t="s">
        <v>1505</v>
      </c>
      <c r="H41" s="148"/>
      <c r="I41" s="147" t="s">
        <v>135</v>
      </c>
      <c r="J41" s="150">
        <v>45534.623611111114</v>
      </c>
      <c r="K41" s="147" t="s">
        <v>139</v>
      </c>
      <c r="L41" s="147" t="s">
        <v>4142</v>
      </c>
      <c r="M41" s="147"/>
    </row>
    <row r="42" ht="15.75" customHeight="1">
      <c r="A42" s="146">
        <v>30.0</v>
      </c>
      <c r="B42" s="147" t="s">
        <v>6</v>
      </c>
      <c r="C42" s="147" t="s">
        <v>1506</v>
      </c>
      <c r="D42" s="147" t="s">
        <v>390</v>
      </c>
      <c r="E42" s="147" t="s">
        <v>135</v>
      </c>
      <c r="F42" s="147" t="s">
        <v>136</v>
      </c>
      <c r="G42" s="147" t="s">
        <v>1507</v>
      </c>
      <c r="H42" s="148"/>
      <c r="I42" s="147" t="s">
        <v>135</v>
      </c>
      <c r="J42" s="147" t="s">
        <v>1508</v>
      </c>
      <c r="K42" s="147" t="s">
        <v>139</v>
      </c>
      <c r="L42" s="147" t="s">
        <v>4142</v>
      </c>
      <c r="M42" s="147"/>
    </row>
    <row r="43" ht="15.75" customHeight="1">
      <c r="A43" s="146">
        <v>64.0</v>
      </c>
      <c r="B43" s="147" t="s">
        <v>6</v>
      </c>
      <c r="C43" s="147" t="s">
        <v>315</v>
      </c>
      <c r="D43" s="147" t="s">
        <v>164</v>
      </c>
      <c r="E43" s="147" t="s">
        <v>135</v>
      </c>
      <c r="F43" s="147" t="s">
        <v>136</v>
      </c>
      <c r="G43" s="147" t="s">
        <v>1509</v>
      </c>
      <c r="H43" s="148"/>
      <c r="I43" s="147" t="s">
        <v>136</v>
      </c>
      <c r="J43" s="150">
        <v>45527.645833333336</v>
      </c>
      <c r="K43" s="147" t="s">
        <v>139</v>
      </c>
      <c r="L43" s="147" t="s">
        <v>4142</v>
      </c>
      <c r="M43" s="147"/>
    </row>
    <row r="44" ht="15.75" customHeight="1">
      <c r="A44" s="146">
        <v>12.0</v>
      </c>
      <c r="B44" s="147" t="s">
        <v>7</v>
      </c>
      <c r="C44" s="147" t="s">
        <v>1510</v>
      </c>
      <c r="D44" s="147" t="s">
        <v>4141</v>
      </c>
      <c r="E44" s="147" t="s">
        <v>135</v>
      </c>
      <c r="F44" s="147" t="s">
        <v>136</v>
      </c>
      <c r="G44" s="147" t="s">
        <v>1511</v>
      </c>
      <c r="H44" s="148"/>
      <c r="I44" s="147" t="s">
        <v>136</v>
      </c>
      <c r="J44" s="147" t="s">
        <v>1512</v>
      </c>
      <c r="K44" s="147" t="s">
        <v>139</v>
      </c>
      <c r="L44" s="147" t="s">
        <v>4142</v>
      </c>
      <c r="M44" s="147"/>
    </row>
    <row r="45" ht="15.75" customHeight="1">
      <c r="A45" s="146">
        <v>35.0</v>
      </c>
      <c r="B45" s="147" t="s">
        <v>6</v>
      </c>
      <c r="C45" s="147" t="s">
        <v>1513</v>
      </c>
      <c r="D45" s="147" t="s">
        <v>263</v>
      </c>
      <c r="E45" s="147" t="s">
        <v>135</v>
      </c>
      <c r="F45" s="147" t="s">
        <v>136</v>
      </c>
      <c r="G45" s="149" t="s">
        <v>647</v>
      </c>
      <c r="H45" s="148"/>
      <c r="I45" s="147" t="s">
        <v>136</v>
      </c>
      <c r="J45" s="147" t="s">
        <v>1514</v>
      </c>
      <c r="K45" s="147" t="s">
        <v>139</v>
      </c>
      <c r="L45" s="147" t="s">
        <v>4142</v>
      </c>
      <c r="M45" s="147"/>
    </row>
    <row r="46" ht="15.75" customHeight="1">
      <c r="A46" s="146">
        <v>97.0</v>
      </c>
      <c r="B46" s="147" t="s">
        <v>7</v>
      </c>
      <c r="C46" s="147" t="s">
        <v>1515</v>
      </c>
      <c r="D46" s="147" t="s">
        <v>209</v>
      </c>
      <c r="E46" s="147" t="s">
        <v>135</v>
      </c>
      <c r="F46" s="147" t="s">
        <v>136</v>
      </c>
      <c r="G46" s="147" t="s">
        <v>647</v>
      </c>
      <c r="H46" s="148"/>
      <c r="I46" s="147" t="s">
        <v>136</v>
      </c>
      <c r="J46" s="147" t="s">
        <v>1516</v>
      </c>
      <c r="K46" s="147" t="s">
        <v>139</v>
      </c>
      <c r="L46" s="147" t="s">
        <v>4142</v>
      </c>
      <c r="M46" s="147"/>
    </row>
    <row r="47" ht="15.75" customHeight="1">
      <c r="A47" s="146">
        <v>48.0</v>
      </c>
      <c r="B47" s="147" t="s">
        <v>6</v>
      </c>
      <c r="C47" s="147" t="s">
        <v>1517</v>
      </c>
      <c r="D47" s="147" t="s">
        <v>187</v>
      </c>
      <c r="E47" s="147" t="s">
        <v>136</v>
      </c>
      <c r="F47" s="147" t="s">
        <v>136</v>
      </c>
      <c r="G47" s="147" t="s">
        <v>1490</v>
      </c>
      <c r="H47" s="148"/>
      <c r="I47" s="147" t="s">
        <v>136</v>
      </c>
      <c r="J47" s="147" t="s">
        <v>1518</v>
      </c>
      <c r="K47" s="147" t="s">
        <v>139</v>
      </c>
      <c r="L47" s="147" t="s">
        <v>4142</v>
      </c>
      <c r="M47" s="148"/>
    </row>
    <row r="48" ht="15.75" customHeight="1">
      <c r="A48" s="146">
        <v>10.0</v>
      </c>
      <c r="B48" s="147" t="s">
        <v>6</v>
      </c>
      <c r="C48" s="147" t="s">
        <v>1519</v>
      </c>
      <c r="D48" s="147" t="s">
        <v>202</v>
      </c>
      <c r="E48" s="147" t="s">
        <v>136</v>
      </c>
      <c r="F48" s="147" t="s">
        <v>136</v>
      </c>
      <c r="G48" s="149" t="s">
        <v>1520</v>
      </c>
      <c r="H48" s="148"/>
      <c r="I48" s="147" t="s">
        <v>136</v>
      </c>
      <c r="J48" s="147" t="s">
        <v>1521</v>
      </c>
      <c r="K48" s="147" t="s">
        <v>139</v>
      </c>
      <c r="L48" s="147" t="s">
        <v>4142</v>
      </c>
      <c r="M48" s="147"/>
    </row>
    <row r="49" ht="15.75" customHeight="1">
      <c r="A49" s="146">
        <v>3.0</v>
      </c>
      <c r="B49" s="147" t="s">
        <v>6</v>
      </c>
      <c r="C49" s="147" t="s">
        <v>633</v>
      </c>
      <c r="D49" s="147" t="s">
        <v>164</v>
      </c>
      <c r="E49" s="147" t="s">
        <v>136</v>
      </c>
      <c r="F49" s="147" t="s">
        <v>136</v>
      </c>
      <c r="G49" s="147" t="s">
        <v>1522</v>
      </c>
      <c r="H49" s="148"/>
      <c r="I49" s="147" t="s">
        <v>136</v>
      </c>
      <c r="J49" s="147" t="s">
        <v>1523</v>
      </c>
      <c r="K49" s="147" t="s">
        <v>139</v>
      </c>
      <c r="L49" s="147" t="s">
        <v>4142</v>
      </c>
      <c r="M49" s="147"/>
    </row>
    <row r="50" ht="15.75" customHeight="1">
      <c r="A50" s="146">
        <v>92.0</v>
      </c>
      <c r="B50" s="147" t="s">
        <v>6</v>
      </c>
      <c r="C50" s="147" t="s">
        <v>1524</v>
      </c>
      <c r="D50" s="147" t="s">
        <v>159</v>
      </c>
      <c r="E50" s="147" t="s">
        <v>136</v>
      </c>
      <c r="F50" s="147" t="s">
        <v>136</v>
      </c>
      <c r="G50" s="147" t="s">
        <v>1525</v>
      </c>
      <c r="H50" s="148"/>
      <c r="I50" s="147" t="s">
        <v>136</v>
      </c>
      <c r="J50" s="150">
        <v>45535.92152777778</v>
      </c>
      <c r="K50" s="147" t="s">
        <v>139</v>
      </c>
      <c r="L50" s="147" t="s">
        <v>4142</v>
      </c>
      <c r="M50" s="147"/>
    </row>
    <row r="51" ht="15.75" customHeight="1">
      <c r="A51" s="146">
        <v>82.0</v>
      </c>
      <c r="B51" s="147" t="s">
        <v>7</v>
      </c>
      <c r="C51" s="147" t="s">
        <v>315</v>
      </c>
      <c r="D51" s="147" t="s">
        <v>164</v>
      </c>
      <c r="E51" s="147" t="s">
        <v>136</v>
      </c>
      <c r="F51" s="147" t="s">
        <v>136</v>
      </c>
      <c r="G51" s="147" t="s">
        <v>1526</v>
      </c>
      <c r="H51" s="148"/>
      <c r="I51" s="147" t="s">
        <v>136</v>
      </c>
      <c r="J51" s="150">
        <v>45533.525</v>
      </c>
      <c r="K51" s="147" t="s">
        <v>139</v>
      </c>
      <c r="L51" s="147" t="s">
        <v>4142</v>
      </c>
      <c r="M51" s="147"/>
    </row>
    <row r="52" ht="15.75" customHeight="1">
      <c r="A52" s="146">
        <v>68.0</v>
      </c>
      <c r="B52" s="147" t="s">
        <v>6</v>
      </c>
      <c r="C52" s="147" t="s">
        <v>1527</v>
      </c>
      <c r="D52" s="147" t="s">
        <v>164</v>
      </c>
      <c r="E52" s="147" t="s">
        <v>136</v>
      </c>
      <c r="F52" s="147" t="s">
        <v>136</v>
      </c>
      <c r="G52" s="149" t="s">
        <v>1528</v>
      </c>
      <c r="H52" s="148"/>
      <c r="I52" s="147" t="s">
        <v>136</v>
      </c>
      <c r="J52" s="150">
        <v>45530.32361111111</v>
      </c>
      <c r="K52" s="147" t="s">
        <v>139</v>
      </c>
      <c r="L52" s="147" t="s">
        <v>4142</v>
      </c>
      <c r="M52" s="147"/>
    </row>
    <row r="53" ht="15.75" customHeight="1">
      <c r="A53" s="146">
        <v>32.0</v>
      </c>
      <c r="B53" s="147" t="s">
        <v>7</v>
      </c>
      <c r="C53" s="147" t="s">
        <v>1513</v>
      </c>
      <c r="D53" s="147" t="s">
        <v>263</v>
      </c>
      <c r="E53" s="147" t="s">
        <v>136</v>
      </c>
      <c r="F53" s="147" t="s">
        <v>136</v>
      </c>
      <c r="G53" s="147" t="s">
        <v>1529</v>
      </c>
      <c r="H53" s="148"/>
      <c r="I53" s="147" t="s">
        <v>136</v>
      </c>
      <c r="J53" s="147" t="s">
        <v>1530</v>
      </c>
      <c r="K53" s="147" t="s">
        <v>139</v>
      </c>
      <c r="L53" s="147" t="s">
        <v>4142</v>
      </c>
      <c r="M53" s="147"/>
    </row>
    <row r="54" ht="15.75" customHeight="1">
      <c r="A54" s="146">
        <v>80.0</v>
      </c>
      <c r="B54" s="147" t="s">
        <v>6</v>
      </c>
      <c r="C54" s="147" t="s">
        <v>315</v>
      </c>
      <c r="D54" s="147" t="s">
        <v>164</v>
      </c>
      <c r="E54" s="147" t="s">
        <v>136</v>
      </c>
      <c r="F54" s="147" t="s">
        <v>136</v>
      </c>
      <c r="G54" s="149" t="s">
        <v>1531</v>
      </c>
      <c r="H54" s="148"/>
      <c r="I54" s="147" t="s">
        <v>136</v>
      </c>
      <c r="J54" s="150">
        <v>45532.501388888886</v>
      </c>
      <c r="K54" s="147" t="s">
        <v>139</v>
      </c>
      <c r="L54" s="147" t="s">
        <v>4142</v>
      </c>
      <c r="M54" s="147"/>
    </row>
    <row r="55" ht="15.75" customHeight="1">
      <c r="A55" s="146">
        <v>89.0</v>
      </c>
      <c r="B55" s="147" t="s">
        <v>6</v>
      </c>
      <c r="C55" s="147" t="s">
        <v>1532</v>
      </c>
      <c r="D55" s="147" t="s">
        <v>358</v>
      </c>
      <c r="E55" s="147" t="s">
        <v>136</v>
      </c>
      <c r="F55" s="147" t="s">
        <v>136</v>
      </c>
      <c r="G55" s="147" t="s">
        <v>137</v>
      </c>
      <c r="H55" s="148"/>
      <c r="I55" s="147" t="s">
        <v>136</v>
      </c>
      <c r="J55" s="150">
        <v>45534.94097222222</v>
      </c>
      <c r="K55" s="147" t="s">
        <v>139</v>
      </c>
      <c r="L55" s="147" t="s">
        <v>4142</v>
      </c>
      <c r="M55" s="147"/>
    </row>
    <row r="56" ht="15.75" customHeight="1">
      <c r="A56" s="146">
        <v>47.0</v>
      </c>
      <c r="B56" s="147" t="s">
        <v>7</v>
      </c>
      <c r="C56" s="147" t="s">
        <v>1492</v>
      </c>
      <c r="D56" s="147" t="s">
        <v>143</v>
      </c>
      <c r="E56" s="147" t="s">
        <v>135</v>
      </c>
      <c r="F56" s="147" t="s">
        <v>136</v>
      </c>
      <c r="G56" s="147" t="s">
        <v>1534</v>
      </c>
      <c r="H56" s="148"/>
      <c r="I56" s="147" t="s">
        <v>136</v>
      </c>
      <c r="J56" s="147" t="s">
        <v>1535</v>
      </c>
      <c r="K56" s="147" t="s">
        <v>139</v>
      </c>
      <c r="L56" s="147" t="s">
        <v>4142</v>
      </c>
      <c r="M56" s="148"/>
    </row>
    <row r="57" ht="15.75" customHeight="1">
      <c r="A57" s="146">
        <v>45.0</v>
      </c>
      <c r="B57" s="147" t="s">
        <v>6</v>
      </c>
      <c r="C57" s="147" t="s">
        <v>1536</v>
      </c>
      <c r="D57" s="147" t="s">
        <v>134</v>
      </c>
      <c r="E57" s="147" t="s">
        <v>136</v>
      </c>
      <c r="F57" s="147" t="s">
        <v>136</v>
      </c>
      <c r="G57" s="147" t="s">
        <v>1537</v>
      </c>
      <c r="H57" s="148"/>
      <c r="I57" s="147" t="s">
        <v>136</v>
      </c>
      <c r="J57" s="147" t="s">
        <v>1538</v>
      </c>
      <c r="K57" s="147" t="s">
        <v>139</v>
      </c>
      <c r="L57" s="147" t="s">
        <v>4142</v>
      </c>
      <c r="M57" s="148"/>
    </row>
    <row r="58" ht="15.75" customHeight="1">
      <c r="A58" s="146">
        <v>37.0</v>
      </c>
      <c r="B58" s="147" t="s">
        <v>6</v>
      </c>
      <c r="C58" s="147" t="s">
        <v>560</v>
      </c>
      <c r="D58" s="147" t="s">
        <v>213</v>
      </c>
      <c r="E58" s="147" t="s">
        <v>135</v>
      </c>
      <c r="F58" s="147" t="s">
        <v>136</v>
      </c>
      <c r="G58" s="149" t="s">
        <v>1539</v>
      </c>
      <c r="H58" s="148"/>
      <c r="I58" s="147" t="s">
        <v>135</v>
      </c>
      <c r="J58" s="147" t="s">
        <v>1540</v>
      </c>
      <c r="K58" s="147" t="s">
        <v>139</v>
      </c>
      <c r="L58" s="147" t="s">
        <v>4142</v>
      </c>
      <c r="M58" s="147"/>
    </row>
    <row r="59" ht="15.75" customHeight="1">
      <c r="A59" s="146">
        <v>73.0</v>
      </c>
      <c r="B59" s="147" t="s">
        <v>6</v>
      </c>
      <c r="C59" s="147" t="s">
        <v>1541</v>
      </c>
      <c r="D59" s="147" t="s">
        <v>203</v>
      </c>
      <c r="E59" s="147" t="s">
        <v>136</v>
      </c>
      <c r="F59" s="147" t="s">
        <v>136</v>
      </c>
      <c r="G59" s="149" t="s">
        <v>1542</v>
      </c>
      <c r="H59" s="148"/>
      <c r="I59" s="147" t="s">
        <v>136</v>
      </c>
      <c r="J59" s="150">
        <v>45531.57083333333</v>
      </c>
      <c r="K59" s="147" t="s">
        <v>139</v>
      </c>
      <c r="L59" s="147" t="s">
        <v>4142</v>
      </c>
      <c r="M59" s="147"/>
    </row>
    <row r="60" ht="15.75" customHeight="1">
      <c r="A60" s="146">
        <v>76.0</v>
      </c>
      <c r="B60" s="147" t="s">
        <v>7</v>
      </c>
      <c r="C60" s="147" t="s">
        <v>315</v>
      </c>
      <c r="D60" s="147" t="s">
        <v>164</v>
      </c>
      <c r="E60" s="147" t="s">
        <v>135</v>
      </c>
      <c r="F60" s="147" t="s">
        <v>136</v>
      </c>
      <c r="G60" s="147" t="s">
        <v>137</v>
      </c>
      <c r="H60" s="148"/>
      <c r="I60" s="147" t="s">
        <v>136</v>
      </c>
      <c r="J60" s="150">
        <v>45531.606944444444</v>
      </c>
      <c r="K60" s="147" t="s">
        <v>139</v>
      </c>
      <c r="L60" s="147" t="s">
        <v>4142</v>
      </c>
      <c r="M60" s="147"/>
    </row>
    <row r="61" ht="15.75" customHeight="1">
      <c r="A61" s="146">
        <v>51.0</v>
      </c>
      <c r="B61" s="147" t="s">
        <v>6</v>
      </c>
      <c r="C61" s="147" t="s">
        <v>1515</v>
      </c>
      <c r="D61" s="147" t="s">
        <v>209</v>
      </c>
      <c r="E61" s="147" t="s">
        <v>135</v>
      </c>
      <c r="F61" s="147" t="s">
        <v>136</v>
      </c>
      <c r="G61" s="147" t="s">
        <v>1543</v>
      </c>
      <c r="H61" s="148"/>
      <c r="I61" s="147" t="s">
        <v>136</v>
      </c>
      <c r="J61" s="147" t="s">
        <v>1544</v>
      </c>
      <c r="K61" s="147" t="s">
        <v>139</v>
      </c>
      <c r="L61" s="147" t="s">
        <v>4142</v>
      </c>
      <c r="M61" s="148"/>
    </row>
    <row r="62" ht="15.75" customHeight="1">
      <c r="A62" s="146">
        <v>69.0</v>
      </c>
      <c r="B62" s="147" t="s">
        <v>6</v>
      </c>
      <c r="C62" s="147" t="s">
        <v>1545</v>
      </c>
      <c r="D62" s="147" t="s">
        <v>296</v>
      </c>
      <c r="E62" s="147" t="s">
        <v>135</v>
      </c>
      <c r="F62" s="147" t="s">
        <v>136</v>
      </c>
      <c r="G62" s="149" t="s">
        <v>1546</v>
      </c>
      <c r="H62" s="148"/>
      <c r="I62" s="147" t="s">
        <v>136</v>
      </c>
      <c r="J62" s="150">
        <v>45531.39375</v>
      </c>
      <c r="K62" s="147" t="s">
        <v>139</v>
      </c>
      <c r="L62" s="147" t="s">
        <v>4142</v>
      </c>
      <c r="M62" s="147"/>
    </row>
    <row r="63" ht="15.75" customHeight="1">
      <c r="A63" s="146">
        <v>24.0</v>
      </c>
      <c r="B63" s="147" t="s">
        <v>6</v>
      </c>
      <c r="C63" s="147" t="s">
        <v>270</v>
      </c>
      <c r="D63" s="147" t="s">
        <v>134</v>
      </c>
      <c r="E63" s="147" t="s">
        <v>135</v>
      </c>
      <c r="F63" s="147" t="s">
        <v>136</v>
      </c>
      <c r="G63" s="147" t="s">
        <v>1547</v>
      </c>
      <c r="H63" s="148"/>
      <c r="I63" s="147" t="s">
        <v>136</v>
      </c>
      <c r="J63" s="147" t="s">
        <v>1548</v>
      </c>
      <c r="K63" s="147" t="s">
        <v>139</v>
      </c>
      <c r="L63" s="147" t="s">
        <v>4142</v>
      </c>
      <c r="M63" s="147"/>
    </row>
    <row r="64" ht="15.75" customHeight="1">
      <c r="A64" s="146">
        <v>85.0</v>
      </c>
      <c r="B64" s="147" t="s">
        <v>7</v>
      </c>
      <c r="C64" s="147" t="s">
        <v>315</v>
      </c>
      <c r="D64" s="147" t="s">
        <v>164</v>
      </c>
      <c r="E64" s="147" t="s">
        <v>136</v>
      </c>
      <c r="F64" s="147" t="s">
        <v>136</v>
      </c>
      <c r="G64" s="147" t="s">
        <v>1549</v>
      </c>
      <c r="H64" s="148"/>
      <c r="I64" s="147" t="s">
        <v>136</v>
      </c>
      <c r="J64" s="150">
        <v>45533.76875</v>
      </c>
      <c r="K64" s="147" t="s">
        <v>139</v>
      </c>
      <c r="L64" s="147" t="s">
        <v>4142</v>
      </c>
      <c r="M64" s="147"/>
    </row>
    <row r="65" ht="15.75" customHeight="1">
      <c r="A65" s="146">
        <v>27.0</v>
      </c>
      <c r="B65" s="147" t="s">
        <v>7</v>
      </c>
      <c r="C65" s="147" t="s">
        <v>1550</v>
      </c>
      <c r="D65" s="147" t="s">
        <v>143</v>
      </c>
      <c r="E65" s="147" t="s">
        <v>135</v>
      </c>
      <c r="F65" s="147" t="s">
        <v>136</v>
      </c>
      <c r="G65" s="147" t="s">
        <v>1551</v>
      </c>
      <c r="H65" s="148"/>
      <c r="I65" s="147" t="s">
        <v>136</v>
      </c>
      <c r="J65" s="147" t="s">
        <v>1552</v>
      </c>
      <c r="K65" s="147" t="s">
        <v>139</v>
      </c>
      <c r="L65" s="147" t="s">
        <v>4142</v>
      </c>
      <c r="M65" s="147"/>
    </row>
    <row r="66" ht="15.75" customHeight="1">
      <c r="A66" s="146">
        <v>74.0</v>
      </c>
      <c r="B66" s="147" t="s">
        <v>6</v>
      </c>
      <c r="C66" s="147" t="s">
        <v>1553</v>
      </c>
      <c r="D66" s="147" t="s">
        <v>203</v>
      </c>
      <c r="E66" s="147" t="s">
        <v>136</v>
      </c>
      <c r="F66" s="147" t="s">
        <v>136</v>
      </c>
      <c r="G66" s="147" t="s">
        <v>1554</v>
      </c>
      <c r="H66" s="148"/>
      <c r="I66" s="147" t="s">
        <v>136</v>
      </c>
      <c r="J66" s="150">
        <v>45531.57152777778</v>
      </c>
      <c r="K66" s="147" t="s">
        <v>139</v>
      </c>
      <c r="L66" s="147" t="s">
        <v>4142</v>
      </c>
      <c r="M66" s="147"/>
    </row>
    <row r="67" ht="15.75" customHeight="1">
      <c r="A67" s="146">
        <v>93.0</v>
      </c>
      <c r="B67" s="147" t="s">
        <v>7</v>
      </c>
      <c r="C67" s="147" t="s">
        <v>1555</v>
      </c>
      <c r="D67" s="147" t="s">
        <v>263</v>
      </c>
      <c r="E67" s="147" t="s">
        <v>136</v>
      </c>
      <c r="F67" s="147" t="s">
        <v>136</v>
      </c>
      <c r="G67" s="149" t="s">
        <v>1556</v>
      </c>
      <c r="H67" s="148"/>
      <c r="I67" s="147" t="s">
        <v>135</v>
      </c>
      <c r="J67" s="147" t="s">
        <v>1557</v>
      </c>
      <c r="K67" s="147" t="s">
        <v>139</v>
      </c>
      <c r="L67" s="147" t="s">
        <v>4142</v>
      </c>
      <c r="M67" s="147"/>
    </row>
    <row r="68" ht="15.75" customHeight="1">
      <c r="A68" s="146">
        <v>23.0</v>
      </c>
      <c r="B68" s="147" t="s">
        <v>6</v>
      </c>
      <c r="C68" s="147" t="s">
        <v>1558</v>
      </c>
      <c r="D68" s="147" t="s">
        <v>383</v>
      </c>
      <c r="E68" s="147" t="s">
        <v>136</v>
      </c>
      <c r="F68" s="147" t="s">
        <v>136</v>
      </c>
      <c r="G68" s="147" t="s">
        <v>1559</v>
      </c>
      <c r="H68" s="148"/>
      <c r="I68" s="147" t="s">
        <v>136</v>
      </c>
      <c r="J68" s="147" t="s">
        <v>1560</v>
      </c>
      <c r="K68" s="147" t="s">
        <v>139</v>
      </c>
      <c r="L68" s="147" t="s">
        <v>4142</v>
      </c>
      <c r="M68" s="147"/>
    </row>
    <row r="69" ht="15.75" customHeight="1">
      <c r="A69" s="146">
        <v>57.0</v>
      </c>
      <c r="B69" s="147" t="s">
        <v>6</v>
      </c>
      <c r="C69" s="147" t="s">
        <v>1561</v>
      </c>
      <c r="D69" s="147" t="s">
        <v>134</v>
      </c>
      <c r="E69" s="147" t="s">
        <v>135</v>
      </c>
      <c r="F69" s="147" t="s">
        <v>136</v>
      </c>
      <c r="G69" s="147" t="s">
        <v>1562</v>
      </c>
      <c r="H69" s="148"/>
      <c r="I69" s="147" t="s">
        <v>136</v>
      </c>
      <c r="J69" s="150">
        <v>45509.62152777778</v>
      </c>
      <c r="K69" s="147" t="s">
        <v>139</v>
      </c>
      <c r="L69" s="147" t="s">
        <v>4142</v>
      </c>
      <c r="M69" s="148"/>
    </row>
    <row r="70" ht="15.75" customHeight="1">
      <c r="A70" s="146">
        <v>61.0</v>
      </c>
      <c r="B70" s="147" t="s">
        <v>7</v>
      </c>
      <c r="C70" s="147" t="s">
        <v>1563</v>
      </c>
      <c r="D70" s="147" t="s">
        <v>134</v>
      </c>
      <c r="E70" s="147" t="s">
        <v>136</v>
      </c>
      <c r="F70" s="147" t="s">
        <v>136</v>
      </c>
      <c r="G70" s="147" t="s">
        <v>1564</v>
      </c>
      <c r="H70" s="148"/>
      <c r="I70" s="147" t="s">
        <v>136</v>
      </c>
      <c r="J70" s="150">
        <v>45525.50486111111</v>
      </c>
      <c r="K70" s="147" t="s">
        <v>139</v>
      </c>
      <c r="L70" s="147" t="s">
        <v>4142</v>
      </c>
      <c r="M70" s="147"/>
    </row>
    <row r="71" ht="15.75" customHeight="1">
      <c r="A71" s="146">
        <v>53.0</v>
      </c>
      <c r="B71" s="147" t="s">
        <v>7</v>
      </c>
      <c r="C71" s="147" t="s">
        <v>1565</v>
      </c>
      <c r="D71" s="147" t="s">
        <v>296</v>
      </c>
      <c r="E71" s="147" t="s">
        <v>135</v>
      </c>
      <c r="F71" s="147" t="s">
        <v>136</v>
      </c>
      <c r="G71" s="147" t="s">
        <v>1566</v>
      </c>
      <c r="H71" s="148"/>
      <c r="I71" s="147" t="s">
        <v>136</v>
      </c>
      <c r="J71" s="147" t="s">
        <v>1567</v>
      </c>
      <c r="K71" s="147" t="s">
        <v>139</v>
      </c>
      <c r="L71" s="147" t="s">
        <v>4142</v>
      </c>
      <c r="M71" s="148"/>
    </row>
    <row r="72" ht="15.75" customHeight="1">
      <c r="A72" s="146">
        <v>55.0</v>
      </c>
      <c r="B72" s="147" t="s">
        <v>6</v>
      </c>
      <c r="C72" s="147" t="s">
        <v>1500</v>
      </c>
      <c r="D72" s="147" t="s">
        <v>259</v>
      </c>
      <c r="E72" s="147" t="s">
        <v>135</v>
      </c>
      <c r="F72" s="147" t="s">
        <v>135</v>
      </c>
      <c r="G72" s="147" t="s">
        <v>1568</v>
      </c>
      <c r="H72" s="148"/>
      <c r="I72" s="147" t="s">
        <v>136</v>
      </c>
      <c r="J72" s="150">
        <v>45509.36388888889</v>
      </c>
      <c r="K72" s="147" t="s">
        <v>139</v>
      </c>
      <c r="L72" s="147" t="s">
        <v>4142</v>
      </c>
      <c r="M72" s="148"/>
    </row>
    <row r="73" ht="15.75" customHeight="1">
      <c r="A73" s="146">
        <v>100.0</v>
      </c>
      <c r="B73" s="147" t="s">
        <v>7</v>
      </c>
      <c r="C73" s="147" t="s">
        <v>1570</v>
      </c>
      <c r="D73" s="147" t="s">
        <v>203</v>
      </c>
      <c r="E73" s="147" t="s">
        <v>136</v>
      </c>
      <c r="F73" s="147" t="s">
        <v>136</v>
      </c>
      <c r="G73" s="147" t="s">
        <v>1571</v>
      </c>
      <c r="H73" s="148"/>
      <c r="I73" s="147" t="s">
        <v>136</v>
      </c>
      <c r="J73" s="147" t="s">
        <v>1572</v>
      </c>
      <c r="K73" s="147" t="s">
        <v>139</v>
      </c>
      <c r="L73" s="147" t="s">
        <v>4142</v>
      </c>
      <c r="M73" s="147"/>
    </row>
    <row r="74" ht="15.75" customHeight="1">
      <c r="A74" s="146">
        <v>67.0</v>
      </c>
      <c r="B74" s="147" t="s">
        <v>6</v>
      </c>
      <c r="C74" s="147" t="s">
        <v>235</v>
      </c>
      <c r="D74" s="147" t="s">
        <v>164</v>
      </c>
      <c r="E74" s="147" t="s">
        <v>136</v>
      </c>
      <c r="F74" s="147" t="s">
        <v>136</v>
      </c>
      <c r="G74" s="149" t="s">
        <v>1573</v>
      </c>
      <c r="H74" s="148"/>
      <c r="I74" s="147" t="s">
        <v>136</v>
      </c>
      <c r="J74" s="150">
        <v>45530.31875</v>
      </c>
      <c r="K74" s="147" t="s">
        <v>139</v>
      </c>
      <c r="L74" s="147" t="s">
        <v>4142</v>
      </c>
      <c r="M74" s="147"/>
    </row>
    <row r="75" ht="15.75" customHeight="1">
      <c r="A75" s="146">
        <v>99.0</v>
      </c>
      <c r="B75" s="147" t="s">
        <v>6</v>
      </c>
      <c r="C75" s="147" t="s">
        <v>1515</v>
      </c>
      <c r="D75" s="147" t="s">
        <v>209</v>
      </c>
      <c r="E75" s="147" t="s">
        <v>135</v>
      </c>
      <c r="F75" s="147" t="s">
        <v>136</v>
      </c>
      <c r="G75" s="147" t="s">
        <v>1574</v>
      </c>
      <c r="H75" s="148"/>
      <c r="I75" s="147" t="s">
        <v>136</v>
      </c>
      <c r="J75" s="147" t="s">
        <v>1575</v>
      </c>
      <c r="K75" s="147" t="s">
        <v>139</v>
      </c>
      <c r="L75" s="147" t="s">
        <v>4142</v>
      </c>
      <c r="M75" s="147"/>
    </row>
    <row r="76" ht="15.75" customHeight="1">
      <c r="A76" s="146">
        <v>20.0</v>
      </c>
      <c r="B76" s="147" t="s">
        <v>7</v>
      </c>
      <c r="C76" s="147" t="s">
        <v>1577</v>
      </c>
      <c r="D76" s="147" t="s">
        <v>202</v>
      </c>
      <c r="E76" s="147" t="s">
        <v>135</v>
      </c>
      <c r="F76" s="147" t="s">
        <v>136</v>
      </c>
      <c r="G76" s="147" t="s">
        <v>1578</v>
      </c>
      <c r="H76" s="148"/>
      <c r="I76" s="147" t="s">
        <v>136</v>
      </c>
      <c r="J76" s="147" t="s">
        <v>1579</v>
      </c>
      <c r="K76" s="147" t="s">
        <v>139</v>
      </c>
      <c r="L76" s="147" t="s">
        <v>4142</v>
      </c>
      <c r="M76" s="147"/>
    </row>
    <row r="77" ht="15.75" customHeight="1">
      <c r="A77" s="146">
        <v>50.0</v>
      </c>
      <c r="B77" s="147" t="s">
        <v>6</v>
      </c>
      <c r="C77" s="147" t="s">
        <v>1563</v>
      </c>
      <c r="D77" s="147" t="s">
        <v>134</v>
      </c>
      <c r="E77" s="147" t="s">
        <v>136</v>
      </c>
      <c r="F77" s="147" t="s">
        <v>136</v>
      </c>
      <c r="G77" s="147" t="s">
        <v>1580</v>
      </c>
      <c r="H77" s="148"/>
      <c r="I77" s="147" t="s">
        <v>136</v>
      </c>
      <c r="J77" s="147" t="s">
        <v>1581</v>
      </c>
      <c r="K77" s="147" t="s">
        <v>139</v>
      </c>
      <c r="L77" s="147" t="s">
        <v>4142</v>
      </c>
      <c r="M77" s="148"/>
    </row>
    <row r="78" ht="15.75" customHeight="1">
      <c r="A78" s="146">
        <v>72.0</v>
      </c>
      <c r="B78" s="147" t="s">
        <v>6</v>
      </c>
      <c r="C78" s="147" t="s">
        <v>1541</v>
      </c>
      <c r="D78" s="147" t="s">
        <v>203</v>
      </c>
      <c r="E78" s="147" t="s">
        <v>135</v>
      </c>
      <c r="F78" s="147" t="s">
        <v>136</v>
      </c>
      <c r="G78" s="147" t="s">
        <v>647</v>
      </c>
      <c r="H78" s="148"/>
      <c r="I78" s="147" t="s">
        <v>136</v>
      </c>
      <c r="J78" s="150">
        <v>45531.56458333333</v>
      </c>
      <c r="K78" s="147" t="s">
        <v>139</v>
      </c>
      <c r="L78" s="147" t="s">
        <v>4142</v>
      </c>
      <c r="M78" s="147"/>
    </row>
    <row r="79" ht="15.75" customHeight="1">
      <c r="A79" s="146">
        <v>11.0</v>
      </c>
      <c r="B79" s="147" t="s">
        <v>6</v>
      </c>
      <c r="C79" s="147" t="s">
        <v>1582</v>
      </c>
      <c r="D79" s="147" t="s">
        <v>255</v>
      </c>
      <c r="E79" s="147" t="s">
        <v>135</v>
      </c>
      <c r="F79" s="147" t="s">
        <v>136</v>
      </c>
      <c r="G79" s="147" t="s">
        <v>1583</v>
      </c>
      <c r="H79" s="148"/>
      <c r="I79" s="147" t="s">
        <v>136</v>
      </c>
      <c r="J79" s="147" t="s">
        <v>1584</v>
      </c>
      <c r="K79" s="147" t="s">
        <v>139</v>
      </c>
      <c r="L79" s="147" t="s">
        <v>4142</v>
      </c>
      <c r="M79" s="147"/>
    </row>
    <row r="80" ht="15.75" customHeight="1">
      <c r="A80" s="146">
        <v>19.0</v>
      </c>
      <c r="B80" s="147" t="s">
        <v>7</v>
      </c>
      <c r="C80" s="147" t="s">
        <v>1585</v>
      </c>
      <c r="D80" s="147" t="s">
        <v>263</v>
      </c>
      <c r="E80" s="147" t="s">
        <v>135</v>
      </c>
      <c r="F80" s="147" t="s">
        <v>136</v>
      </c>
      <c r="G80" s="147" t="s">
        <v>1586</v>
      </c>
      <c r="H80" s="148"/>
      <c r="I80" s="147" t="s">
        <v>136</v>
      </c>
      <c r="J80" s="147" t="s">
        <v>1587</v>
      </c>
      <c r="K80" s="147" t="s">
        <v>139</v>
      </c>
      <c r="L80" s="147" t="s">
        <v>4142</v>
      </c>
      <c r="M80" s="147"/>
    </row>
    <row r="81" ht="15.75" customHeight="1">
      <c r="A81" s="146">
        <v>71.0</v>
      </c>
      <c r="B81" s="147" t="s">
        <v>7</v>
      </c>
      <c r="C81" s="147" t="s">
        <v>1588</v>
      </c>
      <c r="D81" s="147" t="s">
        <v>143</v>
      </c>
      <c r="E81" s="147" t="s">
        <v>135</v>
      </c>
      <c r="F81" s="147" t="s">
        <v>136</v>
      </c>
      <c r="G81" s="147" t="s">
        <v>455</v>
      </c>
      <c r="H81" s="148"/>
      <c r="I81" s="147" t="s">
        <v>136</v>
      </c>
      <c r="J81" s="150">
        <v>45531.447222222225</v>
      </c>
      <c r="K81" s="147" t="s">
        <v>139</v>
      </c>
      <c r="L81" s="147" t="s">
        <v>4142</v>
      </c>
      <c r="M81" s="147"/>
    </row>
    <row r="82" ht="15.75" customHeight="1">
      <c r="A82" s="146">
        <v>75.0</v>
      </c>
      <c r="B82" s="147" t="s">
        <v>6</v>
      </c>
      <c r="C82" s="147" t="s">
        <v>1589</v>
      </c>
      <c r="D82" s="147" t="s">
        <v>383</v>
      </c>
      <c r="E82" s="147" t="s">
        <v>135</v>
      </c>
      <c r="F82" s="147" t="s">
        <v>136</v>
      </c>
      <c r="G82" s="147" t="s">
        <v>1590</v>
      </c>
      <c r="H82" s="148"/>
      <c r="I82" s="147" t="s">
        <v>136</v>
      </c>
      <c r="J82" s="150">
        <v>45531.604166666664</v>
      </c>
      <c r="K82" s="147" t="s">
        <v>139</v>
      </c>
      <c r="L82" s="147" t="s">
        <v>4142</v>
      </c>
      <c r="M82" s="147"/>
    </row>
    <row r="83" ht="15.75" customHeight="1">
      <c r="A83" s="146">
        <v>65.0</v>
      </c>
      <c r="B83" s="147" t="s">
        <v>6</v>
      </c>
      <c r="C83" s="147" t="s">
        <v>1591</v>
      </c>
      <c r="D83" s="147" t="s">
        <v>164</v>
      </c>
      <c r="E83" s="147" t="s">
        <v>136</v>
      </c>
      <c r="F83" s="147" t="s">
        <v>136</v>
      </c>
      <c r="G83" s="147" t="s">
        <v>1592</v>
      </c>
      <c r="H83" s="148"/>
      <c r="I83" s="147" t="s">
        <v>136</v>
      </c>
      <c r="J83" s="150">
        <v>45527.65833333333</v>
      </c>
      <c r="K83" s="147" t="s">
        <v>139</v>
      </c>
      <c r="L83" s="147" t="s">
        <v>4142</v>
      </c>
      <c r="M83" s="147"/>
    </row>
    <row r="84" ht="15.75" customHeight="1">
      <c r="A84" s="146">
        <v>58.0</v>
      </c>
      <c r="B84" s="147" t="s">
        <v>6</v>
      </c>
      <c r="C84" s="147" t="s">
        <v>1501</v>
      </c>
      <c r="D84" s="147" t="s">
        <v>187</v>
      </c>
      <c r="E84" s="147" t="s">
        <v>135</v>
      </c>
      <c r="F84" s="147" t="s">
        <v>136</v>
      </c>
      <c r="G84" s="147" t="s">
        <v>1593</v>
      </c>
      <c r="H84" s="148"/>
      <c r="I84" s="147" t="s">
        <v>135</v>
      </c>
      <c r="J84" s="150">
        <v>45510.44583333333</v>
      </c>
      <c r="K84" s="147" t="s">
        <v>1594</v>
      </c>
      <c r="L84" s="147" t="s">
        <v>4142</v>
      </c>
      <c r="M84" s="148"/>
    </row>
    <row r="85" ht="15.75" customHeight="1">
      <c r="A85" s="146">
        <v>83.0</v>
      </c>
      <c r="B85" s="147" t="s">
        <v>7</v>
      </c>
      <c r="C85" s="147" t="s">
        <v>1595</v>
      </c>
      <c r="D85" s="147" t="s">
        <v>166</v>
      </c>
      <c r="E85" s="147" t="s">
        <v>135</v>
      </c>
      <c r="F85" s="147" t="s">
        <v>136</v>
      </c>
      <c r="G85" s="147" t="s">
        <v>1596</v>
      </c>
      <c r="H85" s="148"/>
      <c r="I85" s="147" t="s">
        <v>136</v>
      </c>
      <c r="J85" s="150">
        <v>45533.55694444444</v>
      </c>
      <c r="K85" s="147" t="s">
        <v>139</v>
      </c>
      <c r="L85" s="147" t="s">
        <v>4142</v>
      </c>
      <c r="M85" s="147"/>
    </row>
    <row r="86" ht="15.75" customHeight="1">
      <c r="A86" s="146">
        <v>90.0</v>
      </c>
      <c r="B86" s="147" t="s">
        <v>7</v>
      </c>
      <c r="C86" s="147" t="s">
        <v>315</v>
      </c>
      <c r="D86" s="147" t="s">
        <v>164</v>
      </c>
      <c r="E86" s="147" t="s">
        <v>135</v>
      </c>
      <c r="F86" s="147" t="s">
        <v>136</v>
      </c>
      <c r="G86" s="147" t="s">
        <v>137</v>
      </c>
      <c r="H86" s="148"/>
      <c r="I86" s="147" t="s">
        <v>135</v>
      </c>
      <c r="J86" s="150">
        <v>45535.709027777775</v>
      </c>
      <c r="K86" s="147" t="s">
        <v>139</v>
      </c>
      <c r="L86" s="147" t="s">
        <v>4142</v>
      </c>
      <c r="M86" s="147"/>
    </row>
    <row r="87" ht="15.75" customHeight="1">
      <c r="A87" s="146">
        <v>63.0</v>
      </c>
      <c r="B87" s="147" t="s">
        <v>7</v>
      </c>
      <c r="C87" s="147" t="s">
        <v>1563</v>
      </c>
      <c r="D87" s="147" t="s">
        <v>134</v>
      </c>
      <c r="E87" s="147" t="s">
        <v>136</v>
      </c>
      <c r="F87" s="147" t="s">
        <v>136</v>
      </c>
      <c r="G87" s="147" t="s">
        <v>1597</v>
      </c>
      <c r="H87" s="148"/>
      <c r="I87" s="147" t="s">
        <v>136</v>
      </c>
      <c r="J87" s="150">
        <v>45526.66458333333</v>
      </c>
      <c r="K87" s="147" t="s">
        <v>139</v>
      </c>
      <c r="L87" s="147" t="s">
        <v>4142</v>
      </c>
      <c r="M87" s="147"/>
    </row>
    <row r="88" ht="15.75" customHeight="1">
      <c r="A88" s="146">
        <v>86.0</v>
      </c>
      <c r="B88" s="147" t="s">
        <v>6</v>
      </c>
      <c r="C88" s="147" t="s">
        <v>921</v>
      </c>
      <c r="D88" s="147" t="s">
        <v>358</v>
      </c>
      <c r="E88" s="147" t="s">
        <v>135</v>
      </c>
      <c r="F88" s="147" t="s">
        <v>136</v>
      </c>
      <c r="G88" s="147" t="s">
        <v>1598</v>
      </c>
      <c r="H88" s="148"/>
      <c r="I88" s="147" t="s">
        <v>136</v>
      </c>
      <c r="J88" s="150">
        <v>45534.62013888889</v>
      </c>
      <c r="K88" s="147" t="s">
        <v>139</v>
      </c>
      <c r="L88" s="147" t="s">
        <v>4142</v>
      </c>
      <c r="M88" s="147"/>
    </row>
    <row r="89" ht="15.75" customHeight="1">
      <c r="A89" s="146">
        <v>13.0</v>
      </c>
      <c r="B89" s="147" t="s">
        <v>6</v>
      </c>
      <c r="C89" s="147" t="s">
        <v>1599</v>
      </c>
      <c r="D89" s="147" t="s">
        <v>164</v>
      </c>
      <c r="E89" s="147" t="s">
        <v>135</v>
      </c>
      <c r="F89" s="147" t="s">
        <v>136</v>
      </c>
      <c r="G89" s="147" t="s">
        <v>1600</v>
      </c>
      <c r="H89" s="148"/>
      <c r="I89" s="147" t="s">
        <v>136</v>
      </c>
      <c r="J89" s="147" t="s">
        <v>1601</v>
      </c>
      <c r="K89" s="147" t="s">
        <v>139</v>
      </c>
      <c r="L89" s="147" t="s">
        <v>4142</v>
      </c>
      <c r="M89" s="147"/>
    </row>
    <row r="90" ht="15.75" customHeight="1">
      <c r="A90" s="146">
        <v>5.0</v>
      </c>
      <c r="B90" s="147" t="s">
        <v>6</v>
      </c>
      <c r="C90" s="147" t="s">
        <v>315</v>
      </c>
      <c r="D90" s="147" t="s">
        <v>164</v>
      </c>
      <c r="E90" s="147" t="s">
        <v>135</v>
      </c>
      <c r="F90" s="147" t="s">
        <v>136</v>
      </c>
      <c r="G90" s="147" t="s">
        <v>1602</v>
      </c>
      <c r="H90" s="148"/>
      <c r="I90" s="147" t="s">
        <v>136</v>
      </c>
      <c r="J90" s="147" t="s">
        <v>1603</v>
      </c>
      <c r="K90" s="147" t="s">
        <v>139</v>
      </c>
      <c r="L90" s="147" t="s">
        <v>4142</v>
      </c>
      <c r="M90" s="147"/>
    </row>
    <row r="91" ht="15.75" customHeight="1">
      <c r="A91" s="146">
        <v>36.0</v>
      </c>
      <c r="B91" s="147" t="s">
        <v>7</v>
      </c>
      <c r="C91" s="147" t="s">
        <v>1513</v>
      </c>
      <c r="D91" s="147" t="s">
        <v>263</v>
      </c>
      <c r="E91" s="147" t="s">
        <v>135</v>
      </c>
      <c r="F91" s="147" t="s">
        <v>136</v>
      </c>
      <c r="G91" s="147" t="s">
        <v>1604</v>
      </c>
      <c r="H91" s="148"/>
      <c r="I91" s="147" t="s">
        <v>136</v>
      </c>
      <c r="J91" s="147" t="s">
        <v>1605</v>
      </c>
      <c r="K91" s="147" t="s">
        <v>139</v>
      </c>
      <c r="L91" s="147" t="s">
        <v>4142</v>
      </c>
      <c r="M91" s="147"/>
    </row>
    <row r="92" ht="15.75" customHeight="1">
      <c r="A92" s="146">
        <v>6.0</v>
      </c>
      <c r="B92" s="147" t="s">
        <v>7</v>
      </c>
      <c r="C92" s="147" t="s">
        <v>315</v>
      </c>
      <c r="D92" s="147" t="s">
        <v>164</v>
      </c>
      <c r="E92" s="147" t="s">
        <v>135</v>
      </c>
      <c r="F92" s="147" t="s">
        <v>136</v>
      </c>
      <c r="G92" s="147" t="s">
        <v>1606</v>
      </c>
      <c r="H92" s="148"/>
      <c r="I92" s="147" t="s">
        <v>135</v>
      </c>
      <c r="J92" s="147" t="s">
        <v>1607</v>
      </c>
      <c r="K92" s="147" t="s">
        <v>139</v>
      </c>
      <c r="L92" s="147" t="s">
        <v>4142</v>
      </c>
      <c r="M92" s="147"/>
    </row>
    <row r="93" ht="15.75" customHeight="1">
      <c r="A93" s="146">
        <v>60.0</v>
      </c>
      <c r="B93" s="147" t="s">
        <v>6</v>
      </c>
      <c r="C93" s="147" t="s">
        <v>1608</v>
      </c>
      <c r="D93" s="147" t="s">
        <v>358</v>
      </c>
      <c r="E93" s="147" t="s">
        <v>136</v>
      </c>
      <c r="F93" s="147" t="s">
        <v>136</v>
      </c>
      <c r="G93" s="147" t="s">
        <v>1609</v>
      </c>
      <c r="H93" s="148"/>
      <c r="I93" s="147" t="s">
        <v>136</v>
      </c>
      <c r="J93" s="150">
        <v>45525.34097222222</v>
      </c>
      <c r="K93" s="147" t="s">
        <v>139</v>
      </c>
      <c r="L93" s="147" t="s">
        <v>4142</v>
      </c>
      <c r="M93" s="147"/>
    </row>
    <row r="94" ht="15.75" customHeight="1">
      <c r="A94" s="146">
        <v>77.0</v>
      </c>
      <c r="B94" s="147" t="s">
        <v>7</v>
      </c>
      <c r="C94" s="147" t="s">
        <v>1610</v>
      </c>
      <c r="D94" s="147" t="s">
        <v>263</v>
      </c>
      <c r="E94" s="147" t="s">
        <v>136</v>
      </c>
      <c r="F94" s="147" t="s">
        <v>135</v>
      </c>
      <c r="G94" s="147" t="s">
        <v>1611</v>
      </c>
      <c r="H94" s="148"/>
      <c r="I94" s="147" t="s">
        <v>136</v>
      </c>
      <c r="J94" s="150">
        <v>45531.67222222222</v>
      </c>
      <c r="K94" s="147" t="s">
        <v>139</v>
      </c>
      <c r="L94" s="147" t="s">
        <v>4142</v>
      </c>
      <c r="M94" s="147"/>
    </row>
    <row r="95" ht="15.75" customHeight="1">
      <c r="A95" s="146">
        <v>49.0</v>
      </c>
      <c r="B95" s="147" t="s">
        <v>6</v>
      </c>
      <c r="C95" s="147" t="s">
        <v>366</v>
      </c>
      <c r="D95" s="147" t="s">
        <v>218</v>
      </c>
      <c r="E95" s="147" t="s">
        <v>136</v>
      </c>
      <c r="F95" s="147" t="s">
        <v>136</v>
      </c>
      <c r="G95" s="147" t="s">
        <v>1612</v>
      </c>
      <c r="H95" s="148"/>
      <c r="I95" s="147" t="s">
        <v>135</v>
      </c>
      <c r="J95" s="147" t="s">
        <v>1613</v>
      </c>
      <c r="K95" s="147" t="s">
        <v>139</v>
      </c>
      <c r="L95" s="147" t="s">
        <v>4142</v>
      </c>
      <c r="M95" s="148"/>
    </row>
    <row r="96" ht="15.75" customHeight="1">
      <c r="A96" s="146">
        <v>44.0</v>
      </c>
      <c r="B96" s="147" t="s">
        <v>6</v>
      </c>
      <c r="C96" s="147" t="s">
        <v>1614</v>
      </c>
      <c r="D96" s="147" t="s">
        <v>143</v>
      </c>
      <c r="E96" s="147" t="s">
        <v>135</v>
      </c>
      <c r="F96" s="147" t="s">
        <v>136</v>
      </c>
      <c r="G96" s="147" t="s">
        <v>1615</v>
      </c>
      <c r="H96" s="148"/>
      <c r="I96" s="147" t="s">
        <v>135</v>
      </c>
      <c r="J96" s="147" t="s">
        <v>1616</v>
      </c>
      <c r="K96" s="147" t="s">
        <v>139</v>
      </c>
      <c r="L96" s="147" t="s">
        <v>4142</v>
      </c>
      <c r="M96" s="148"/>
    </row>
    <row r="97" ht="15.75" customHeight="1">
      <c r="A97" s="146">
        <v>28.0</v>
      </c>
      <c r="B97" s="147" t="s">
        <v>7</v>
      </c>
      <c r="C97" s="147" t="s">
        <v>1617</v>
      </c>
      <c r="D97" s="147" t="s">
        <v>143</v>
      </c>
      <c r="E97" s="147" t="s">
        <v>136</v>
      </c>
      <c r="F97" s="147" t="s">
        <v>136</v>
      </c>
      <c r="G97" s="147" t="s">
        <v>1618</v>
      </c>
      <c r="H97" s="148"/>
      <c r="I97" s="147" t="s">
        <v>136</v>
      </c>
      <c r="J97" s="147" t="s">
        <v>1619</v>
      </c>
      <c r="K97" s="147" t="s">
        <v>139</v>
      </c>
      <c r="L97" s="147" t="s">
        <v>4142</v>
      </c>
      <c r="M97" s="147"/>
    </row>
    <row r="98" ht="15.75" customHeight="1">
      <c r="A98" s="146">
        <v>42.0</v>
      </c>
      <c r="B98" s="147" t="s">
        <v>6</v>
      </c>
      <c r="C98" s="147" t="s">
        <v>1620</v>
      </c>
      <c r="D98" s="147" t="s">
        <v>143</v>
      </c>
      <c r="E98" s="147" t="s">
        <v>135</v>
      </c>
      <c r="F98" s="147" t="s">
        <v>136</v>
      </c>
      <c r="G98" s="147" t="s">
        <v>1621</v>
      </c>
      <c r="H98" s="148"/>
      <c r="I98" s="147" t="s">
        <v>136</v>
      </c>
      <c r="J98" s="147" t="s">
        <v>1622</v>
      </c>
      <c r="K98" s="147" t="s">
        <v>139</v>
      </c>
      <c r="L98" s="147" t="s">
        <v>4142</v>
      </c>
      <c r="M98" s="147"/>
    </row>
    <row r="99" ht="15.75" customHeight="1">
      <c r="A99" s="146">
        <v>70.0</v>
      </c>
      <c r="B99" s="147" t="s">
        <v>7</v>
      </c>
      <c r="C99" s="147" t="s">
        <v>1492</v>
      </c>
      <c r="D99" s="147" t="s">
        <v>143</v>
      </c>
      <c r="E99" s="147" t="s">
        <v>136</v>
      </c>
      <c r="F99" s="147" t="s">
        <v>136</v>
      </c>
      <c r="G99" s="147" t="s">
        <v>1623</v>
      </c>
      <c r="H99" s="148"/>
      <c r="I99" s="147" t="s">
        <v>136</v>
      </c>
      <c r="J99" s="150">
        <v>45531.40277777778</v>
      </c>
      <c r="K99" s="147" t="s">
        <v>139</v>
      </c>
      <c r="L99" s="147" t="s">
        <v>4142</v>
      </c>
      <c r="M99" s="147"/>
    </row>
    <row r="100" ht="15.75" customHeight="1">
      <c r="A100" s="146">
        <v>46.0</v>
      </c>
      <c r="B100" s="147" t="s">
        <v>7</v>
      </c>
      <c r="C100" s="147" t="s">
        <v>787</v>
      </c>
      <c r="D100" s="147" t="s">
        <v>164</v>
      </c>
      <c r="E100" s="147" t="s">
        <v>135</v>
      </c>
      <c r="F100" s="147" t="s">
        <v>136</v>
      </c>
      <c r="G100" s="147" t="s">
        <v>1624</v>
      </c>
      <c r="H100" s="148"/>
      <c r="I100" s="147" t="s">
        <v>136</v>
      </c>
      <c r="J100" s="147" t="s">
        <v>1625</v>
      </c>
      <c r="K100" s="147" t="s">
        <v>139</v>
      </c>
      <c r="L100" s="147" t="s">
        <v>4142</v>
      </c>
      <c r="M100" s="148"/>
    </row>
    <row r="101" ht="15.75" customHeight="1">
      <c r="A101" s="146">
        <v>95.0</v>
      </c>
      <c r="B101" s="147" t="s">
        <v>7</v>
      </c>
      <c r="C101" s="147" t="s">
        <v>1626</v>
      </c>
      <c r="D101" s="147" t="s">
        <v>164</v>
      </c>
      <c r="E101" s="147" t="s">
        <v>135</v>
      </c>
      <c r="F101" s="147" t="s">
        <v>136</v>
      </c>
      <c r="G101" s="147" t="s">
        <v>1627</v>
      </c>
      <c r="H101" s="148"/>
      <c r="I101" s="147" t="s">
        <v>136</v>
      </c>
      <c r="J101" s="147" t="s">
        <v>1628</v>
      </c>
      <c r="K101" s="147" t="s">
        <v>139</v>
      </c>
      <c r="L101" s="147" t="s">
        <v>4142</v>
      </c>
      <c r="M101" s="147"/>
    </row>
    <row r="102" ht="15.75" customHeight="1">
      <c r="A102" s="146">
        <v>54.0</v>
      </c>
      <c r="B102" s="147" t="s">
        <v>7</v>
      </c>
      <c r="C102" s="147" t="s">
        <v>1489</v>
      </c>
      <c r="D102" s="147" t="s">
        <v>263</v>
      </c>
      <c r="E102" s="147" t="s">
        <v>136</v>
      </c>
      <c r="F102" s="147" t="s">
        <v>136</v>
      </c>
      <c r="G102" s="147" t="s">
        <v>1629</v>
      </c>
      <c r="H102" s="148"/>
      <c r="I102" s="147" t="s">
        <v>136</v>
      </c>
      <c r="J102" s="147" t="s">
        <v>1630</v>
      </c>
      <c r="K102" s="147" t="s">
        <v>139</v>
      </c>
      <c r="L102" s="147" t="s">
        <v>4142</v>
      </c>
      <c r="M102" s="148"/>
    </row>
    <row r="103" ht="15.75" customHeight="1">
      <c r="A103" s="146">
        <v>98.0</v>
      </c>
      <c r="B103" s="147" t="s">
        <v>6</v>
      </c>
      <c r="C103" s="147" t="s">
        <v>1631</v>
      </c>
      <c r="D103" s="147" t="s">
        <v>369</v>
      </c>
      <c r="E103" s="147" t="s">
        <v>136</v>
      </c>
      <c r="F103" s="147" t="s">
        <v>136</v>
      </c>
      <c r="G103" s="147" t="s">
        <v>1632</v>
      </c>
      <c r="H103" s="148"/>
      <c r="I103" s="147" t="s">
        <v>136</v>
      </c>
      <c r="J103" s="147" t="s">
        <v>1633</v>
      </c>
      <c r="K103" s="147" t="s">
        <v>139</v>
      </c>
      <c r="L103" s="147" t="s">
        <v>4142</v>
      </c>
      <c r="M103" s="147"/>
    </row>
    <row r="104" ht="15.75" customHeight="1">
      <c r="A104" s="146">
        <v>21.0</v>
      </c>
      <c r="B104" s="147" t="s">
        <v>6</v>
      </c>
      <c r="C104" s="147" t="s">
        <v>1411</v>
      </c>
      <c r="D104" s="147" t="s">
        <v>202</v>
      </c>
      <c r="E104" s="147" t="s">
        <v>136</v>
      </c>
      <c r="F104" s="147" t="s">
        <v>136</v>
      </c>
      <c r="G104" s="147" t="s">
        <v>1634</v>
      </c>
      <c r="H104" s="148"/>
      <c r="I104" s="147" t="s">
        <v>136</v>
      </c>
      <c r="J104" s="147" t="s">
        <v>1635</v>
      </c>
      <c r="K104" s="147" t="s">
        <v>139</v>
      </c>
      <c r="L104" s="147" t="s">
        <v>4142</v>
      </c>
      <c r="M104" s="147"/>
    </row>
    <row r="105" ht="15.75" customHeight="1">
      <c r="A105" s="146">
        <v>38.0</v>
      </c>
      <c r="B105" s="147" t="s">
        <v>6</v>
      </c>
      <c r="C105" s="147" t="s">
        <v>719</v>
      </c>
      <c r="D105" s="147" t="s">
        <v>143</v>
      </c>
      <c r="E105" s="147" t="s">
        <v>135</v>
      </c>
      <c r="F105" s="147" t="s">
        <v>136</v>
      </c>
      <c r="G105" s="147" t="s">
        <v>1636</v>
      </c>
      <c r="H105" s="148"/>
      <c r="I105" s="147" t="s">
        <v>136</v>
      </c>
      <c r="J105" s="147" t="s">
        <v>1637</v>
      </c>
      <c r="K105" s="147" t="s">
        <v>139</v>
      </c>
      <c r="L105" s="147" t="s">
        <v>4142</v>
      </c>
      <c r="M105" s="147"/>
    </row>
    <row r="106" ht="15.75" customHeight="1">
      <c r="A106" s="146">
        <v>84.0</v>
      </c>
      <c r="B106" s="147" t="s">
        <v>7</v>
      </c>
      <c r="C106" s="147" t="s">
        <v>1638</v>
      </c>
      <c r="D106" s="147" t="s">
        <v>164</v>
      </c>
      <c r="E106" s="147" t="s">
        <v>136</v>
      </c>
      <c r="F106" s="147" t="s">
        <v>136</v>
      </c>
      <c r="G106" s="147" t="s">
        <v>1639</v>
      </c>
      <c r="H106" s="148"/>
      <c r="I106" s="147" t="s">
        <v>136</v>
      </c>
      <c r="J106" s="150">
        <v>45533.58888888889</v>
      </c>
      <c r="K106" s="147" t="s">
        <v>139</v>
      </c>
      <c r="L106" s="147" t="s">
        <v>4142</v>
      </c>
      <c r="M106" s="147"/>
    </row>
    <row r="107" ht="15.75" customHeight="1">
      <c r="A107" s="146">
        <v>18.0</v>
      </c>
      <c r="B107" s="147" t="s">
        <v>7</v>
      </c>
      <c r="C107" s="147" t="s">
        <v>1640</v>
      </c>
      <c r="D107" s="147" t="s">
        <v>134</v>
      </c>
      <c r="E107" s="147" t="s">
        <v>135</v>
      </c>
      <c r="F107" s="147" t="s">
        <v>136</v>
      </c>
      <c r="G107" s="147" t="s">
        <v>1641</v>
      </c>
      <c r="H107" s="148"/>
      <c r="I107" s="147" t="s">
        <v>136</v>
      </c>
      <c r="J107" s="147" t="s">
        <v>1642</v>
      </c>
      <c r="K107" s="147" t="s">
        <v>139</v>
      </c>
      <c r="L107" s="147" t="s">
        <v>4142</v>
      </c>
      <c r="M107" s="147"/>
    </row>
    <row r="108" ht="15.75" customHeight="1">
      <c r="A108" s="146">
        <v>4.0</v>
      </c>
      <c r="B108" s="147" t="s">
        <v>7</v>
      </c>
      <c r="C108" s="147" t="s">
        <v>338</v>
      </c>
      <c r="D108" s="147" t="s">
        <v>143</v>
      </c>
      <c r="E108" s="147" t="s">
        <v>136</v>
      </c>
      <c r="F108" s="147" t="s">
        <v>136</v>
      </c>
      <c r="G108" s="147" t="s">
        <v>1643</v>
      </c>
      <c r="H108" s="148"/>
      <c r="I108" s="147" t="s">
        <v>136</v>
      </c>
      <c r="J108" s="147" t="s">
        <v>1431</v>
      </c>
      <c r="K108" s="147" t="s">
        <v>139</v>
      </c>
      <c r="L108" s="147" t="s">
        <v>4142</v>
      </c>
      <c r="M108" s="147"/>
    </row>
    <row r="109" ht="15.75" customHeight="1">
      <c r="A109" s="146">
        <v>78.0</v>
      </c>
      <c r="B109" s="147" t="s">
        <v>6</v>
      </c>
      <c r="C109" s="147" t="s">
        <v>1644</v>
      </c>
      <c r="D109" s="147" t="s">
        <v>143</v>
      </c>
      <c r="E109" s="147" t="s">
        <v>135</v>
      </c>
      <c r="F109" s="147" t="s">
        <v>136</v>
      </c>
      <c r="G109" s="147" t="s">
        <v>1645</v>
      </c>
      <c r="H109" s="148"/>
      <c r="I109" s="147" t="s">
        <v>135</v>
      </c>
      <c r="J109" s="150">
        <v>45531.88125</v>
      </c>
      <c r="K109" s="147" t="s">
        <v>139</v>
      </c>
      <c r="L109" s="147" t="s">
        <v>4142</v>
      </c>
      <c r="M109" s="147"/>
    </row>
    <row r="110" ht="15.75" customHeight="1">
      <c r="A110" s="146">
        <v>40.0</v>
      </c>
      <c r="B110" s="147" t="s">
        <v>6</v>
      </c>
      <c r="C110" s="147" t="s">
        <v>235</v>
      </c>
      <c r="D110" s="147" t="s">
        <v>164</v>
      </c>
      <c r="E110" s="147" t="s">
        <v>135</v>
      </c>
      <c r="F110" s="147" t="s">
        <v>136</v>
      </c>
      <c r="G110" s="147" t="s">
        <v>1646</v>
      </c>
      <c r="H110" s="148"/>
      <c r="I110" s="147" t="s">
        <v>136</v>
      </c>
      <c r="J110" s="147" t="s">
        <v>1647</v>
      </c>
      <c r="K110" s="147" t="s">
        <v>139</v>
      </c>
      <c r="L110" s="147" t="s">
        <v>4142</v>
      </c>
      <c r="M110" s="147"/>
    </row>
    <row r="111" ht="15.75" customHeight="1">
      <c r="A111" s="146">
        <v>59.0</v>
      </c>
      <c r="B111" s="147" t="s">
        <v>6</v>
      </c>
      <c r="C111" s="147" t="s">
        <v>315</v>
      </c>
      <c r="D111" s="147" t="s">
        <v>164</v>
      </c>
      <c r="E111" s="147" t="s">
        <v>136</v>
      </c>
      <c r="F111" s="147" t="s">
        <v>136</v>
      </c>
      <c r="G111" s="147" t="s">
        <v>1648</v>
      </c>
      <c r="H111" s="148"/>
      <c r="I111" s="147" t="s">
        <v>135</v>
      </c>
      <c r="J111" s="150">
        <v>45524.44861111111</v>
      </c>
      <c r="K111" s="147" t="s">
        <v>139</v>
      </c>
      <c r="L111" s="147" t="s">
        <v>4142</v>
      </c>
      <c r="M111" s="148"/>
    </row>
    <row r="112" ht="15.75" customHeight="1">
      <c r="A112" s="146">
        <v>96.0</v>
      </c>
      <c r="B112" s="147" t="s">
        <v>6</v>
      </c>
      <c r="C112" s="147" t="s">
        <v>1649</v>
      </c>
      <c r="D112" s="147" t="s">
        <v>134</v>
      </c>
      <c r="E112" s="147" t="s">
        <v>135</v>
      </c>
      <c r="F112" s="147" t="s">
        <v>136</v>
      </c>
      <c r="G112" s="147" t="s">
        <v>1650</v>
      </c>
      <c r="H112" s="148"/>
      <c r="I112" s="147" t="s">
        <v>136</v>
      </c>
      <c r="J112" s="147" t="s">
        <v>1651</v>
      </c>
      <c r="K112" s="147" t="s">
        <v>139</v>
      </c>
      <c r="L112" s="147" t="s">
        <v>4142</v>
      </c>
      <c r="M112" s="147"/>
    </row>
    <row r="113" ht="15.75" customHeight="1">
      <c r="A113" s="146">
        <v>33.0</v>
      </c>
      <c r="B113" s="147" t="s">
        <v>6</v>
      </c>
      <c r="C113" s="147" t="s">
        <v>1051</v>
      </c>
      <c r="D113" s="147" t="s">
        <v>214</v>
      </c>
      <c r="E113" s="147" t="s">
        <v>135</v>
      </c>
      <c r="F113" s="147" t="s">
        <v>136</v>
      </c>
      <c r="G113" s="147" t="s">
        <v>1652</v>
      </c>
      <c r="H113" s="148"/>
      <c r="I113" s="147" t="s">
        <v>136</v>
      </c>
      <c r="J113" s="147" t="s">
        <v>1653</v>
      </c>
      <c r="K113" s="147" t="s">
        <v>139</v>
      </c>
      <c r="L113" s="147" t="s">
        <v>4142</v>
      </c>
      <c r="M113" s="147"/>
    </row>
    <row r="114" ht="15.75" customHeight="1">
      <c r="A114" s="146">
        <v>91.0</v>
      </c>
      <c r="B114" s="147" t="s">
        <v>7</v>
      </c>
      <c r="C114" s="147" t="s">
        <v>1654</v>
      </c>
      <c r="D114" s="147" t="s">
        <v>263</v>
      </c>
      <c r="E114" s="147" t="s">
        <v>136</v>
      </c>
      <c r="F114" s="147" t="s">
        <v>136</v>
      </c>
      <c r="G114" s="147" t="s">
        <v>1655</v>
      </c>
      <c r="H114" s="148"/>
      <c r="I114" s="147" t="s">
        <v>136</v>
      </c>
      <c r="J114" s="150">
        <v>45535.78680555556</v>
      </c>
      <c r="K114" s="147" t="s">
        <v>139</v>
      </c>
      <c r="L114" s="147" t="s">
        <v>4142</v>
      </c>
      <c r="M114" s="147"/>
    </row>
    <row r="115" ht="15.75" customHeight="1">
      <c r="A115" s="146">
        <v>9.0</v>
      </c>
      <c r="B115" s="147" t="s">
        <v>7</v>
      </c>
      <c r="C115" s="147" t="s">
        <v>1656</v>
      </c>
      <c r="D115" s="147" t="s">
        <v>153</v>
      </c>
      <c r="E115" s="147" t="s">
        <v>135</v>
      </c>
      <c r="F115" s="147" t="s">
        <v>136</v>
      </c>
      <c r="G115" s="147" t="s">
        <v>1657</v>
      </c>
      <c r="H115" s="148"/>
      <c r="I115" s="147" t="s">
        <v>136</v>
      </c>
      <c r="J115" s="147" t="s">
        <v>1658</v>
      </c>
      <c r="K115" s="147" t="s">
        <v>139</v>
      </c>
      <c r="L115" s="147" t="s">
        <v>4142</v>
      </c>
      <c r="M115" s="147"/>
    </row>
    <row r="116" ht="15.75" customHeight="1">
      <c r="A116" s="146">
        <v>17.0</v>
      </c>
      <c r="B116" s="147" t="s">
        <v>6</v>
      </c>
      <c r="C116" s="147" t="s">
        <v>315</v>
      </c>
      <c r="D116" s="147" t="s">
        <v>164</v>
      </c>
      <c r="E116" s="147" t="s">
        <v>135</v>
      </c>
      <c r="F116" s="147" t="s">
        <v>136</v>
      </c>
      <c r="G116" s="149" t="s">
        <v>1659</v>
      </c>
      <c r="H116" s="148"/>
      <c r="I116" s="147" t="s">
        <v>135</v>
      </c>
      <c r="J116" s="147" t="s">
        <v>1660</v>
      </c>
      <c r="K116" s="147" t="s">
        <v>139</v>
      </c>
      <c r="L116" s="147" t="s">
        <v>4142</v>
      </c>
      <c r="M116" s="147"/>
    </row>
    <row r="117" ht="15.75" customHeight="1">
      <c r="A117" s="146">
        <v>41.0</v>
      </c>
      <c r="B117" s="147" t="s">
        <v>7</v>
      </c>
      <c r="C117" s="147" t="s">
        <v>1661</v>
      </c>
      <c r="D117" s="147" t="s">
        <v>143</v>
      </c>
      <c r="E117" s="147" t="s">
        <v>136</v>
      </c>
      <c r="F117" s="147" t="s">
        <v>136</v>
      </c>
      <c r="G117" s="147" t="s">
        <v>1662</v>
      </c>
      <c r="H117" s="148"/>
      <c r="I117" s="147" t="s">
        <v>136</v>
      </c>
      <c r="J117" s="147" t="s">
        <v>1663</v>
      </c>
      <c r="K117" s="147" t="s">
        <v>139</v>
      </c>
      <c r="L117" s="147" t="s">
        <v>4142</v>
      </c>
      <c r="M117" s="147"/>
    </row>
    <row r="118" ht="15.75" customHeight="1">
      <c r="A118" s="146">
        <v>31.0</v>
      </c>
      <c r="B118" s="147" t="s">
        <v>7</v>
      </c>
      <c r="C118" s="147" t="s">
        <v>1664</v>
      </c>
      <c r="D118" s="147" t="s">
        <v>164</v>
      </c>
      <c r="E118" s="147" t="s">
        <v>135</v>
      </c>
      <c r="F118" s="147" t="s">
        <v>136</v>
      </c>
      <c r="G118" s="147" t="s">
        <v>1665</v>
      </c>
      <c r="H118" s="148"/>
      <c r="I118" s="147" t="s">
        <v>136</v>
      </c>
      <c r="J118" s="147" t="s">
        <v>1666</v>
      </c>
      <c r="K118" s="147" t="s">
        <v>139</v>
      </c>
      <c r="L118" s="147" t="s">
        <v>4142</v>
      </c>
      <c r="M118" s="147"/>
    </row>
    <row r="119" ht="15.75" customHeight="1">
      <c r="A119" s="146">
        <v>25.0</v>
      </c>
      <c r="B119" s="147" t="s">
        <v>6</v>
      </c>
      <c r="C119" s="147" t="s">
        <v>973</v>
      </c>
      <c r="D119" s="147" t="s">
        <v>164</v>
      </c>
      <c r="E119" s="147" t="s">
        <v>135</v>
      </c>
      <c r="F119" s="147" t="s">
        <v>136</v>
      </c>
      <c r="G119" s="147" t="s">
        <v>1667</v>
      </c>
      <c r="H119" s="148"/>
      <c r="I119" s="147" t="s">
        <v>136</v>
      </c>
      <c r="J119" s="147" t="s">
        <v>1668</v>
      </c>
      <c r="K119" s="147" t="s">
        <v>139</v>
      </c>
      <c r="L119" s="147" t="s">
        <v>4142</v>
      </c>
      <c r="M119" s="147"/>
    </row>
    <row r="120" ht="15.75" customHeight="1">
      <c r="A120" s="146">
        <v>79.0</v>
      </c>
      <c r="B120" s="147" t="s">
        <v>7</v>
      </c>
      <c r="C120" s="147" t="s">
        <v>1669</v>
      </c>
      <c r="D120" s="151" t="s">
        <v>203</v>
      </c>
      <c r="E120" s="147" t="s">
        <v>135</v>
      </c>
      <c r="F120" s="147" t="s">
        <v>136</v>
      </c>
      <c r="G120" s="147" t="s">
        <v>1609</v>
      </c>
      <c r="H120" s="148"/>
      <c r="I120" s="147" t="s">
        <v>136</v>
      </c>
      <c r="J120" s="150">
        <v>45532.169444444444</v>
      </c>
      <c r="K120" s="147" t="s">
        <v>139</v>
      </c>
      <c r="L120" s="147" t="s">
        <v>4142</v>
      </c>
      <c r="M120" s="147"/>
    </row>
    <row r="121" ht="15.75" customHeight="1">
      <c r="A121" s="146">
        <v>66.0</v>
      </c>
      <c r="B121" s="147" t="s">
        <v>6</v>
      </c>
      <c r="C121" s="147" t="s">
        <v>315</v>
      </c>
      <c r="D121" s="147" t="s">
        <v>164</v>
      </c>
      <c r="E121" s="147" t="s">
        <v>135</v>
      </c>
      <c r="F121" s="147" t="s">
        <v>136</v>
      </c>
      <c r="G121" s="147" t="s">
        <v>1670</v>
      </c>
      <c r="H121" s="148"/>
      <c r="I121" s="147" t="s">
        <v>136</v>
      </c>
      <c r="J121" s="150">
        <v>45529.509722222225</v>
      </c>
      <c r="K121" s="147" t="s">
        <v>139</v>
      </c>
      <c r="L121" s="147" t="s">
        <v>4142</v>
      </c>
      <c r="M121" s="147"/>
    </row>
    <row r="122" ht="15.75" customHeight="1">
      <c r="A122" s="146">
        <v>22.0</v>
      </c>
      <c r="B122" s="147" t="s">
        <v>6</v>
      </c>
      <c r="C122" s="147" t="s">
        <v>1671</v>
      </c>
      <c r="D122" s="147" t="s">
        <v>203</v>
      </c>
      <c r="E122" s="147" t="s">
        <v>136</v>
      </c>
      <c r="F122" s="147" t="s">
        <v>136</v>
      </c>
      <c r="G122" s="147" t="s">
        <v>1672</v>
      </c>
      <c r="H122" s="148"/>
      <c r="I122" s="147" t="s">
        <v>136</v>
      </c>
      <c r="J122" s="147" t="s">
        <v>1673</v>
      </c>
      <c r="K122" s="147" t="s">
        <v>139</v>
      </c>
      <c r="L122" s="147" t="s">
        <v>4142</v>
      </c>
      <c r="M122" s="147"/>
    </row>
    <row r="123" ht="15.75" customHeight="1">
      <c r="A123" s="146">
        <v>94.0</v>
      </c>
      <c r="B123" s="147" t="s">
        <v>6</v>
      </c>
      <c r="C123" s="147" t="s">
        <v>1674</v>
      </c>
      <c r="D123" s="147" t="s">
        <v>134</v>
      </c>
      <c r="E123" s="147" t="s">
        <v>135</v>
      </c>
      <c r="F123" s="147" t="s">
        <v>136</v>
      </c>
      <c r="G123" s="147" t="s">
        <v>1675</v>
      </c>
      <c r="H123" s="148"/>
      <c r="I123" s="147" t="s">
        <v>136</v>
      </c>
      <c r="J123" s="147" t="s">
        <v>1676</v>
      </c>
      <c r="K123" s="147" t="s">
        <v>139</v>
      </c>
      <c r="L123" s="147" t="s">
        <v>4142</v>
      </c>
      <c r="M123" s="147"/>
    </row>
    <row r="124" ht="15.75" customHeight="1">
      <c r="A124" s="146">
        <v>29.0</v>
      </c>
      <c r="B124" s="147" t="s">
        <v>7</v>
      </c>
      <c r="C124" s="147" t="s">
        <v>633</v>
      </c>
      <c r="D124" s="147" t="s">
        <v>164</v>
      </c>
      <c r="E124" s="147" t="s">
        <v>135</v>
      </c>
      <c r="F124" s="147" t="s">
        <v>136</v>
      </c>
      <c r="G124" s="147" t="s">
        <v>1677</v>
      </c>
      <c r="H124" s="148"/>
      <c r="I124" s="147" t="s">
        <v>135</v>
      </c>
      <c r="J124" s="147" t="s">
        <v>1678</v>
      </c>
      <c r="K124" s="147" t="s">
        <v>139</v>
      </c>
      <c r="L124" s="147" t="s">
        <v>4142</v>
      </c>
      <c r="M124" s="147"/>
    </row>
    <row r="125" ht="15.75" customHeight="1">
      <c r="A125" s="146">
        <v>2.0</v>
      </c>
      <c r="B125" s="147" t="s">
        <v>6</v>
      </c>
      <c r="C125" s="147" t="s">
        <v>315</v>
      </c>
      <c r="D125" s="147" t="s">
        <v>164</v>
      </c>
      <c r="E125" s="147" t="s">
        <v>136</v>
      </c>
      <c r="F125" s="147" t="s">
        <v>136</v>
      </c>
      <c r="G125" s="147" t="s">
        <v>1679</v>
      </c>
      <c r="H125" s="148"/>
      <c r="I125" s="147" t="s">
        <v>135</v>
      </c>
      <c r="J125" s="147" t="s">
        <v>1680</v>
      </c>
      <c r="K125" s="147" t="s">
        <v>139</v>
      </c>
      <c r="L125" s="147" t="s">
        <v>4142</v>
      </c>
      <c r="M125" s="147"/>
    </row>
    <row r="126" ht="15.75" customHeight="1">
      <c r="A126" s="146">
        <v>8.0</v>
      </c>
      <c r="B126" s="147" t="s">
        <v>7</v>
      </c>
      <c r="C126" s="147" t="s">
        <v>379</v>
      </c>
      <c r="D126" s="147" t="s">
        <v>202</v>
      </c>
      <c r="E126" s="147" t="s">
        <v>136</v>
      </c>
      <c r="F126" s="147" t="s">
        <v>136</v>
      </c>
      <c r="G126" s="147" t="s">
        <v>1681</v>
      </c>
      <c r="H126" s="148"/>
      <c r="I126" s="147" t="s">
        <v>136</v>
      </c>
      <c r="J126" s="147" t="s">
        <v>1682</v>
      </c>
      <c r="K126" s="147" t="s">
        <v>139</v>
      </c>
      <c r="L126" s="147" t="s">
        <v>4142</v>
      </c>
      <c r="M126" s="147"/>
    </row>
    <row r="127" ht="15.75" customHeight="1">
      <c r="A127" s="146">
        <v>52.0</v>
      </c>
      <c r="B127" s="147" t="s">
        <v>7</v>
      </c>
      <c r="C127" s="147" t="s">
        <v>1683</v>
      </c>
      <c r="D127" s="147" t="s">
        <v>134</v>
      </c>
      <c r="E127" s="147" t="s">
        <v>136</v>
      </c>
      <c r="F127" s="147" t="s">
        <v>135</v>
      </c>
      <c r="G127" s="147" t="s">
        <v>1684</v>
      </c>
      <c r="H127" s="148"/>
      <c r="I127" s="147" t="s">
        <v>136</v>
      </c>
      <c r="J127" s="147" t="s">
        <v>1685</v>
      </c>
      <c r="K127" s="147" t="s">
        <v>139</v>
      </c>
      <c r="L127" s="147" t="s">
        <v>4142</v>
      </c>
      <c r="M127" s="148"/>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24.86"/>
  </cols>
  <sheetData>
    <row r="1" ht="14.25" customHeight="1">
      <c r="A1" s="305" t="s">
        <v>116</v>
      </c>
      <c r="B1" s="305" t="s">
        <v>117</v>
      </c>
      <c r="C1" s="305" t="s">
        <v>118</v>
      </c>
      <c r="D1" s="305" t="s">
        <v>119</v>
      </c>
      <c r="E1" s="305" t="s">
        <v>120</v>
      </c>
      <c r="F1" s="305" t="s">
        <v>121</v>
      </c>
      <c r="G1" s="305" t="s">
        <v>122</v>
      </c>
      <c r="H1" s="305" t="s">
        <v>4143</v>
      </c>
      <c r="I1" s="305"/>
      <c r="J1" s="305" t="s">
        <v>125</v>
      </c>
      <c r="K1" s="305" t="s">
        <v>126</v>
      </c>
      <c r="L1" s="305" t="s">
        <v>4144</v>
      </c>
      <c r="O1" s="123" t="s">
        <v>129</v>
      </c>
      <c r="P1" s="123" t="s">
        <v>130</v>
      </c>
      <c r="Q1" s="123" t="s">
        <v>131</v>
      </c>
    </row>
    <row r="2">
      <c r="A2" s="146">
        <v>38.0</v>
      </c>
      <c r="B2" s="147" t="s">
        <v>7</v>
      </c>
      <c r="C2" s="147" t="s">
        <v>913</v>
      </c>
      <c r="D2" s="147" t="s">
        <v>153</v>
      </c>
      <c r="E2" s="147" t="s">
        <v>136</v>
      </c>
      <c r="F2" s="147" t="s">
        <v>136</v>
      </c>
      <c r="G2" s="152" t="s">
        <v>650</v>
      </c>
      <c r="H2" s="148"/>
      <c r="I2" s="147"/>
      <c r="J2" s="147" t="s">
        <v>1686</v>
      </c>
      <c r="K2" s="147" t="s">
        <v>139</v>
      </c>
      <c r="L2" s="147" t="s">
        <v>4145</v>
      </c>
      <c r="O2" s="7" t="str">
        <f t="array" ref="O2:O28">UNIQUE(D2:D220)</f>
        <v>Turkey</v>
      </c>
      <c r="P2" s="7">
        <f t="shared" ref="P2:P27" si="1">COUNTIF(D$2:D$220,O2)</f>
        <v>5</v>
      </c>
      <c r="Q2" s="11" t="str">
        <f t="array" ref="Q2">XLOOKUP(O2,Countries!A$2:A$98,Countries!B$2:B$98,"tbd",0)</f>
        <v>associated countries</v>
      </c>
    </row>
    <row r="3">
      <c r="A3" s="146">
        <v>20.0</v>
      </c>
      <c r="B3" s="147" t="s">
        <v>7</v>
      </c>
      <c r="C3" s="147" t="s">
        <v>1687</v>
      </c>
      <c r="D3" s="147" t="s">
        <v>202</v>
      </c>
      <c r="E3" s="147" t="s">
        <v>135</v>
      </c>
      <c r="F3" s="147" t="s">
        <v>136</v>
      </c>
      <c r="G3" s="147" t="s">
        <v>137</v>
      </c>
      <c r="H3" s="148"/>
      <c r="I3" s="147"/>
      <c r="J3" s="147" t="s">
        <v>1688</v>
      </c>
      <c r="K3" s="147" t="s">
        <v>139</v>
      </c>
      <c r="L3" s="147" t="s">
        <v>4145</v>
      </c>
      <c r="O3" s="7" t="s">
        <v>202</v>
      </c>
      <c r="P3" s="7">
        <f t="shared" si="1"/>
        <v>6</v>
      </c>
      <c r="Q3" s="11" t="str">
        <f t="array" ref="Q3">XLOOKUP(O3,Countries!A$2:A$98,Countries!B$2:B$98,"tbd",0)</f>
        <v>Europe</v>
      </c>
    </row>
    <row r="4">
      <c r="A4" s="146">
        <v>4.0</v>
      </c>
      <c r="B4" s="147" t="s">
        <v>6</v>
      </c>
      <c r="C4" s="147" t="s">
        <v>1689</v>
      </c>
      <c r="D4" s="147" t="s">
        <v>176</v>
      </c>
      <c r="E4" s="147" t="s">
        <v>136</v>
      </c>
      <c r="F4" s="147" t="s">
        <v>136</v>
      </c>
      <c r="G4" s="147" t="s">
        <v>137</v>
      </c>
      <c r="H4" s="148"/>
      <c r="I4" s="147"/>
      <c r="J4" s="147" t="s">
        <v>1690</v>
      </c>
      <c r="K4" s="147" t="s">
        <v>139</v>
      </c>
      <c r="L4" s="147" t="s">
        <v>4145</v>
      </c>
      <c r="O4" s="54" t="s">
        <v>176</v>
      </c>
      <c r="P4" s="54">
        <f t="shared" si="1"/>
        <v>2</v>
      </c>
      <c r="Q4" s="142" t="str">
        <f t="array" ref="Q4">XLOOKUP(O4,Countries!A$2:A$98,Countries!B$2:B$98,"tbd",0)</f>
        <v>widening countries</v>
      </c>
    </row>
    <row r="5">
      <c r="A5" s="146">
        <v>40.0</v>
      </c>
      <c r="B5" s="147" t="s">
        <v>7</v>
      </c>
      <c r="C5" s="147" t="s">
        <v>1691</v>
      </c>
      <c r="D5" s="147" t="s">
        <v>153</v>
      </c>
      <c r="E5" s="147" t="s">
        <v>136</v>
      </c>
      <c r="F5" s="147" t="s">
        <v>136</v>
      </c>
      <c r="G5" s="147" t="s">
        <v>137</v>
      </c>
      <c r="H5" s="148"/>
      <c r="I5" s="147"/>
      <c r="J5" s="147" t="s">
        <v>1692</v>
      </c>
      <c r="K5" s="147" t="s">
        <v>139</v>
      </c>
      <c r="L5" s="147" t="s">
        <v>4145</v>
      </c>
      <c r="O5" s="217" t="s">
        <v>177</v>
      </c>
      <c r="P5" s="217">
        <f t="shared" si="1"/>
        <v>2</v>
      </c>
      <c r="Q5" s="218" t="str">
        <f t="array" ref="Q5">XLOOKUP(O5,Countries!A$2:A$98,Countries!B$2:B$98,"tbd",0)</f>
        <v>Africa</v>
      </c>
    </row>
    <row r="6">
      <c r="A6" s="146">
        <v>12.0</v>
      </c>
      <c r="B6" s="147" t="s">
        <v>7</v>
      </c>
      <c r="C6" s="147" t="s">
        <v>1510</v>
      </c>
      <c r="D6" s="147" t="s">
        <v>177</v>
      </c>
      <c r="E6" s="147" t="s">
        <v>135</v>
      </c>
      <c r="F6" s="147" t="s">
        <v>136</v>
      </c>
      <c r="G6" s="147" t="s">
        <v>349</v>
      </c>
      <c r="H6" s="148"/>
      <c r="I6" s="147"/>
      <c r="J6" s="147" t="s">
        <v>1693</v>
      </c>
      <c r="K6" s="147" t="s">
        <v>139</v>
      </c>
      <c r="L6" s="147" t="s">
        <v>4145</v>
      </c>
      <c r="O6" s="7" t="s">
        <v>187</v>
      </c>
      <c r="P6" s="7">
        <f t="shared" si="1"/>
        <v>4</v>
      </c>
      <c r="Q6" s="11" t="str">
        <f t="array" ref="Q6">XLOOKUP(O6,Countries!A$2:A$98,Countries!B$2:B$98,"tbd",0)</f>
        <v>Europe</v>
      </c>
    </row>
    <row r="7">
      <c r="A7" s="146">
        <v>2.0</v>
      </c>
      <c r="B7" s="147" t="s">
        <v>7</v>
      </c>
      <c r="C7" s="147" t="s">
        <v>1694</v>
      </c>
      <c r="D7" s="147" t="s">
        <v>187</v>
      </c>
      <c r="E7" s="147" t="s">
        <v>136</v>
      </c>
      <c r="F7" s="147" t="s">
        <v>136</v>
      </c>
      <c r="G7" s="147" t="s">
        <v>221</v>
      </c>
      <c r="H7" s="148"/>
      <c r="I7" s="147"/>
      <c r="J7" s="147" t="s">
        <v>1695</v>
      </c>
      <c r="K7" s="147" t="s">
        <v>139</v>
      </c>
      <c r="L7" s="147" t="s">
        <v>4145</v>
      </c>
      <c r="O7" s="7" t="s">
        <v>164</v>
      </c>
      <c r="P7" s="7">
        <f t="shared" si="1"/>
        <v>5</v>
      </c>
      <c r="Q7" s="11" t="str">
        <f t="array" ref="Q7">XLOOKUP(O7,Countries!A$2:A$98,Countries!B$2:B$98,"tbd",0)</f>
        <v>Europe</v>
      </c>
    </row>
    <row r="8">
      <c r="A8" s="146">
        <v>37.0</v>
      </c>
      <c r="B8" s="147" t="s">
        <v>7</v>
      </c>
      <c r="C8" s="147" t="s">
        <v>1696</v>
      </c>
      <c r="D8" s="147" t="s">
        <v>164</v>
      </c>
      <c r="E8" s="147" t="s">
        <v>136</v>
      </c>
      <c r="F8" s="147" t="s">
        <v>136</v>
      </c>
      <c r="G8" s="147" t="s">
        <v>137</v>
      </c>
      <c r="H8" s="148"/>
      <c r="I8" s="147"/>
      <c r="J8" s="147" t="s">
        <v>1697</v>
      </c>
      <c r="K8" s="147" t="s">
        <v>139</v>
      </c>
      <c r="L8" s="147" t="s">
        <v>4145</v>
      </c>
      <c r="O8" s="54" t="s">
        <v>398</v>
      </c>
      <c r="P8" s="54">
        <f t="shared" si="1"/>
        <v>4</v>
      </c>
      <c r="Q8" s="142" t="str">
        <f t="array" ref="Q8">XLOOKUP(O8,Countries!A$2:A$98,Countries!B$2:B$98,"tbd",0)</f>
        <v>widening countries</v>
      </c>
    </row>
    <row r="9">
      <c r="A9" s="146">
        <v>14.0</v>
      </c>
      <c r="B9" s="147" t="s">
        <v>6</v>
      </c>
      <c r="C9" s="147" t="s">
        <v>1698</v>
      </c>
      <c r="D9" s="147" t="s">
        <v>202</v>
      </c>
      <c r="E9" s="147" t="s">
        <v>136</v>
      </c>
      <c r="F9" s="147" t="s">
        <v>136</v>
      </c>
      <c r="G9" s="147" t="s">
        <v>221</v>
      </c>
      <c r="H9" s="148"/>
      <c r="I9" s="147"/>
      <c r="J9" s="147" t="s">
        <v>1699</v>
      </c>
      <c r="K9" s="147" t="s">
        <v>139</v>
      </c>
      <c r="L9" s="147" t="s">
        <v>4145</v>
      </c>
      <c r="O9" s="7" t="s">
        <v>268</v>
      </c>
      <c r="P9" s="7">
        <f t="shared" si="1"/>
        <v>2</v>
      </c>
      <c r="Q9" s="11" t="str">
        <f t="array" ref="Q9">XLOOKUP(O9,Countries!A$2:A$98,Countries!B$2:B$98,"tbd",0)</f>
        <v>associated countries</v>
      </c>
    </row>
    <row r="10">
      <c r="A10" s="146">
        <v>35.0</v>
      </c>
      <c r="B10" s="147" t="s">
        <v>7</v>
      </c>
      <c r="C10" s="147" t="s">
        <v>179</v>
      </c>
      <c r="D10" s="147" t="s">
        <v>153</v>
      </c>
      <c r="E10" s="147" t="s">
        <v>136</v>
      </c>
      <c r="F10" s="147" t="s">
        <v>136</v>
      </c>
      <c r="G10" s="147" t="s">
        <v>137</v>
      </c>
      <c r="H10" s="148"/>
      <c r="I10" s="147"/>
      <c r="J10" s="147" t="s">
        <v>1700</v>
      </c>
      <c r="K10" s="147" t="s">
        <v>139</v>
      </c>
      <c r="L10" s="147" t="s">
        <v>4145</v>
      </c>
      <c r="O10" s="217" t="s">
        <v>296</v>
      </c>
      <c r="P10" s="217">
        <f t="shared" si="1"/>
        <v>1</v>
      </c>
      <c r="Q10" s="218" t="str">
        <f t="array" ref="Q10">XLOOKUP(O10,Countries!A$2:A$98,Countries!B$2:B$98,"tbd",0)</f>
        <v>Middle East</v>
      </c>
    </row>
    <row r="11">
      <c r="A11" s="146">
        <v>9.0</v>
      </c>
      <c r="B11" s="147" t="s">
        <v>7</v>
      </c>
      <c r="C11" s="147" t="s">
        <v>1701</v>
      </c>
      <c r="D11" s="147" t="s">
        <v>398</v>
      </c>
      <c r="E11" s="147" t="s">
        <v>136</v>
      </c>
      <c r="F11" s="147" t="s">
        <v>136</v>
      </c>
      <c r="G11" s="147" t="s">
        <v>137</v>
      </c>
      <c r="H11" s="148"/>
      <c r="I11" s="147"/>
      <c r="J11" s="147" t="s">
        <v>1702</v>
      </c>
      <c r="K11" s="147" t="s">
        <v>139</v>
      </c>
      <c r="L11" s="147" t="s">
        <v>4145</v>
      </c>
      <c r="O11" s="54" t="s">
        <v>223</v>
      </c>
      <c r="P11" s="54">
        <f t="shared" si="1"/>
        <v>4</v>
      </c>
      <c r="Q11" s="142" t="str">
        <f t="array" ref="Q11">XLOOKUP(O11,Countries!A$2:A$98,Countries!B$2:B$98,"tbd",0)</f>
        <v>widening countries</v>
      </c>
    </row>
    <row r="12">
      <c r="A12" s="146">
        <v>25.0</v>
      </c>
      <c r="B12" s="147" t="s">
        <v>6</v>
      </c>
      <c r="C12" s="147" t="s">
        <v>1703</v>
      </c>
      <c r="D12" s="147" t="s">
        <v>268</v>
      </c>
      <c r="E12" s="147" t="s">
        <v>136</v>
      </c>
      <c r="F12" s="147" t="s">
        <v>136</v>
      </c>
      <c r="G12" s="147" t="s">
        <v>137</v>
      </c>
      <c r="H12" s="148"/>
      <c r="I12" s="147"/>
      <c r="J12" s="147" t="s">
        <v>1704</v>
      </c>
      <c r="K12" s="147" t="s">
        <v>139</v>
      </c>
      <c r="L12" s="147" t="s">
        <v>4145</v>
      </c>
      <c r="O12" s="54" t="s">
        <v>213</v>
      </c>
      <c r="P12" s="54">
        <f t="shared" si="1"/>
        <v>7</v>
      </c>
      <c r="Q12" s="142" t="str">
        <f t="array" ref="Q12">XLOOKUP(O12,Countries!A$2:A$98,Countries!B$2:B$98,"tbd",0)</f>
        <v>widening countries</v>
      </c>
    </row>
    <row r="13">
      <c r="A13" s="146">
        <v>45.0</v>
      </c>
      <c r="B13" s="147" t="s">
        <v>6</v>
      </c>
      <c r="C13" s="147" t="s">
        <v>1565</v>
      </c>
      <c r="D13" s="147" t="s">
        <v>296</v>
      </c>
      <c r="E13" s="147" t="s">
        <v>136</v>
      </c>
      <c r="F13" s="147" t="s">
        <v>136</v>
      </c>
      <c r="G13" s="147" t="s">
        <v>479</v>
      </c>
      <c r="H13" s="148"/>
      <c r="I13" s="147"/>
      <c r="J13" s="147" t="s">
        <v>1705</v>
      </c>
      <c r="K13" s="147" t="s">
        <v>139</v>
      </c>
      <c r="L13" s="147" t="s">
        <v>4145</v>
      </c>
      <c r="O13" s="7" t="s">
        <v>302</v>
      </c>
      <c r="P13" s="7">
        <f t="shared" si="1"/>
        <v>5</v>
      </c>
      <c r="Q13" s="11" t="str">
        <f t="array" ref="Q13">XLOOKUP(O13,Countries!A$2:A$98,Countries!B$2:B$98,"tbd",0)</f>
        <v>associated countries</v>
      </c>
    </row>
    <row r="14">
      <c r="A14" s="146">
        <v>41.0</v>
      </c>
      <c r="B14" s="147" t="s">
        <v>7</v>
      </c>
      <c r="C14" s="147" t="s">
        <v>1706</v>
      </c>
      <c r="D14" s="147" t="s">
        <v>153</v>
      </c>
      <c r="E14" s="147" t="s">
        <v>135</v>
      </c>
      <c r="F14" s="147" t="s">
        <v>136</v>
      </c>
      <c r="G14" s="147" t="s">
        <v>137</v>
      </c>
      <c r="H14" s="147" t="s">
        <v>1707</v>
      </c>
      <c r="I14" s="147"/>
      <c r="J14" s="147" t="s">
        <v>1708</v>
      </c>
      <c r="K14" s="147" t="s">
        <v>139</v>
      </c>
      <c r="L14" s="147" t="s">
        <v>4145</v>
      </c>
      <c r="O14" s="7" t="s">
        <v>209</v>
      </c>
      <c r="P14" s="7">
        <f t="shared" si="1"/>
        <v>1</v>
      </c>
      <c r="Q14" s="11" t="str">
        <f t="array" ref="Q14">XLOOKUP(O14,Countries!A$2:A$98,Countries!B$2:B$98,"tbd",0)</f>
        <v>associated countries</v>
      </c>
    </row>
    <row r="15">
      <c r="A15" s="146">
        <v>26.0</v>
      </c>
      <c r="B15" s="147" t="s">
        <v>6</v>
      </c>
      <c r="C15" s="147" t="s">
        <v>1709</v>
      </c>
      <c r="D15" s="147" t="s">
        <v>223</v>
      </c>
      <c r="E15" s="147" t="s">
        <v>136</v>
      </c>
      <c r="F15" s="147" t="s">
        <v>136</v>
      </c>
      <c r="G15" s="147" t="s">
        <v>137</v>
      </c>
      <c r="H15" s="148"/>
      <c r="I15" s="147"/>
      <c r="J15" s="147" t="s">
        <v>1710</v>
      </c>
      <c r="K15" s="147" t="s">
        <v>139</v>
      </c>
      <c r="L15" s="147" t="s">
        <v>4145</v>
      </c>
      <c r="O15" s="7" t="s">
        <v>143</v>
      </c>
      <c r="P15" s="7">
        <f t="shared" si="1"/>
        <v>9</v>
      </c>
      <c r="Q15" s="11" t="str">
        <f t="array" ref="Q15">XLOOKUP(O15,Countries!A$2:A$98,Countries!B$2:B$98,"tbd",0)</f>
        <v>Europe</v>
      </c>
    </row>
    <row r="16">
      <c r="A16" s="146">
        <v>33.0</v>
      </c>
      <c r="B16" s="147" t="s">
        <v>6</v>
      </c>
      <c r="C16" s="147" t="s">
        <v>1398</v>
      </c>
      <c r="D16" s="147" t="s">
        <v>213</v>
      </c>
      <c r="E16" s="147" t="s">
        <v>136</v>
      </c>
      <c r="F16" s="147" t="s">
        <v>136</v>
      </c>
      <c r="G16" s="147" t="s">
        <v>335</v>
      </c>
      <c r="H16" s="148"/>
      <c r="I16" s="147"/>
      <c r="J16" s="147" t="s">
        <v>1711</v>
      </c>
      <c r="K16" s="147" t="s">
        <v>139</v>
      </c>
      <c r="L16" s="147" t="s">
        <v>4145</v>
      </c>
      <c r="O16" s="54" t="s">
        <v>228</v>
      </c>
      <c r="P16" s="54">
        <f t="shared" si="1"/>
        <v>2</v>
      </c>
      <c r="Q16" s="142" t="str">
        <f t="array" ref="Q16">XLOOKUP(O16,Countries!A$2:A$98,Countries!B$2:B$98,"tbd",0)</f>
        <v>widening countries</v>
      </c>
    </row>
    <row r="17">
      <c r="A17" s="146">
        <v>8.0</v>
      </c>
      <c r="B17" s="147" t="s">
        <v>6</v>
      </c>
      <c r="C17" s="147" t="s">
        <v>1712</v>
      </c>
      <c r="D17" s="147" t="s">
        <v>302</v>
      </c>
      <c r="E17" s="147" t="s">
        <v>136</v>
      </c>
      <c r="F17" s="147" t="s">
        <v>136</v>
      </c>
      <c r="G17" s="152" t="s">
        <v>157</v>
      </c>
      <c r="H17" s="148"/>
      <c r="I17" s="147"/>
      <c r="J17" s="147" t="s">
        <v>1713</v>
      </c>
      <c r="K17" s="147" t="s">
        <v>139</v>
      </c>
      <c r="L17" s="147" t="s">
        <v>4145</v>
      </c>
      <c r="O17" s="7" t="s">
        <v>331</v>
      </c>
      <c r="P17" s="7">
        <f t="shared" si="1"/>
        <v>1</v>
      </c>
      <c r="Q17" s="11" t="str">
        <f t="array" ref="Q17">XLOOKUP(O17,Countries!A$2:A$98,Countries!B$2:B$98,"tbd",0)</f>
        <v>Europe</v>
      </c>
    </row>
    <row r="18">
      <c r="A18" s="146">
        <v>39.0</v>
      </c>
      <c r="B18" s="147" t="s">
        <v>6</v>
      </c>
      <c r="C18" s="147" t="s">
        <v>211</v>
      </c>
      <c r="D18" s="147" t="s">
        <v>176</v>
      </c>
      <c r="E18" s="147" t="s">
        <v>136</v>
      </c>
      <c r="F18" s="147" t="s">
        <v>136</v>
      </c>
      <c r="G18" s="147" t="s">
        <v>137</v>
      </c>
      <c r="H18" s="148"/>
      <c r="I18" s="147"/>
      <c r="J18" s="147" t="s">
        <v>1714</v>
      </c>
      <c r="K18" s="147" t="s">
        <v>139</v>
      </c>
      <c r="L18" s="147" t="s">
        <v>4145</v>
      </c>
      <c r="O18" s="217" t="s">
        <v>243</v>
      </c>
      <c r="P18" s="217">
        <f t="shared" si="1"/>
        <v>1</v>
      </c>
      <c r="Q18" s="218" t="str">
        <f t="array" ref="Q18">XLOOKUP(O18,Countries!A$2:A$98,Countries!B$2:B$98,"tbd",0)</f>
        <v>Middle East</v>
      </c>
    </row>
    <row r="19">
      <c r="A19" s="146">
        <v>19.0</v>
      </c>
      <c r="B19" s="147" t="s">
        <v>6</v>
      </c>
      <c r="C19" s="147" t="s">
        <v>1715</v>
      </c>
      <c r="D19" s="147" t="s">
        <v>164</v>
      </c>
      <c r="E19" s="147" t="s">
        <v>136</v>
      </c>
      <c r="F19" s="147" t="s">
        <v>136</v>
      </c>
      <c r="G19" s="149" t="s">
        <v>4146</v>
      </c>
      <c r="H19" s="148"/>
      <c r="I19" s="147"/>
      <c r="J19" s="147" t="s">
        <v>1717</v>
      </c>
      <c r="K19" s="147" t="s">
        <v>139</v>
      </c>
      <c r="L19" s="147" t="s">
        <v>4145</v>
      </c>
      <c r="O19" s="7" t="s">
        <v>197</v>
      </c>
      <c r="P19" s="7">
        <f t="shared" si="1"/>
        <v>1</v>
      </c>
      <c r="Q19" s="11" t="str">
        <f t="array" ref="Q19">XLOOKUP(O19,Countries!A$2:A$98,Countries!B$2:B$98,"tbd",0)</f>
        <v>Europe</v>
      </c>
    </row>
    <row r="20">
      <c r="A20" s="146">
        <v>15.0</v>
      </c>
      <c r="B20" s="147" t="s">
        <v>6</v>
      </c>
      <c r="C20" s="147" t="s">
        <v>1718</v>
      </c>
      <c r="D20" s="147" t="s">
        <v>209</v>
      </c>
      <c r="E20" s="147" t="s">
        <v>135</v>
      </c>
      <c r="F20" s="147" t="s">
        <v>136</v>
      </c>
      <c r="G20" s="147" t="s">
        <v>157</v>
      </c>
      <c r="H20" s="148"/>
      <c r="I20" s="147"/>
      <c r="J20" s="147" t="s">
        <v>1719</v>
      </c>
      <c r="K20" s="147" t="s">
        <v>139</v>
      </c>
      <c r="L20" s="147" t="s">
        <v>4145</v>
      </c>
      <c r="O20" s="217" t="s">
        <v>255</v>
      </c>
      <c r="P20" s="217">
        <f t="shared" si="1"/>
        <v>1</v>
      </c>
      <c r="Q20" s="218" t="str">
        <f t="array" ref="Q20">XLOOKUP(O20,Countries!A$2:A$98,Countries!B$2:B$98,"tbd",0)</f>
        <v>Asia</v>
      </c>
    </row>
    <row r="21">
      <c r="A21" s="146">
        <v>17.0</v>
      </c>
      <c r="B21" s="147" t="s">
        <v>6</v>
      </c>
      <c r="C21" s="147" t="s">
        <v>1720</v>
      </c>
      <c r="D21" s="147" t="s">
        <v>202</v>
      </c>
      <c r="E21" s="147" t="s">
        <v>136</v>
      </c>
      <c r="F21" s="147" t="s">
        <v>136</v>
      </c>
      <c r="G21" s="149" t="s">
        <v>4147</v>
      </c>
      <c r="H21" s="148"/>
      <c r="I21" s="147"/>
      <c r="J21" s="147" t="s">
        <v>1722</v>
      </c>
      <c r="K21" s="147" t="s">
        <v>139</v>
      </c>
      <c r="L21" s="147" t="s">
        <v>4145</v>
      </c>
      <c r="O21" s="217" t="s">
        <v>166</v>
      </c>
      <c r="P21" s="217">
        <f t="shared" si="1"/>
        <v>1</v>
      </c>
      <c r="Q21" s="218" t="str">
        <f t="array" ref="Q21">XLOOKUP(O21,Countries!A$2:A$98,Countries!B$2:B$98,"tbd",0)</f>
        <v>Oceania</v>
      </c>
    </row>
    <row r="22">
      <c r="A22" s="146">
        <v>28.0</v>
      </c>
      <c r="B22" s="147" t="s">
        <v>6</v>
      </c>
      <c r="C22" s="147" t="s">
        <v>1709</v>
      </c>
      <c r="D22" s="147" t="s">
        <v>223</v>
      </c>
      <c r="E22" s="147" t="s">
        <v>136</v>
      </c>
      <c r="F22" s="147" t="s">
        <v>136</v>
      </c>
      <c r="G22" s="147" t="s">
        <v>969</v>
      </c>
      <c r="H22" s="147" t="s">
        <v>1723</v>
      </c>
      <c r="I22" s="147"/>
      <c r="J22" s="147" t="s">
        <v>1724</v>
      </c>
      <c r="K22" s="147" t="s">
        <v>139</v>
      </c>
      <c r="L22" s="147" t="s">
        <v>4145</v>
      </c>
      <c r="O22" s="7" t="s">
        <v>248</v>
      </c>
      <c r="P22" s="7">
        <f t="shared" si="1"/>
        <v>1</v>
      </c>
      <c r="Q22" s="11" t="str">
        <f t="array" ref="Q22">XLOOKUP(O22,Countries!A$2:A$98,Countries!B$2:B$98,"tbd",0)</f>
        <v>Europe</v>
      </c>
    </row>
    <row r="23">
      <c r="A23" s="146">
        <v>44.0</v>
      </c>
      <c r="B23" s="147" t="s">
        <v>7</v>
      </c>
      <c r="C23" s="147" t="s">
        <v>1725</v>
      </c>
      <c r="D23" s="147" t="s">
        <v>153</v>
      </c>
      <c r="E23" s="147" t="s">
        <v>135</v>
      </c>
      <c r="F23" s="147" t="s">
        <v>135</v>
      </c>
      <c r="G23" s="147" t="s">
        <v>157</v>
      </c>
      <c r="H23" s="148"/>
      <c r="I23" s="147"/>
      <c r="J23" s="147" t="s">
        <v>1726</v>
      </c>
      <c r="K23" s="147" t="s">
        <v>139</v>
      </c>
      <c r="L23" s="147" t="s">
        <v>4145</v>
      </c>
      <c r="O23" s="54" t="s">
        <v>233</v>
      </c>
      <c r="P23" s="54">
        <f t="shared" si="1"/>
        <v>1</v>
      </c>
      <c r="Q23" s="142" t="str">
        <f t="array" ref="Q23">XLOOKUP(O23,Countries!A$2:A$98,Countries!B$2:B$98,"tbd",0)</f>
        <v>widening countries</v>
      </c>
    </row>
    <row r="24">
      <c r="A24" s="146">
        <v>23.0</v>
      </c>
      <c r="B24" s="147" t="s">
        <v>7</v>
      </c>
      <c r="C24" s="147" t="s">
        <v>338</v>
      </c>
      <c r="D24" s="147" t="s">
        <v>143</v>
      </c>
      <c r="E24" s="147" t="s">
        <v>136</v>
      </c>
      <c r="F24" s="147" t="s">
        <v>136</v>
      </c>
      <c r="G24" s="147" t="s">
        <v>150</v>
      </c>
      <c r="H24" s="148"/>
      <c r="I24" s="147"/>
      <c r="J24" s="147" t="s">
        <v>1727</v>
      </c>
      <c r="K24" s="147" t="s">
        <v>139</v>
      </c>
      <c r="L24" s="147" t="s">
        <v>4145</v>
      </c>
      <c r="O24" s="7" t="s">
        <v>159</v>
      </c>
      <c r="P24" s="7">
        <f t="shared" si="1"/>
        <v>2</v>
      </c>
      <c r="Q24" s="11" t="str">
        <f t="array" ref="Q24">XLOOKUP(O24,Countries!A$2:A$98,Countries!B$2:B$98,"tbd",0)</f>
        <v>associated countries</v>
      </c>
    </row>
    <row r="25">
      <c r="A25" s="146">
        <v>31.0</v>
      </c>
      <c r="B25" s="147" t="s">
        <v>6</v>
      </c>
      <c r="C25" s="147" t="s">
        <v>1728</v>
      </c>
      <c r="D25" s="147" t="s">
        <v>228</v>
      </c>
      <c r="E25" s="147" t="s">
        <v>136</v>
      </c>
      <c r="F25" s="147" t="s">
        <v>136</v>
      </c>
      <c r="G25" s="147" t="s">
        <v>137</v>
      </c>
      <c r="H25" s="148"/>
      <c r="I25" s="147"/>
      <c r="J25" s="147" t="s">
        <v>1729</v>
      </c>
      <c r="K25" s="147" t="s">
        <v>139</v>
      </c>
      <c r="L25" s="147" t="s">
        <v>4145</v>
      </c>
      <c r="O25" s="7" t="s">
        <v>134</v>
      </c>
      <c r="P25" s="7">
        <f t="shared" si="1"/>
        <v>2</v>
      </c>
      <c r="Q25" s="11" t="str">
        <f t="array" ref="Q25">XLOOKUP(O25,Countries!A$2:A$98,Countries!B$2:B$98,"tbd",0)</f>
        <v>Europe</v>
      </c>
    </row>
    <row r="26">
      <c r="A26" s="146">
        <v>36.0</v>
      </c>
      <c r="B26" s="147" t="s">
        <v>7</v>
      </c>
      <c r="C26" s="147" t="s">
        <v>379</v>
      </c>
      <c r="D26" s="147" t="s">
        <v>202</v>
      </c>
      <c r="E26" s="147" t="s">
        <v>136</v>
      </c>
      <c r="F26" s="147" t="s">
        <v>136</v>
      </c>
      <c r="G26" s="147" t="s">
        <v>395</v>
      </c>
      <c r="H26" s="147" t="s">
        <v>1730</v>
      </c>
      <c r="I26" s="147"/>
      <c r="J26" s="147" t="s">
        <v>1731</v>
      </c>
      <c r="K26" s="147" t="s">
        <v>139</v>
      </c>
      <c r="L26" s="147" t="s">
        <v>4145</v>
      </c>
      <c r="O26" s="7" t="s">
        <v>291</v>
      </c>
      <c r="P26" s="7">
        <f t="shared" si="1"/>
        <v>1</v>
      </c>
      <c r="Q26" s="11" t="str">
        <f t="array" ref="Q26">XLOOKUP(O26,Countries!A$2:A$98,Countries!B$2:B$98,"tbd",0)</f>
        <v>associated countries</v>
      </c>
    </row>
    <row r="27">
      <c r="A27" s="146">
        <v>10.0</v>
      </c>
      <c r="B27" s="147" t="s">
        <v>6</v>
      </c>
      <c r="C27" s="147" t="s">
        <v>1732</v>
      </c>
      <c r="D27" s="147" t="s">
        <v>302</v>
      </c>
      <c r="E27" s="147" t="s">
        <v>135</v>
      </c>
      <c r="F27" s="147" t="s">
        <v>136</v>
      </c>
      <c r="G27" s="147" t="s">
        <v>271</v>
      </c>
      <c r="H27" s="148"/>
      <c r="I27" s="147"/>
      <c r="J27" s="147" t="s">
        <v>1733</v>
      </c>
      <c r="K27" s="147" t="s">
        <v>139</v>
      </c>
      <c r="L27" s="147" t="s">
        <v>4145</v>
      </c>
      <c r="O27" s="217" t="s">
        <v>263</v>
      </c>
      <c r="P27" s="217">
        <f t="shared" si="1"/>
        <v>3</v>
      </c>
      <c r="Q27" s="218" t="str">
        <f t="array" ref="Q27">XLOOKUP(O27,Countries!A$2:A$98,Countries!B$2:B$98,"tbd",0)</f>
        <v>U.S. + Canada</v>
      </c>
    </row>
    <row r="28">
      <c r="A28" s="146">
        <v>22.0</v>
      </c>
      <c r="B28" s="147" t="s">
        <v>7</v>
      </c>
      <c r="C28" s="147" t="s">
        <v>1734</v>
      </c>
      <c r="D28" s="147" t="s">
        <v>143</v>
      </c>
      <c r="E28" s="147" t="s">
        <v>136</v>
      </c>
      <c r="F28" s="147" t="s">
        <v>136</v>
      </c>
      <c r="G28" s="147" t="s">
        <v>137</v>
      </c>
      <c r="H28" s="148"/>
      <c r="I28" s="147"/>
      <c r="J28" s="147" t="s">
        <v>1735</v>
      </c>
      <c r="K28" s="147" t="s">
        <v>139</v>
      </c>
      <c r="L28" s="147" t="s">
        <v>4145</v>
      </c>
      <c r="O28" s="7"/>
    </row>
    <row r="29">
      <c r="A29" s="146">
        <v>29.0</v>
      </c>
      <c r="B29" s="147" t="s">
        <v>6</v>
      </c>
      <c r="C29" s="147" t="s">
        <v>1736</v>
      </c>
      <c r="D29" s="147" t="s">
        <v>223</v>
      </c>
      <c r="E29" s="147" t="s">
        <v>136</v>
      </c>
      <c r="F29" s="147" t="s">
        <v>136</v>
      </c>
      <c r="G29" s="147" t="s">
        <v>137</v>
      </c>
      <c r="H29" s="148"/>
      <c r="I29" s="147"/>
      <c r="J29" s="147" t="s">
        <v>1724</v>
      </c>
      <c r="K29" s="147" t="s">
        <v>139</v>
      </c>
      <c r="L29" s="147" t="s">
        <v>4145</v>
      </c>
    </row>
    <row r="30">
      <c r="A30" s="146">
        <v>13.0</v>
      </c>
      <c r="B30" s="147" t="s">
        <v>7</v>
      </c>
      <c r="C30" s="147" t="s">
        <v>1737</v>
      </c>
      <c r="D30" s="147" t="s">
        <v>302</v>
      </c>
      <c r="E30" s="147" t="s">
        <v>135</v>
      </c>
      <c r="F30" s="147" t="s">
        <v>136</v>
      </c>
      <c r="G30" s="147" t="s">
        <v>157</v>
      </c>
      <c r="H30" s="148"/>
      <c r="I30" s="147"/>
      <c r="J30" s="147" t="s">
        <v>1738</v>
      </c>
      <c r="K30" s="147" t="s">
        <v>139</v>
      </c>
      <c r="L30" s="147" t="s">
        <v>4145</v>
      </c>
      <c r="P30" s="217">
        <v>9.0</v>
      </c>
      <c r="Q30" s="217" t="s">
        <v>22</v>
      </c>
    </row>
    <row r="31">
      <c r="A31" s="146">
        <v>18.0</v>
      </c>
      <c r="B31" s="147" t="s">
        <v>7</v>
      </c>
      <c r="C31" s="147" t="s">
        <v>1739</v>
      </c>
      <c r="D31" s="147" t="s">
        <v>331</v>
      </c>
      <c r="E31" s="147" t="s">
        <v>136</v>
      </c>
      <c r="F31" s="147" t="s">
        <v>136</v>
      </c>
      <c r="G31" s="147" t="s">
        <v>137</v>
      </c>
      <c r="H31" s="148"/>
      <c r="I31" s="147"/>
      <c r="J31" s="147" t="s">
        <v>1740</v>
      </c>
      <c r="K31" s="147" t="s">
        <v>139</v>
      </c>
      <c r="L31" s="147" t="s">
        <v>4145</v>
      </c>
      <c r="P31" s="54">
        <v>20.0</v>
      </c>
      <c r="Q31" s="54" t="s">
        <v>4133</v>
      </c>
    </row>
    <row r="32">
      <c r="A32" s="146">
        <v>34.0</v>
      </c>
      <c r="B32" s="147" t="s">
        <v>6</v>
      </c>
      <c r="C32" s="147" t="s">
        <v>1411</v>
      </c>
      <c r="D32" s="147" t="s">
        <v>202</v>
      </c>
      <c r="E32" s="147" t="s">
        <v>136</v>
      </c>
      <c r="F32" s="147" t="s">
        <v>136</v>
      </c>
      <c r="G32" s="147" t="s">
        <v>1412</v>
      </c>
      <c r="H32" s="147" t="s">
        <v>1413</v>
      </c>
      <c r="I32" s="147"/>
      <c r="J32" s="147" t="s">
        <v>1741</v>
      </c>
      <c r="K32" s="147" t="s">
        <v>139</v>
      </c>
      <c r="L32" s="147" t="s">
        <v>4145</v>
      </c>
      <c r="P32" s="7">
        <v>26.0</v>
      </c>
      <c r="Q32" s="7" t="s">
        <v>3821</v>
      </c>
    </row>
    <row r="33">
      <c r="A33" s="146">
        <v>30.0</v>
      </c>
      <c r="B33" s="147" t="s">
        <v>6</v>
      </c>
      <c r="C33" s="147" t="s">
        <v>356</v>
      </c>
      <c r="D33" s="147" t="s">
        <v>228</v>
      </c>
      <c r="E33" s="147" t="s">
        <v>136</v>
      </c>
      <c r="F33" s="147" t="s">
        <v>136</v>
      </c>
      <c r="G33" s="147" t="s">
        <v>221</v>
      </c>
      <c r="H33" s="148"/>
      <c r="I33" s="147"/>
      <c r="J33" s="147" t="s">
        <v>1742</v>
      </c>
      <c r="K33" s="147" t="s">
        <v>139</v>
      </c>
      <c r="L33" s="147" t="s">
        <v>4145</v>
      </c>
    </row>
    <row r="34">
      <c r="A34" s="146">
        <v>7.0</v>
      </c>
      <c r="B34" s="147" t="s">
        <v>7</v>
      </c>
      <c r="C34" s="147" t="s">
        <v>872</v>
      </c>
      <c r="D34" s="147" t="s">
        <v>302</v>
      </c>
      <c r="E34" s="147" t="s">
        <v>136</v>
      </c>
      <c r="F34" s="147" t="s">
        <v>136</v>
      </c>
      <c r="G34" s="147" t="s">
        <v>157</v>
      </c>
      <c r="H34" s="148"/>
      <c r="I34" s="147"/>
      <c r="J34" s="147" t="s">
        <v>1743</v>
      </c>
      <c r="K34" s="147" t="s">
        <v>139</v>
      </c>
      <c r="L34" s="147" t="s">
        <v>4145</v>
      </c>
    </row>
    <row r="35">
      <c r="A35" s="146">
        <v>3.0</v>
      </c>
      <c r="B35" s="147" t="s">
        <v>7</v>
      </c>
      <c r="C35" s="147" t="s">
        <v>1744</v>
      </c>
      <c r="D35" s="147" t="s">
        <v>143</v>
      </c>
      <c r="E35" s="147" t="s">
        <v>136</v>
      </c>
      <c r="F35" s="147" t="s">
        <v>136</v>
      </c>
      <c r="G35" s="147" t="s">
        <v>137</v>
      </c>
      <c r="H35" s="148"/>
      <c r="I35" s="147"/>
      <c r="J35" s="147" t="s">
        <v>1745</v>
      </c>
      <c r="K35" s="147" t="s">
        <v>139</v>
      </c>
      <c r="L35" s="147" t="s">
        <v>4145</v>
      </c>
    </row>
    <row r="36">
      <c r="A36" s="146">
        <v>24.0</v>
      </c>
      <c r="B36" s="147" t="s">
        <v>7</v>
      </c>
      <c r="C36" s="147" t="s">
        <v>1746</v>
      </c>
      <c r="D36" s="147" t="s">
        <v>398</v>
      </c>
      <c r="E36" s="147" t="s">
        <v>136</v>
      </c>
      <c r="F36" s="147" t="s">
        <v>136</v>
      </c>
      <c r="G36" s="147" t="s">
        <v>221</v>
      </c>
      <c r="H36" s="148"/>
      <c r="I36" s="147"/>
      <c r="J36" s="147" t="s">
        <v>1747</v>
      </c>
      <c r="K36" s="147" t="s">
        <v>139</v>
      </c>
      <c r="L36" s="147" t="s">
        <v>4145</v>
      </c>
    </row>
    <row r="37">
      <c r="A37" s="146">
        <v>43.0</v>
      </c>
      <c r="B37" s="147" t="s">
        <v>6</v>
      </c>
      <c r="C37" s="147" t="s">
        <v>1748</v>
      </c>
      <c r="D37" s="147" t="s">
        <v>243</v>
      </c>
      <c r="E37" s="147" t="s">
        <v>135</v>
      </c>
      <c r="F37" s="147" t="s">
        <v>136</v>
      </c>
      <c r="G37" s="147" t="s">
        <v>320</v>
      </c>
      <c r="H37" s="148"/>
      <c r="I37" s="147"/>
      <c r="J37" s="147" t="s">
        <v>1749</v>
      </c>
      <c r="K37" s="147" t="s">
        <v>139</v>
      </c>
      <c r="L37" s="147" t="s">
        <v>4145</v>
      </c>
    </row>
    <row r="38">
      <c r="A38" s="146">
        <v>42.0</v>
      </c>
      <c r="B38" s="147" t="s">
        <v>6</v>
      </c>
      <c r="C38" s="147" t="s">
        <v>1750</v>
      </c>
      <c r="D38" s="147" t="s">
        <v>164</v>
      </c>
      <c r="E38" s="147" t="s">
        <v>135</v>
      </c>
      <c r="F38" s="147" t="s">
        <v>136</v>
      </c>
      <c r="G38" s="147" t="s">
        <v>137</v>
      </c>
      <c r="H38" s="148"/>
      <c r="I38" s="147"/>
      <c r="J38" s="147" t="s">
        <v>1751</v>
      </c>
      <c r="K38" s="147" t="s">
        <v>139</v>
      </c>
      <c r="L38" s="147" t="s">
        <v>4145</v>
      </c>
    </row>
    <row r="39">
      <c r="A39" s="146">
        <v>6.0</v>
      </c>
      <c r="B39" s="147" t="s">
        <v>7</v>
      </c>
      <c r="C39" s="147" t="s">
        <v>1752</v>
      </c>
      <c r="D39" s="147" t="s">
        <v>302</v>
      </c>
      <c r="E39" s="147" t="s">
        <v>136</v>
      </c>
      <c r="F39" s="147" t="s">
        <v>136</v>
      </c>
      <c r="G39" s="147" t="s">
        <v>191</v>
      </c>
      <c r="H39" s="148"/>
      <c r="I39" s="147"/>
      <c r="J39" s="147" t="s">
        <v>1753</v>
      </c>
      <c r="K39" s="147" t="s">
        <v>139</v>
      </c>
      <c r="L39" s="147" t="s">
        <v>4145</v>
      </c>
    </row>
    <row r="40">
      <c r="A40" s="146">
        <v>27.0</v>
      </c>
      <c r="B40" s="147" t="s">
        <v>7</v>
      </c>
      <c r="C40" s="147" t="s">
        <v>1754</v>
      </c>
      <c r="D40" s="147" t="s">
        <v>223</v>
      </c>
      <c r="E40" s="147" t="s">
        <v>136</v>
      </c>
      <c r="F40" s="147" t="s">
        <v>136</v>
      </c>
      <c r="G40" s="147" t="s">
        <v>137</v>
      </c>
      <c r="H40" s="147" t="s">
        <v>1755</v>
      </c>
      <c r="I40" s="147"/>
      <c r="J40" s="147" t="s">
        <v>1710</v>
      </c>
      <c r="K40" s="147" t="s">
        <v>139</v>
      </c>
      <c r="L40" s="147" t="s">
        <v>4145</v>
      </c>
    </row>
    <row r="41">
      <c r="A41" s="146">
        <v>5.0</v>
      </c>
      <c r="B41" s="147" t="s">
        <v>6</v>
      </c>
      <c r="C41" s="147" t="s">
        <v>1116</v>
      </c>
      <c r="D41" s="147" t="s">
        <v>197</v>
      </c>
      <c r="E41" s="147" t="s">
        <v>136</v>
      </c>
      <c r="F41" s="147" t="s">
        <v>136</v>
      </c>
      <c r="G41" s="147" t="s">
        <v>137</v>
      </c>
      <c r="H41" s="148"/>
      <c r="I41" s="147"/>
      <c r="J41" s="147" t="s">
        <v>1756</v>
      </c>
      <c r="K41" s="147" t="s">
        <v>139</v>
      </c>
      <c r="L41" s="147" t="s">
        <v>4145</v>
      </c>
    </row>
    <row r="42">
      <c r="A42" s="146">
        <v>1.0</v>
      </c>
      <c r="B42" s="147" t="s">
        <v>6</v>
      </c>
      <c r="C42" s="147" t="s">
        <v>787</v>
      </c>
      <c r="D42" s="147" t="s">
        <v>164</v>
      </c>
      <c r="E42" s="147" t="s">
        <v>136</v>
      </c>
      <c r="F42" s="147" t="s">
        <v>136</v>
      </c>
      <c r="G42" s="147" t="s">
        <v>221</v>
      </c>
      <c r="H42" s="148"/>
      <c r="I42" s="147"/>
      <c r="J42" s="147" t="s">
        <v>1757</v>
      </c>
      <c r="K42" s="147" t="s">
        <v>139</v>
      </c>
      <c r="L42" s="147" t="s">
        <v>4145</v>
      </c>
    </row>
    <row r="43">
      <c r="A43" s="146">
        <v>16.0</v>
      </c>
      <c r="B43" s="147" t="s">
        <v>7</v>
      </c>
      <c r="C43" s="147" t="s">
        <v>315</v>
      </c>
      <c r="D43" s="147" t="s">
        <v>164</v>
      </c>
      <c r="E43" s="147" t="s">
        <v>136</v>
      </c>
      <c r="F43" s="147" t="s">
        <v>136</v>
      </c>
      <c r="G43" s="147" t="s">
        <v>185</v>
      </c>
      <c r="H43" s="148"/>
      <c r="I43" s="147"/>
      <c r="J43" s="147" t="s">
        <v>1758</v>
      </c>
      <c r="K43" s="147" t="s">
        <v>139</v>
      </c>
      <c r="L43" s="147" t="s">
        <v>4145</v>
      </c>
    </row>
    <row r="44">
      <c r="A44" s="146">
        <v>32.0</v>
      </c>
      <c r="B44" s="147" t="s">
        <v>7</v>
      </c>
      <c r="C44" s="147" t="s">
        <v>466</v>
      </c>
      <c r="D44" s="147" t="s">
        <v>255</v>
      </c>
      <c r="E44" s="147" t="s">
        <v>135</v>
      </c>
      <c r="F44" s="147" t="s">
        <v>136</v>
      </c>
      <c r="G44" s="147" t="s">
        <v>467</v>
      </c>
      <c r="H44" s="148"/>
      <c r="I44" s="147"/>
      <c r="J44" s="147" t="s">
        <v>1759</v>
      </c>
      <c r="K44" s="147" t="s">
        <v>139</v>
      </c>
      <c r="L44" s="147" t="s">
        <v>4145</v>
      </c>
    </row>
    <row r="45">
      <c r="A45" s="146">
        <v>11.0</v>
      </c>
      <c r="B45" s="147" t="s">
        <v>7</v>
      </c>
      <c r="C45" s="147" t="s">
        <v>1760</v>
      </c>
      <c r="D45" s="147" t="s">
        <v>268</v>
      </c>
      <c r="E45" s="147" t="s">
        <v>135</v>
      </c>
      <c r="F45" s="147" t="s">
        <v>136</v>
      </c>
      <c r="G45" s="147" t="s">
        <v>271</v>
      </c>
      <c r="H45" s="148"/>
      <c r="I45" s="147"/>
      <c r="J45" s="147" t="s">
        <v>1761</v>
      </c>
      <c r="K45" s="147" t="s">
        <v>139</v>
      </c>
      <c r="L45" s="147" t="s">
        <v>4145</v>
      </c>
    </row>
    <row r="46">
      <c r="A46" s="146">
        <v>21.0</v>
      </c>
      <c r="B46" s="147" t="s">
        <v>7</v>
      </c>
      <c r="C46" s="147" t="s">
        <v>469</v>
      </c>
      <c r="D46" s="147" t="s">
        <v>202</v>
      </c>
      <c r="E46" s="147" t="s">
        <v>136</v>
      </c>
      <c r="F46" s="147" t="s">
        <v>136</v>
      </c>
      <c r="G46" s="147" t="s">
        <v>150</v>
      </c>
      <c r="H46" s="148"/>
      <c r="I46" s="147"/>
      <c r="J46" s="147" t="s">
        <v>1762</v>
      </c>
      <c r="K46" s="147" t="s">
        <v>139</v>
      </c>
      <c r="L46" s="147" t="s">
        <v>4145</v>
      </c>
    </row>
    <row r="47">
      <c r="A47" s="146">
        <v>16.0</v>
      </c>
      <c r="B47" s="147" t="s">
        <v>6</v>
      </c>
      <c r="C47" s="147" t="s">
        <v>1763</v>
      </c>
      <c r="D47" s="147" t="s">
        <v>166</v>
      </c>
      <c r="E47" s="147" t="s">
        <v>136</v>
      </c>
      <c r="F47" s="147" t="s">
        <v>136</v>
      </c>
      <c r="G47" s="147" t="s">
        <v>137</v>
      </c>
      <c r="H47" s="148"/>
      <c r="I47" s="147"/>
      <c r="J47" s="147" t="s">
        <v>1764</v>
      </c>
      <c r="K47" s="147" t="s">
        <v>139</v>
      </c>
      <c r="L47" s="147" t="s">
        <v>4148</v>
      </c>
    </row>
    <row r="48">
      <c r="A48" s="146">
        <v>21.0</v>
      </c>
      <c r="B48" s="147" t="s">
        <v>7</v>
      </c>
      <c r="C48" s="147" t="s">
        <v>1510</v>
      </c>
      <c r="D48" s="147" t="s">
        <v>177</v>
      </c>
      <c r="E48" s="147" t="s">
        <v>135</v>
      </c>
      <c r="F48" s="147" t="s">
        <v>136</v>
      </c>
      <c r="G48" s="147" t="s">
        <v>349</v>
      </c>
      <c r="H48" s="148"/>
      <c r="I48" s="147"/>
      <c r="J48" s="147" t="s">
        <v>1765</v>
      </c>
      <c r="K48" s="147" t="s">
        <v>139</v>
      </c>
      <c r="L48" s="147" t="s">
        <v>4148</v>
      </c>
    </row>
    <row r="49">
      <c r="A49" s="146">
        <v>19.0</v>
      </c>
      <c r="B49" s="147" t="s">
        <v>6</v>
      </c>
      <c r="C49" s="147" t="s">
        <v>1766</v>
      </c>
      <c r="D49" s="147" t="s">
        <v>248</v>
      </c>
      <c r="E49" s="147" t="s">
        <v>136</v>
      </c>
      <c r="F49" s="147" t="s">
        <v>136</v>
      </c>
      <c r="G49" s="147" t="s">
        <v>174</v>
      </c>
      <c r="H49" s="148"/>
      <c r="I49" s="147"/>
      <c r="J49" s="147" t="s">
        <v>1767</v>
      </c>
      <c r="K49" s="147" t="s">
        <v>139</v>
      </c>
      <c r="L49" s="147" t="s">
        <v>4148</v>
      </c>
    </row>
    <row r="50">
      <c r="A50" s="146">
        <v>30.0</v>
      </c>
      <c r="B50" s="147" t="s">
        <v>6</v>
      </c>
      <c r="C50" s="147" t="s">
        <v>589</v>
      </c>
      <c r="D50" s="147" t="s">
        <v>233</v>
      </c>
      <c r="E50" s="147" t="s">
        <v>136</v>
      </c>
      <c r="F50" s="147" t="s">
        <v>136</v>
      </c>
      <c r="G50" s="147" t="s">
        <v>180</v>
      </c>
      <c r="H50" s="148"/>
      <c r="I50" s="147"/>
      <c r="J50" s="147" t="s">
        <v>1768</v>
      </c>
      <c r="K50" s="147" t="s">
        <v>139</v>
      </c>
      <c r="L50" s="147" t="s">
        <v>4148</v>
      </c>
    </row>
    <row r="51">
      <c r="A51" s="146">
        <v>7.0</v>
      </c>
      <c r="B51" s="147" t="s">
        <v>6</v>
      </c>
      <c r="C51" s="147" t="s">
        <v>1769</v>
      </c>
      <c r="D51" s="147" t="s">
        <v>187</v>
      </c>
      <c r="E51" s="147" t="s">
        <v>136</v>
      </c>
      <c r="F51" s="147" t="s">
        <v>136</v>
      </c>
      <c r="G51" s="147" t="s">
        <v>271</v>
      </c>
      <c r="H51" s="148"/>
      <c r="I51" s="147"/>
      <c r="J51" s="147" t="s">
        <v>1770</v>
      </c>
      <c r="K51" s="147" t="s">
        <v>139</v>
      </c>
      <c r="L51" s="147" t="s">
        <v>4148</v>
      </c>
    </row>
    <row r="52">
      <c r="A52" s="146">
        <v>11.0</v>
      </c>
      <c r="B52" s="147" t="s">
        <v>6</v>
      </c>
      <c r="C52" s="147" t="s">
        <v>1771</v>
      </c>
      <c r="D52" s="147" t="s">
        <v>187</v>
      </c>
      <c r="E52" s="147" t="s">
        <v>136</v>
      </c>
      <c r="F52" s="147" t="s">
        <v>136</v>
      </c>
      <c r="G52" s="147" t="s">
        <v>137</v>
      </c>
      <c r="H52" s="148"/>
      <c r="I52" s="147"/>
      <c r="J52" s="147" t="s">
        <v>1772</v>
      </c>
      <c r="K52" s="147" t="s">
        <v>139</v>
      </c>
      <c r="L52" s="147" t="s">
        <v>4148</v>
      </c>
    </row>
    <row r="53">
      <c r="A53" s="146">
        <v>12.0</v>
      </c>
      <c r="B53" s="147" t="s">
        <v>6</v>
      </c>
      <c r="C53" s="147" t="s">
        <v>220</v>
      </c>
      <c r="D53" s="147" t="s">
        <v>187</v>
      </c>
      <c r="E53" s="147" t="s">
        <v>136</v>
      </c>
      <c r="F53" s="147" t="s">
        <v>136</v>
      </c>
      <c r="G53" s="147" t="s">
        <v>271</v>
      </c>
      <c r="H53" s="148"/>
      <c r="I53" s="147"/>
      <c r="J53" s="147" t="s">
        <v>1773</v>
      </c>
      <c r="K53" s="147" t="s">
        <v>139</v>
      </c>
      <c r="L53" s="147" t="s">
        <v>4148</v>
      </c>
    </row>
    <row r="54">
      <c r="A54" s="146">
        <v>17.0</v>
      </c>
      <c r="B54" s="147" t="s">
        <v>7</v>
      </c>
      <c r="C54" s="147" t="s">
        <v>338</v>
      </c>
      <c r="D54" s="147" t="s">
        <v>143</v>
      </c>
      <c r="E54" s="147" t="s">
        <v>136</v>
      </c>
      <c r="F54" s="147" t="s">
        <v>136</v>
      </c>
      <c r="G54" s="147" t="s">
        <v>137</v>
      </c>
      <c r="H54" s="148"/>
      <c r="I54" s="147"/>
      <c r="J54" s="147" t="s">
        <v>1774</v>
      </c>
      <c r="K54" s="147" t="s">
        <v>139</v>
      </c>
      <c r="L54" s="147" t="s">
        <v>4148</v>
      </c>
    </row>
    <row r="55">
      <c r="A55" s="146">
        <v>14.0</v>
      </c>
      <c r="B55" s="147" t="s">
        <v>7</v>
      </c>
      <c r="C55" s="147" t="s">
        <v>1524</v>
      </c>
      <c r="D55" s="147" t="s">
        <v>159</v>
      </c>
      <c r="E55" s="147" t="s">
        <v>136</v>
      </c>
      <c r="F55" s="147" t="s">
        <v>136</v>
      </c>
      <c r="G55" s="147" t="s">
        <v>137</v>
      </c>
      <c r="H55" s="148"/>
      <c r="I55" s="147"/>
      <c r="J55" s="147" t="s">
        <v>1775</v>
      </c>
      <c r="K55" s="147" t="s">
        <v>139</v>
      </c>
      <c r="L55" s="147" t="s">
        <v>4148</v>
      </c>
    </row>
    <row r="56">
      <c r="A56" s="146">
        <v>28.0</v>
      </c>
      <c r="B56" s="147" t="s">
        <v>6</v>
      </c>
      <c r="C56" s="147" t="s">
        <v>1776</v>
      </c>
      <c r="D56" s="147" t="s">
        <v>213</v>
      </c>
      <c r="E56" s="147" t="s">
        <v>135</v>
      </c>
      <c r="F56" s="147" t="s">
        <v>136</v>
      </c>
      <c r="G56" s="147" t="s">
        <v>137</v>
      </c>
      <c r="H56" s="148"/>
      <c r="I56" s="147"/>
      <c r="J56" s="147" t="s">
        <v>1777</v>
      </c>
      <c r="K56" s="147" t="s">
        <v>139</v>
      </c>
      <c r="L56" s="147" t="s">
        <v>4148</v>
      </c>
    </row>
    <row r="57">
      <c r="A57" s="146">
        <v>22.0</v>
      </c>
      <c r="B57" s="147" t="s">
        <v>7</v>
      </c>
      <c r="C57" s="147" t="s">
        <v>1778</v>
      </c>
      <c r="D57" s="147" t="s">
        <v>398</v>
      </c>
      <c r="E57" s="147" t="s">
        <v>136</v>
      </c>
      <c r="F57" s="147" t="s">
        <v>135</v>
      </c>
      <c r="G57" s="147" t="s">
        <v>137</v>
      </c>
      <c r="H57" s="148"/>
      <c r="I57" s="147"/>
      <c r="J57" s="147" t="s">
        <v>1779</v>
      </c>
      <c r="K57" s="147" t="s">
        <v>139</v>
      </c>
      <c r="L57" s="147" t="s">
        <v>4148</v>
      </c>
    </row>
    <row r="58">
      <c r="A58" s="146">
        <v>10.0</v>
      </c>
      <c r="B58" s="147" t="s">
        <v>7</v>
      </c>
      <c r="C58" s="147" t="s">
        <v>513</v>
      </c>
      <c r="D58" s="147" t="s">
        <v>213</v>
      </c>
      <c r="E58" s="147" t="s">
        <v>136</v>
      </c>
      <c r="F58" s="147" t="s">
        <v>136</v>
      </c>
      <c r="G58" s="147" t="s">
        <v>320</v>
      </c>
      <c r="H58" s="148"/>
      <c r="I58" s="147"/>
      <c r="J58" s="147" t="s">
        <v>1780</v>
      </c>
      <c r="K58" s="147" t="s">
        <v>139</v>
      </c>
      <c r="L58" s="147" t="s">
        <v>4148</v>
      </c>
    </row>
    <row r="59">
      <c r="A59" s="146">
        <v>13.0</v>
      </c>
      <c r="B59" s="147" t="s">
        <v>7</v>
      </c>
      <c r="C59" s="147" t="s">
        <v>1781</v>
      </c>
      <c r="D59" s="147" t="s">
        <v>213</v>
      </c>
      <c r="E59" s="147" t="s">
        <v>136</v>
      </c>
      <c r="F59" s="147" t="s">
        <v>136</v>
      </c>
      <c r="G59" s="147" t="s">
        <v>174</v>
      </c>
      <c r="H59" s="148"/>
      <c r="I59" s="147"/>
      <c r="J59" s="147" t="s">
        <v>1782</v>
      </c>
      <c r="K59" s="147" t="s">
        <v>139</v>
      </c>
      <c r="L59" s="147" t="s">
        <v>4148</v>
      </c>
    </row>
    <row r="60">
      <c r="A60" s="146">
        <v>32.0</v>
      </c>
      <c r="B60" s="147" t="s">
        <v>7</v>
      </c>
      <c r="C60" s="147" t="s">
        <v>414</v>
      </c>
      <c r="D60" s="147" t="s">
        <v>213</v>
      </c>
      <c r="E60" s="147" t="s">
        <v>136</v>
      </c>
      <c r="F60" s="147" t="s">
        <v>136</v>
      </c>
      <c r="G60" s="147" t="s">
        <v>191</v>
      </c>
      <c r="H60" s="148"/>
      <c r="I60" s="147"/>
      <c r="J60" s="147" t="s">
        <v>1783</v>
      </c>
      <c r="K60" s="147" t="s">
        <v>139</v>
      </c>
      <c r="L60" s="147" t="s">
        <v>4148</v>
      </c>
    </row>
    <row r="61">
      <c r="A61" s="146">
        <v>23.0</v>
      </c>
      <c r="B61" s="147" t="s">
        <v>7</v>
      </c>
      <c r="C61" s="147" t="s">
        <v>338</v>
      </c>
      <c r="D61" s="147" t="s">
        <v>143</v>
      </c>
      <c r="E61" s="147" t="s">
        <v>136</v>
      </c>
      <c r="F61" s="147" t="s">
        <v>136</v>
      </c>
      <c r="G61" s="147" t="s">
        <v>174</v>
      </c>
      <c r="H61" s="148"/>
      <c r="I61" s="147"/>
      <c r="J61" s="147" t="s">
        <v>1784</v>
      </c>
      <c r="K61" s="147" t="s">
        <v>1594</v>
      </c>
      <c r="L61" s="147" t="s">
        <v>4148</v>
      </c>
    </row>
    <row r="62">
      <c r="A62" s="146">
        <v>31.0</v>
      </c>
      <c r="B62" s="147" t="s">
        <v>7</v>
      </c>
      <c r="C62" s="147" t="s">
        <v>338</v>
      </c>
      <c r="D62" s="147" t="s">
        <v>143</v>
      </c>
      <c r="E62" s="147" t="s">
        <v>136</v>
      </c>
      <c r="F62" s="147" t="s">
        <v>136</v>
      </c>
      <c r="G62" s="147" t="s">
        <v>150</v>
      </c>
      <c r="H62" s="148"/>
      <c r="I62" s="147"/>
      <c r="J62" s="147" t="s">
        <v>1785</v>
      </c>
      <c r="K62" s="147" t="s">
        <v>139</v>
      </c>
      <c r="L62" s="147" t="s">
        <v>4148</v>
      </c>
    </row>
    <row r="63">
      <c r="A63" s="146">
        <v>5.0</v>
      </c>
      <c r="B63" s="147" t="s">
        <v>7</v>
      </c>
      <c r="C63" s="147" t="s">
        <v>1786</v>
      </c>
      <c r="D63" s="147" t="s">
        <v>134</v>
      </c>
      <c r="E63" s="147" t="s">
        <v>136</v>
      </c>
      <c r="F63" s="147" t="s">
        <v>136</v>
      </c>
      <c r="G63" s="149" t="s">
        <v>4149</v>
      </c>
      <c r="H63" s="148"/>
      <c r="I63" s="147"/>
      <c r="J63" s="147" t="s">
        <v>1788</v>
      </c>
      <c r="K63" s="147" t="s">
        <v>139</v>
      </c>
      <c r="L63" s="147" t="s">
        <v>4148</v>
      </c>
    </row>
    <row r="64">
      <c r="A64" s="146">
        <v>25.0</v>
      </c>
      <c r="B64" s="147" t="s">
        <v>6</v>
      </c>
      <c r="C64" s="147" t="s">
        <v>338</v>
      </c>
      <c r="D64" s="147" t="s">
        <v>143</v>
      </c>
      <c r="E64" s="147" t="s">
        <v>136</v>
      </c>
      <c r="F64" s="147" t="s">
        <v>136</v>
      </c>
      <c r="G64" s="147" t="s">
        <v>1789</v>
      </c>
      <c r="H64" s="148"/>
      <c r="I64" s="147"/>
      <c r="J64" s="147" t="s">
        <v>1790</v>
      </c>
      <c r="K64" s="147" t="s">
        <v>139</v>
      </c>
      <c r="L64" s="147" t="s">
        <v>4148</v>
      </c>
    </row>
    <row r="65">
      <c r="A65" s="146">
        <v>15.0</v>
      </c>
      <c r="B65" s="147" t="s">
        <v>7</v>
      </c>
      <c r="C65" s="147" t="s">
        <v>1791</v>
      </c>
      <c r="D65" s="147" t="s">
        <v>291</v>
      </c>
      <c r="E65" s="147" t="s">
        <v>136</v>
      </c>
      <c r="F65" s="147" t="s">
        <v>136</v>
      </c>
      <c r="G65" s="147" t="s">
        <v>221</v>
      </c>
      <c r="H65" s="148"/>
      <c r="I65" s="147"/>
      <c r="J65" s="147" t="s">
        <v>1792</v>
      </c>
      <c r="K65" s="147" t="s">
        <v>139</v>
      </c>
      <c r="L65" s="147" t="s">
        <v>4148</v>
      </c>
    </row>
    <row r="66">
      <c r="A66" s="146">
        <v>27.0</v>
      </c>
      <c r="B66" s="147" t="s">
        <v>7</v>
      </c>
      <c r="C66" s="147" t="s">
        <v>1524</v>
      </c>
      <c r="D66" s="147" t="s">
        <v>159</v>
      </c>
      <c r="E66" s="147" t="s">
        <v>136</v>
      </c>
      <c r="F66" s="147" t="s">
        <v>136</v>
      </c>
      <c r="G66" s="147" t="s">
        <v>191</v>
      </c>
      <c r="H66" s="148"/>
      <c r="I66" s="147"/>
      <c r="J66" s="147" t="s">
        <v>1793</v>
      </c>
      <c r="K66" s="147" t="s">
        <v>139</v>
      </c>
      <c r="L66" s="147" t="s">
        <v>4148</v>
      </c>
    </row>
    <row r="67">
      <c r="A67" s="146">
        <v>8.0</v>
      </c>
      <c r="B67" s="147" t="s">
        <v>7</v>
      </c>
      <c r="C67" s="147" t="s">
        <v>338</v>
      </c>
      <c r="D67" s="147" t="s">
        <v>143</v>
      </c>
      <c r="E67" s="147" t="s">
        <v>135</v>
      </c>
      <c r="F67" s="147" t="s">
        <v>136</v>
      </c>
      <c r="G67" s="147" t="s">
        <v>137</v>
      </c>
      <c r="H67" s="148"/>
      <c r="I67" s="147"/>
      <c r="J67" s="147" t="s">
        <v>1770</v>
      </c>
      <c r="K67" s="147" t="s">
        <v>139</v>
      </c>
      <c r="L67" s="147" t="s">
        <v>4148</v>
      </c>
    </row>
    <row r="68">
      <c r="A68" s="146">
        <v>33.0</v>
      </c>
      <c r="B68" s="147" t="s">
        <v>7</v>
      </c>
      <c r="C68" s="147" t="s">
        <v>414</v>
      </c>
      <c r="D68" s="147" t="s">
        <v>213</v>
      </c>
      <c r="E68" s="147" t="s">
        <v>136</v>
      </c>
      <c r="F68" s="147" t="s">
        <v>136</v>
      </c>
      <c r="G68" s="147" t="s">
        <v>137</v>
      </c>
      <c r="H68" s="148"/>
      <c r="I68" s="147"/>
      <c r="J68" s="147" t="s">
        <v>1794</v>
      </c>
      <c r="K68" s="147" t="s">
        <v>139</v>
      </c>
      <c r="L68" s="147" t="s">
        <v>4148</v>
      </c>
    </row>
    <row r="69">
      <c r="A69" s="146">
        <v>18.0</v>
      </c>
      <c r="B69" s="147" t="s">
        <v>7</v>
      </c>
      <c r="C69" s="147" t="s">
        <v>1795</v>
      </c>
      <c r="D69" s="147" t="s">
        <v>263</v>
      </c>
      <c r="E69" s="147" t="s">
        <v>136</v>
      </c>
      <c r="F69" s="147" t="s">
        <v>136</v>
      </c>
      <c r="G69" s="147" t="s">
        <v>271</v>
      </c>
      <c r="H69" s="148"/>
      <c r="I69" s="147"/>
      <c r="J69" s="147" t="s">
        <v>1796</v>
      </c>
      <c r="K69" s="147" t="s">
        <v>139</v>
      </c>
      <c r="L69" s="147" t="s">
        <v>4148</v>
      </c>
    </row>
    <row r="70">
      <c r="A70" s="146">
        <v>6.0</v>
      </c>
      <c r="B70" s="147" t="s">
        <v>6</v>
      </c>
      <c r="C70" s="147" t="s">
        <v>1797</v>
      </c>
      <c r="D70" s="147" t="s">
        <v>134</v>
      </c>
      <c r="E70" s="147" t="s">
        <v>136</v>
      </c>
      <c r="F70" s="147" t="s">
        <v>136</v>
      </c>
      <c r="G70" s="147" t="s">
        <v>221</v>
      </c>
      <c r="H70" s="148"/>
      <c r="I70" s="147"/>
      <c r="J70" s="147" t="s">
        <v>1798</v>
      </c>
      <c r="K70" s="147" t="s">
        <v>139</v>
      </c>
      <c r="L70" s="147" t="s">
        <v>4148</v>
      </c>
    </row>
    <row r="71">
      <c r="A71" s="146">
        <v>24.0</v>
      </c>
      <c r="B71" s="147" t="s">
        <v>6</v>
      </c>
      <c r="C71" s="147" t="s">
        <v>1799</v>
      </c>
      <c r="D71" s="147" t="s">
        <v>213</v>
      </c>
      <c r="E71" s="147" t="s">
        <v>136</v>
      </c>
      <c r="F71" s="147" t="s">
        <v>136</v>
      </c>
      <c r="G71" s="147" t="s">
        <v>137</v>
      </c>
      <c r="H71" s="147" t="s">
        <v>1800</v>
      </c>
      <c r="I71" s="147"/>
      <c r="J71" s="147" t="s">
        <v>1801</v>
      </c>
      <c r="K71" s="147" t="s">
        <v>139</v>
      </c>
      <c r="L71" s="147" t="s">
        <v>4148</v>
      </c>
    </row>
    <row r="72">
      <c r="A72" s="146">
        <v>20.0</v>
      </c>
      <c r="B72" s="147" t="s">
        <v>6</v>
      </c>
      <c r="C72" s="147" t="s">
        <v>1802</v>
      </c>
      <c r="D72" s="147" t="s">
        <v>263</v>
      </c>
      <c r="E72" s="147" t="s">
        <v>136</v>
      </c>
      <c r="F72" s="147" t="s">
        <v>136</v>
      </c>
      <c r="G72" s="147" t="s">
        <v>271</v>
      </c>
      <c r="H72" s="148"/>
      <c r="I72" s="147"/>
      <c r="J72" s="147" t="s">
        <v>1803</v>
      </c>
      <c r="K72" s="147" t="s">
        <v>139</v>
      </c>
      <c r="L72" s="147" t="s">
        <v>4148</v>
      </c>
    </row>
    <row r="73">
      <c r="A73" s="146">
        <v>29.0</v>
      </c>
      <c r="B73" s="147" t="s">
        <v>6</v>
      </c>
      <c r="C73" s="147" t="s">
        <v>338</v>
      </c>
      <c r="D73" s="147" t="s">
        <v>143</v>
      </c>
      <c r="E73" s="147" t="s">
        <v>135</v>
      </c>
      <c r="F73" s="147" t="s">
        <v>136</v>
      </c>
      <c r="G73" s="147" t="s">
        <v>367</v>
      </c>
      <c r="H73" s="148"/>
      <c r="I73" s="147"/>
      <c r="J73" s="147" t="s">
        <v>1804</v>
      </c>
      <c r="K73" s="147" t="s">
        <v>139</v>
      </c>
      <c r="L73" s="147" t="s">
        <v>4148</v>
      </c>
    </row>
    <row r="74">
      <c r="A74" s="146">
        <v>26.0</v>
      </c>
      <c r="B74" s="147" t="s">
        <v>6</v>
      </c>
      <c r="C74" s="147" t="s">
        <v>1489</v>
      </c>
      <c r="D74" s="147" t="s">
        <v>263</v>
      </c>
      <c r="E74" s="147" t="s">
        <v>136</v>
      </c>
      <c r="F74" s="147" t="s">
        <v>136</v>
      </c>
      <c r="G74" s="147" t="s">
        <v>150</v>
      </c>
      <c r="H74" s="148"/>
      <c r="I74" s="147"/>
      <c r="J74" s="147" t="s">
        <v>1805</v>
      </c>
      <c r="K74" s="147" t="s">
        <v>139</v>
      </c>
      <c r="L74" s="147" t="s">
        <v>4148</v>
      </c>
    </row>
    <row r="75">
      <c r="A75" s="146">
        <v>9.0</v>
      </c>
      <c r="B75" s="147" t="s">
        <v>7</v>
      </c>
      <c r="C75" s="147" t="s">
        <v>1746</v>
      </c>
      <c r="D75" s="147" t="s">
        <v>398</v>
      </c>
      <c r="E75" s="147" t="s">
        <v>136</v>
      </c>
      <c r="F75" s="147" t="s">
        <v>136</v>
      </c>
      <c r="G75" s="147" t="s">
        <v>221</v>
      </c>
      <c r="H75" s="148"/>
      <c r="I75" s="147"/>
      <c r="J75" s="147" t="s">
        <v>1806</v>
      </c>
      <c r="K75" s="147" t="s">
        <v>139</v>
      </c>
      <c r="L75" s="147" t="s">
        <v>4148</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6.86"/>
    <col customWidth="1" min="3" max="3" width="26.29"/>
    <col customWidth="1" min="4" max="4" width="17.71"/>
    <col customWidth="1" min="5" max="5" width="8.43"/>
    <col customWidth="1" min="6" max="6" width="8.71"/>
    <col customWidth="1" min="7" max="7" width="54.0"/>
    <col customWidth="1" min="8" max="8" width="70.71"/>
    <col customWidth="1" min="9" max="9" width="26.57"/>
    <col customWidth="1" min="10" max="14" width="8.71"/>
    <col customWidth="1" min="15" max="15" width="10.0"/>
    <col customWidth="1" min="16" max="26" width="8.71"/>
  </cols>
  <sheetData>
    <row r="1">
      <c r="A1" s="299" t="s">
        <v>116</v>
      </c>
      <c r="B1" s="299" t="s">
        <v>117</v>
      </c>
      <c r="C1" s="299" t="s">
        <v>118</v>
      </c>
      <c r="D1" s="299" t="s">
        <v>119</v>
      </c>
      <c r="E1" s="299" t="s">
        <v>120</v>
      </c>
      <c r="F1" s="299" t="s">
        <v>121</v>
      </c>
      <c r="G1" s="299" t="s">
        <v>122</v>
      </c>
      <c r="H1" s="299" t="s">
        <v>123</v>
      </c>
      <c r="I1" s="299" t="s">
        <v>4150</v>
      </c>
      <c r="J1" s="299" t="s">
        <v>125</v>
      </c>
      <c r="K1" s="299" t="s">
        <v>126</v>
      </c>
      <c r="O1" s="123" t="s">
        <v>129</v>
      </c>
      <c r="P1" s="123" t="s">
        <v>130</v>
      </c>
      <c r="Q1" s="123" t="s">
        <v>131</v>
      </c>
      <c r="R1" s="123" t="s">
        <v>3880</v>
      </c>
    </row>
    <row r="2">
      <c r="A2" s="144">
        <v>10.0</v>
      </c>
      <c r="B2" s="144" t="s">
        <v>7</v>
      </c>
      <c r="C2" s="144" t="s">
        <v>1807</v>
      </c>
      <c r="D2" s="144" t="s">
        <v>347</v>
      </c>
      <c r="E2" s="144" t="s">
        <v>136</v>
      </c>
      <c r="F2" s="144" t="s">
        <v>136</v>
      </c>
      <c r="G2" s="145" t="s">
        <v>1808</v>
      </c>
      <c r="H2" s="144"/>
      <c r="I2" s="144" t="s">
        <v>136</v>
      </c>
      <c r="J2" s="144" t="s">
        <v>1809</v>
      </c>
      <c r="K2" s="144" t="s">
        <v>139</v>
      </c>
      <c r="O2" s="217" t="str">
        <f t="array" ref="O2:O13">UNIQUE(D2:D20)</f>
        <v>Colombia</v>
      </c>
      <c r="P2" s="217">
        <f t="shared" ref="P2:P12" si="1">COUNTIF(D$2:D$20,O2)</f>
        <v>5</v>
      </c>
      <c r="Q2" s="218" t="str">
        <f t="array" ref="Q2">XLOOKUP(O2,Countries!A$2:A$98,Countries!B$2:B$98,"tbd",0)</f>
        <v>Middle/South America</v>
      </c>
    </row>
    <row r="3">
      <c r="A3" s="144">
        <v>5.0</v>
      </c>
      <c r="B3" s="144" t="s">
        <v>6</v>
      </c>
      <c r="C3" s="144" t="s">
        <v>1329</v>
      </c>
      <c r="D3" s="144" t="s">
        <v>214</v>
      </c>
      <c r="E3" s="144" t="s">
        <v>135</v>
      </c>
      <c r="F3" s="144" t="s">
        <v>136</v>
      </c>
      <c r="G3" s="145" t="s">
        <v>150</v>
      </c>
      <c r="H3" s="144"/>
      <c r="I3" s="144" t="s">
        <v>136</v>
      </c>
      <c r="J3" s="144" t="s">
        <v>1810</v>
      </c>
      <c r="K3" s="144" t="s">
        <v>139</v>
      </c>
      <c r="O3" s="217" t="s">
        <v>214</v>
      </c>
      <c r="P3" s="217">
        <f t="shared" si="1"/>
        <v>2</v>
      </c>
      <c r="Q3" s="218" t="str">
        <f t="array" ref="Q3">XLOOKUP(O3,Countries!A$2:A$98,Countries!B$2:B$98,"tbd",0)</f>
        <v>Asia</v>
      </c>
    </row>
    <row r="4">
      <c r="A4" s="144">
        <v>4.0</v>
      </c>
      <c r="B4" s="144" t="s">
        <v>7</v>
      </c>
      <c r="C4" s="144" t="s">
        <v>1811</v>
      </c>
      <c r="D4" s="144" t="s">
        <v>233</v>
      </c>
      <c r="E4" s="144" t="s">
        <v>135</v>
      </c>
      <c r="F4" s="144" t="s">
        <v>136</v>
      </c>
      <c r="G4" s="144" t="s">
        <v>767</v>
      </c>
      <c r="H4" s="144"/>
      <c r="I4" s="144"/>
      <c r="J4" s="144" t="s">
        <v>1812</v>
      </c>
      <c r="K4" s="144" t="s">
        <v>139</v>
      </c>
      <c r="O4" s="54" t="s">
        <v>233</v>
      </c>
      <c r="P4" s="54">
        <f t="shared" si="1"/>
        <v>1</v>
      </c>
      <c r="Q4" s="142" t="str">
        <f t="array" ref="Q4">XLOOKUP(O4,Countries!A$2:A$98,Countries!B$2:B$98,"tbd",0)</f>
        <v>widening countries</v>
      </c>
    </row>
    <row r="5">
      <c r="A5" s="144">
        <v>6.0</v>
      </c>
      <c r="B5" s="144" t="s">
        <v>6</v>
      </c>
      <c r="C5" s="144" t="s">
        <v>1813</v>
      </c>
      <c r="D5" s="144" t="s">
        <v>313</v>
      </c>
      <c r="E5" s="144" t="s">
        <v>135</v>
      </c>
      <c r="F5" s="144" t="s">
        <v>136</v>
      </c>
      <c r="G5" s="145" t="s">
        <v>4151</v>
      </c>
      <c r="H5" s="144"/>
      <c r="I5" s="144" t="s">
        <v>136</v>
      </c>
      <c r="J5" s="144" t="s">
        <v>1815</v>
      </c>
      <c r="K5" s="144" t="s">
        <v>139</v>
      </c>
      <c r="O5" s="217" t="s">
        <v>313</v>
      </c>
      <c r="P5" s="217">
        <f t="shared" si="1"/>
        <v>1</v>
      </c>
      <c r="Q5" s="218" t="str">
        <f t="array" ref="Q5">XLOOKUP(O5,Countries!A$2:A$98,Countries!B$2:B$98,"tbd",0)</f>
        <v>Middle/South America</v>
      </c>
    </row>
    <row r="6">
      <c r="A6" s="144">
        <v>9.0</v>
      </c>
      <c r="B6" s="144" t="s">
        <v>6</v>
      </c>
      <c r="C6" s="144" t="s">
        <v>1816</v>
      </c>
      <c r="D6" s="144" t="s">
        <v>347</v>
      </c>
      <c r="E6" s="144" t="s">
        <v>135</v>
      </c>
      <c r="F6" s="144" t="s">
        <v>136</v>
      </c>
      <c r="G6" s="144" t="s">
        <v>767</v>
      </c>
      <c r="H6" s="144" t="s">
        <v>1817</v>
      </c>
      <c r="I6" s="144" t="s">
        <v>135</v>
      </c>
      <c r="J6" s="144" t="s">
        <v>1818</v>
      </c>
      <c r="K6" s="144" t="s">
        <v>139</v>
      </c>
      <c r="O6" s="7" t="s">
        <v>268</v>
      </c>
      <c r="P6" s="7">
        <f t="shared" si="1"/>
        <v>1</v>
      </c>
      <c r="Q6" s="11" t="str">
        <f t="array" ref="Q6">XLOOKUP(O6,Countries!A$2:A$98,Countries!B$2:B$98,"tbd",0)</f>
        <v>associated countries</v>
      </c>
    </row>
    <row r="7">
      <c r="A7" s="144">
        <v>1.0</v>
      </c>
      <c r="B7" s="144" t="s">
        <v>6</v>
      </c>
      <c r="C7" s="144" t="s">
        <v>1819</v>
      </c>
      <c r="D7" s="144" t="s">
        <v>268</v>
      </c>
      <c r="E7" s="144" t="s">
        <v>135</v>
      </c>
      <c r="F7" s="144" t="s">
        <v>136</v>
      </c>
      <c r="G7" s="144" t="s">
        <v>467</v>
      </c>
      <c r="H7" s="144"/>
      <c r="I7" s="144"/>
      <c r="J7" s="144" t="s">
        <v>1820</v>
      </c>
      <c r="K7" s="144" t="s">
        <v>139</v>
      </c>
      <c r="O7" s="7" t="s">
        <v>143</v>
      </c>
      <c r="P7" s="7">
        <f t="shared" si="1"/>
        <v>2</v>
      </c>
      <c r="Q7" s="11" t="str">
        <f t="array" ref="Q7">XLOOKUP(O7,Countries!A$2:A$98,Countries!B$2:B$98,"tbd",0)</f>
        <v>Europe</v>
      </c>
    </row>
    <row r="8">
      <c r="A8" s="144">
        <v>8.0</v>
      </c>
      <c r="B8" s="144" t="s">
        <v>6</v>
      </c>
      <c r="C8" s="144" t="s">
        <v>824</v>
      </c>
      <c r="D8" s="144" t="s">
        <v>347</v>
      </c>
      <c r="E8" s="144" t="s">
        <v>136</v>
      </c>
      <c r="F8" s="144" t="s">
        <v>136</v>
      </c>
      <c r="G8" s="144" t="s">
        <v>1401</v>
      </c>
      <c r="H8" s="144" t="s">
        <v>1821</v>
      </c>
      <c r="I8" s="144" t="s">
        <v>135</v>
      </c>
      <c r="J8" s="144" t="s">
        <v>1822</v>
      </c>
      <c r="K8" s="144" t="s">
        <v>139</v>
      </c>
      <c r="O8" s="7" t="s">
        <v>164</v>
      </c>
      <c r="P8" s="7">
        <f t="shared" si="1"/>
        <v>2</v>
      </c>
      <c r="Q8" s="11" t="str">
        <f t="array" ref="Q8">XLOOKUP(O8,Countries!A$2:A$98,Countries!B$2:B$98,"tbd",0)</f>
        <v>Europe</v>
      </c>
    </row>
    <row r="9">
      <c r="A9" s="144">
        <v>3.0</v>
      </c>
      <c r="B9" s="144" t="s">
        <v>7</v>
      </c>
      <c r="C9" s="144" t="s">
        <v>338</v>
      </c>
      <c r="D9" s="144" t="s">
        <v>143</v>
      </c>
      <c r="E9" s="144" t="s">
        <v>135</v>
      </c>
      <c r="F9" s="144" t="s">
        <v>136</v>
      </c>
      <c r="G9" s="144" t="s">
        <v>1823</v>
      </c>
      <c r="H9" s="144"/>
      <c r="I9" s="144"/>
      <c r="J9" s="144" t="s">
        <v>1824</v>
      </c>
      <c r="K9" s="144" t="s">
        <v>139</v>
      </c>
      <c r="O9" s="217" t="s">
        <v>296</v>
      </c>
      <c r="P9" s="217">
        <f t="shared" si="1"/>
        <v>1</v>
      </c>
      <c r="Q9" s="218" t="str">
        <f t="array" ref="Q9">XLOOKUP(O9,Countries!A$2:A$98,Countries!B$2:B$98,"tbd",0)</f>
        <v>Middle East</v>
      </c>
    </row>
    <row r="10">
      <c r="A10" s="144">
        <v>11.0</v>
      </c>
      <c r="B10" s="144" t="s">
        <v>6</v>
      </c>
      <c r="C10" s="144" t="s">
        <v>1825</v>
      </c>
      <c r="D10" s="144" t="s">
        <v>347</v>
      </c>
      <c r="E10" s="144" t="s">
        <v>135</v>
      </c>
      <c r="F10" s="144" t="s">
        <v>136</v>
      </c>
      <c r="G10" s="144" t="s">
        <v>767</v>
      </c>
      <c r="H10" s="144" t="s">
        <v>1826</v>
      </c>
      <c r="I10" s="144" t="s">
        <v>136</v>
      </c>
      <c r="J10" s="144" t="s">
        <v>1827</v>
      </c>
      <c r="K10" s="144" t="s">
        <v>139</v>
      </c>
      <c r="O10" s="54" t="s">
        <v>352</v>
      </c>
      <c r="P10" s="54">
        <f t="shared" si="1"/>
        <v>1</v>
      </c>
      <c r="Q10" s="142" t="str">
        <f t="array" ref="Q10">XLOOKUP(O10,Countries!A$2:A$98,Countries!B$2:B$98,"tbd",0)</f>
        <v>widening countries</v>
      </c>
    </row>
    <row r="11">
      <c r="A11" s="144">
        <v>7.0</v>
      </c>
      <c r="B11" s="144" t="s">
        <v>6</v>
      </c>
      <c r="C11" s="144" t="s">
        <v>1828</v>
      </c>
      <c r="D11" s="144" t="s">
        <v>143</v>
      </c>
      <c r="E11" s="144" t="s">
        <v>135</v>
      </c>
      <c r="F11" s="144" t="s">
        <v>136</v>
      </c>
      <c r="G11" s="144" t="s">
        <v>1829</v>
      </c>
      <c r="H11" s="144" t="s">
        <v>455</v>
      </c>
      <c r="I11" s="144" t="s">
        <v>136</v>
      </c>
      <c r="J11" s="144" t="s">
        <v>1830</v>
      </c>
      <c r="K11" s="144" t="s">
        <v>139</v>
      </c>
      <c r="O11" s="217" t="s">
        <v>147</v>
      </c>
      <c r="P11" s="217">
        <f t="shared" si="1"/>
        <v>1</v>
      </c>
      <c r="Q11" s="218" t="str">
        <f t="array" ref="Q11">XLOOKUP(O11,Countries!A$2:A$98,Countries!B$2:B$98,"tbd",0)</f>
        <v>Africa</v>
      </c>
    </row>
    <row r="12">
      <c r="A12" s="144">
        <v>2.0</v>
      </c>
      <c r="B12" s="144" t="s">
        <v>7</v>
      </c>
      <c r="C12" s="144" t="s">
        <v>1831</v>
      </c>
      <c r="D12" s="144" t="s">
        <v>214</v>
      </c>
      <c r="E12" s="144" t="s">
        <v>136</v>
      </c>
      <c r="F12" s="144" t="s">
        <v>136</v>
      </c>
      <c r="G12" s="144" t="s">
        <v>1225</v>
      </c>
      <c r="H12" s="144"/>
      <c r="I12" s="144"/>
      <c r="J12" s="144" t="s">
        <v>1832</v>
      </c>
      <c r="K12" s="144" t="s">
        <v>139</v>
      </c>
      <c r="O12" s="217" t="s">
        <v>258</v>
      </c>
      <c r="P12" s="217">
        <f t="shared" si="1"/>
        <v>1</v>
      </c>
      <c r="Q12" s="218" t="str">
        <f t="array" ref="Q12">XLOOKUP(O12,Countries!A$2:A$98,Countries!B$2:B$98,"tbd",0)</f>
        <v>U.S. + Canada</v>
      </c>
    </row>
    <row r="13">
      <c r="A13" s="146">
        <v>18.0</v>
      </c>
      <c r="B13" s="147" t="s">
        <v>7</v>
      </c>
      <c r="C13" s="147" t="s">
        <v>195</v>
      </c>
      <c r="D13" s="147" t="s">
        <v>164</v>
      </c>
      <c r="E13" s="147" t="s">
        <v>135</v>
      </c>
      <c r="F13" s="147" t="s">
        <v>136</v>
      </c>
      <c r="G13" s="147" t="s">
        <v>297</v>
      </c>
      <c r="H13" s="148"/>
      <c r="I13" s="147" t="s">
        <v>136</v>
      </c>
      <c r="J13" s="147" t="s">
        <v>1833</v>
      </c>
      <c r="K13" s="147" t="s">
        <v>139</v>
      </c>
      <c r="O13" s="7"/>
    </row>
    <row r="14">
      <c r="A14" s="146">
        <v>17.0</v>
      </c>
      <c r="B14" s="147" t="s">
        <v>6</v>
      </c>
      <c r="C14" s="147" t="s">
        <v>1834</v>
      </c>
      <c r="D14" s="147" t="s">
        <v>296</v>
      </c>
      <c r="E14" s="147" t="s">
        <v>135</v>
      </c>
      <c r="F14" s="147" t="s">
        <v>136</v>
      </c>
      <c r="G14" s="149" t="s">
        <v>4152</v>
      </c>
      <c r="H14" s="147" t="s">
        <v>137</v>
      </c>
      <c r="I14" s="147" t="s">
        <v>136</v>
      </c>
      <c r="J14" s="147" t="s">
        <v>1836</v>
      </c>
      <c r="K14" s="147" t="s">
        <v>139</v>
      </c>
    </row>
    <row r="15">
      <c r="A15" s="146">
        <v>16.0</v>
      </c>
      <c r="B15" s="147" t="s">
        <v>6</v>
      </c>
      <c r="C15" s="147" t="s">
        <v>1837</v>
      </c>
      <c r="D15" s="147" t="s">
        <v>164</v>
      </c>
      <c r="E15" s="147" t="s">
        <v>135</v>
      </c>
      <c r="F15" s="147" t="s">
        <v>136</v>
      </c>
      <c r="G15" s="147" t="s">
        <v>618</v>
      </c>
      <c r="H15" s="148"/>
      <c r="I15" s="147" t="s">
        <v>136</v>
      </c>
      <c r="J15" s="147" t="s">
        <v>1838</v>
      </c>
      <c r="K15" s="147" t="s">
        <v>139</v>
      </c>
    </row>
    <row r="16" ht="15.75" customHeight="1">
      <c r="A16" s="146">
        <v>12.0</v>
      </c>
      <c r="B16" s="147" t="s">
        <v>6</v>
      </c>
      <c r="C16" s="147" t="s">
        <v>1839</v>
      </c>
      <c r="D16" s="147" t="s">
        <v>347</v>
      </c>
      <c r="E16" s="147" t="s">
        <v>136</v>
      </c>
      <c r="F16" s="147" t="s">
        <v>136</v>
      </c>
      <c r="G16" s="147" t="s">
        <v>150</v>
      </c>
      <c r="H16" s="148"/>
      <c r="I16" s="147" t="s">
        <v>136</v>
      </c>
      <c r="J16" s="150">
        <v>45516.79861111111</v>
      </c>
      <c r="K16" s="147" t="s">
        <v>139</v>
      </c>
      <c r="P16" s="7">
        <v>2.0</v>
      </c>
      <c r="Q16" s="7" t="s">
        <v>451</v>
      </c>
    </row>
    <row r="17" ht="15.75" customHeight="1">
      <c r="A17" s="146">
        <v>15.0</v>
      </c>
      <c r="B17" s="147" t="s">
        <v>6</v>
      </c>
      <c r="C17" s="147" t="s">
        <v>1840</v>
      </c>
      <c r="D17" s="147" t="s">
        <v>352</v>
      </c>
      <c r="E17" s="147" t="s">
        <v>135</v>
      </c>
      <c r="F17" s="147" t="s">
        <v>136</v>
      </c>
      <c r="G17" s="149" t="s">
        <v>4153</v>
      </c>
      <c r="H17" s="148"/>
      <c r="I17" s="147" t="s">
        <v>136</v>
      </c>
      <c r="J17" s="147" t="s">
        <v>1842</v>
      </c>
      <c r="K17" s="147" t="s">
        <v>139</v>
      </c>
      <c r="P17" s="7">
        <v>11.0</v>
      </c>
      <c r="Q17" s="7" t="s">
        <v>22</v>
      </c>
    </row>
    <row r="18" ht="15.75" customHeight="1">
      <c r="A18" s="146">
        <v>14.0</v>
      </c>
      <c r="B18" s="147" t="s">
        <v>6</v>
      </c>
      <c r="C18" s="147" t="s">
        <v>1843</v>
      </c>
      <c r="D18" s="147" t="s">
        <v>147</v>
      </c>
      <c r="E18" s="147" t="s">
        <v>135</v>
      </c>
      <c r="F18" s="147" t="s">
        <v>136</v>
      </c>
      <c r="G18" s="147" t="s">
        <v>1225</v>
      </c>
      <c r="H18" s="148"/>
      <c r="I18" s="147" t="s">
        <v>136</v>
      </c>
      <c r="J18" s="150">
        <v>45525.63055555556</v>
      </c>
      <c r="K18" s="147" t="s">
        <v>139</v>
      </c>
    </row>
    <row r="19" ht="15.75" customHeight="1">
      <c r="A19" s="146">
        <v>13.0</v>
      </c>
      <c r="B19" s="147" t="s">
        <v>6</v>
      </c>
      <c r="C19" s="147" t="s">
        <v>1844</v>
      </c>
      <c r="D19" s="147" t="s">
        <v>258</v>
      </c>
      <c r="E19" s="147" t="s">
        <v>136</v>
      </c>
      <c r="F19" s="147" t="s">
        <v>135</v>
      </c>
      <c r="G19" s="147" t="s">
        <v>767</v>
      </c>
      <c r="H19" s="147" t="s">
        <v>1845</v>
      </c>
      <c r="I19" s="147" t="s">
        <v>136</v>
      </c>
      <c r="J19" s="150">
        <v>45516.972916666666</v>
      </c>
      <c r="K19" s="147" t="s">
        <v>139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0" t="s">
        <v>116</v>
      </c>
      <c r="B1" s="310" t="s">
        <v>117</v>
      </c>
      <c r="C1" s="310" t="s">
        <v>118</v>
      </c>
      <c r="D1" s="310" t="s">
        <v>119</v>
      </c>
      <c r="E1" s="310" t="s">
        <v>120</v>
      </c>
      <c r="F1" s="310" t="s">
        <v>121</v>
      </c>
      <c r="G1" s="310" t="s">
        <v>122</v>
      </c>
      <c r="H1" s="310" t="s">
        <v>123</v>
      </c>
      <c r="I1" s="310" t="s">
        <v>3794</v>
      </c>
      <c r="J1" s="310" t="s">
        <v>125</v>
      </c>
      <c r="K1" s="310" t="s">
        <v>126</v>
      </c>
      <c r="L1" s="310" t="s">
        <v>3771</v>
      </c>
      <c r="M1" s="311"/>
      <c r="N1" s="311"/>
      <c r="O1" s="311"/>
      <c r="P1" s="311"/>
      <c r="Q1" s="311"/>
      <c r="R1" s="311"/>
      <c r="S1" s="311"/>
      <c r="T1" s="311"/>
      <c r="U1" s="311"/>
      <c r="V1" s="311"/>
      <c r="W1" s="311"/>
      <c r="X1" s="311"/>
      <c r="Y1" s="311"/>
      <c r="Z1" s="311"/>
    </row>
    <row r="2">
      <c r="A2" s="17">
        <v>1.0</v>
      </c>
      <c r="B2" s="158" t="s">
        <v>1488</v>
      </c>
      <c r="D2" s="158" t="s">
        <v>134</v>
      </c>
      <c r="E2" s="158" t="s">
        <v>2142</v>
      </c>
      <c r="G2" s="158" t="s">
        <v>137</v>
      </c>
      <c r="J2" s="159" t="s">
        <v>2143</v>
      </c>
      <c r="K2" s="17" t="s">
        <v>139</v>
      </c>
      <c r="L2" s="17" t="s">
        <v>208</v>
      </c>
    </row>
    <row r="3">
      <c r="A3" s="17">
        <v>1.0</v>
      </c>
      <c r="B3" s="158" t="s">
        <v>1488</v>
      </c>
      <c r="D3" s="158" t="s">
        <v>143</v>
      </c>
      <c r="E3" s="158" t="s">
        <v>2113</v>
      </c>
      <c r="G3" s="158" t="s">
        <v>2144</v>
      </c>
      <c r="J3" s="159" t="s">
        <v>2145</v>
      </c>
      <c r="K3" s="17" t="s">
        <v>139</v>
      </c>
      <c r="L3" s="17" t="s">
        <v>208</v>
      </c>
    </row>
    <row r="4">
      <c r="A4" s="17">
        <v>1.0</v>
      </c>
      <c r="B4" s="158" t="s">
        <v>1488</v>
      </c>
      <c r="D4" s="158" t="s">
        <v>249</v>
      </c>
      <c r="E4" s="158" t="s">
        <v>2146</v>
      </c>
      <c r="G4" s="158" t="s">
        <v>1522</v>
      </c>
      <c r="J4" s="159" t="s">
        <v>2147</v>
      </c>
      <c r="K4" s="17" t="s">
        <v>139</v>
      </c>
      <c r="L4" s="17" t="s">
        <v>208</v>
      </c>
    </row>
    <row r="5">
      <c r="A5" s="17">
        <v>1.0</v>
      </c>
      <c r="B5" s="158" t="s">
        <v>1491</v>
      </c>
      <c r="D5" s="160" t="s">
        <v>358</v>
      </c>
      <c r="E5" s="158" t="s">
        <v>2142</v>
      </c>
      <c r="G5" s="158" t="s">
        <v>2148</v>
      </c>
      <c r="J5" s="159" t="s">
        <v>2149</v>
      </c>
      <c r="K5" s="17" t="s">
        <v>139</v>
      </c>
      <c r="L5" s="17" t="s">
        <v>208</v>
      </c>
    </row>
    <row r="6">
      <c r="A6" s="17">
        <v>1.0</v>
      </c>
      <c r="B6" s="158" t="s">
        <v>1491</v>
      </c>
      <c r="D6" s="158" t="s">
        <v>143</v>
      </c>
      <c r="E6" s="158" t="s">
        <v>511</v>
      </c>
      <c r="G6" s="158" t="s">
        <v>2150</v>
      </c>
      <c r="J6" s="159" t="s">
        <v>2151</v>
      </c>
      <c r="K6" s="17" t="s">
        <v>139</v>
      </c>
      <c r="L6" s="17" t="s">
        <v>208</v>
      </c>
    </row>
    <row r="7">
      <c r="A7" s="17">
        <v>1.0</v>
      </c>
      <c r="B7" s="158" t="s">
        <v>1491</v>
      </c>
      <c r="D7" s="158" t="s">
        <v>416</v>
      </c>
      <c r="E7" s="158" t="s">
        <v>2142</v>
      </c>
      <c r="G7" s="158" t="s">
        <v>2152</v>
      </c>
      <c r="J7" s="159" t="s">
        <v>2153</v>
      </c>
      <c r="K7" s="17" t="s">
        <v>139</v>
      </c>
      <c r="L7" s="17" t="s">
        <v>208</v>
      </c>
    </row>
    <row r="8">
      <c r="A8" s="17">
        <v>1.0</v>
      </c>
      <c r="B8" s="158" t="s">
        <v>1491</v>
      </c>
      <c r="D8" s="160" t="s">
        <v>263</v>
      </c>
      <c r="E8" s="158" t="s">
        <v>2154</v>
      </c>
      <c r="G8" s="158" t="s">
        <v>2155</v>
      </c>
      <c r="J8" s="159" t="s">
        <v>2156</v>
      </c>
      <c r="K8" s="17" t="s">
        <v>139</v>
      </c>
      <c r="L8" s="17" t="s">
        <v>208</v>
      </c>
    </row>
    <row r="9">
      <c r="A9" s="17">
        <v>1.0</v>
      </c>
      <c r="B9" s="158" t="s">
        <v>1491</v>
      </c>
      <c r="D9" s="160" t="s">
        <v>263</v>
      </c>
      <c r="E9" s="158" t="s">
        <v>2146</v>
      </c>
      <c r="G9" s="158" t="s">
        <v>2157</v>
      </c>
      <c r="J9" s="159" t="s">
        <v>2158</v>
      </c>
      <c r="K9" s="17" t="s">
        <v>139</v>
      </c>
      <c r="L9" s="17" t="s">
        <v>208</v>
      </c>
    </row>
    <row r="10">
      <c r="A10" s="17">
        <v>1.0</v>
      </c>
      <c r="B10" s="158" t="s">
        <v>1488</v>
      </c>
      <c r="D10" s="160" t="s">
        <v>263</v>
      </c>
      <c r="E10" s="158" t="s">
        <v>2146</v>
      </c>
      <c r="G10" s="158" t="s">
        <v>2159</v>
      </c>
      <c r="J10" s="159" t="s">
        <v>2160</v>
      </c>
      <c r="K10" s="17" t="s">
        <v>139</v>
      </c>
      <c r="L10" s="17" t="s">
        <v>208</v>
      </c>
    </row>
    <row r="11">
      <c r="A11" s="17">
        <v>1.0</v>
      </c>
      <c r="B11" s="158" t="s">
        <v>1488</v>
      </c>
      <c r="D11" s="158" t="s">
        <v>164</v>
      </c>
      <c r="E11" s="158" t="s">
        <v>2146</v>
      </c>
      <c r="G11" s="158" t="s">
        <v>2161</v>
      </c>
      <c r="J11" s="159" t="s">
        <v>2162</v>
      </c>
      <c r="K11" s="17" t="s">
        <v>139</v>
      </c>
      <c r="L11" s="17" t="s">
        <v>208</v>
      </c>
    </row>
    <row r="12">
      <c r="A12" s="17">
        <v>1.0</v>
      </c>
      <c r="B12" s="158" t="s">
        <v>1488</v>
      </c>
      <c r="D12" s="158" t="s">
        <v>202</v>
      </c>
      <c r="E12" s="158" t="s">
        <v>2154</v>
      </c>
      <c r="G12" s="158" t="s">
        <v>2163</v>
      </c>
      <c r="J12" s="159" t="s">
        <v>2164</v>
      </c>
      <c r="K12" s="17" t="s">
        <v>139</v>
      </c>
      <c r="L12" s="17" t="s">
        <v>208</v>
      </c>
    </row>
    <row r="13">
      <c r="A13" s="17">
        <v>1.0</v>
      </c>
      <c r="B13" s="158" t="s">
        <v>1488</v>
      </c>
      <c r="D13" s="160" t="s">
        <v>263</v>
      </c>
      <c r="E13" s="158" t="s">
        <v>2165</v>
      </c>
      <c r="G13" s="158" t="s">
        <v>2166</v>
      </c>
      <c r="J13" s="159" t="s">
        <v>2167</v>
      </c>
      <c r="K13" s="17" t="s">
        <v>139</v>
      </c>
      <c r="L13" s="17" t="s">
        <v>208</v>
      </c>
    </row>
    <row r="14">
      <c r="A14" s="17">
        <v>1.0</v>
      </c>
      <c r="B14" s="158" t="s">
        <v>1491</v>
      </c>
      <c r="D14" s="158" t="s">
        <v>143</v>
      </c>
      <c r="E14" s="158" t="s">
        <v>2113</v>
      </c>
      <c r="G14" s="158" t="s">
        <v>1623</v>
      </c>
      <c r="J14" s="159" t="s">
        <v>2168</v>
      </c>
      <c r="K14" s="17" t="s">
        <v>139</v>
      </c>
      <c r="L14" s="17" t="s">
        <v>208</v>
      </c>
    </row>
    <row r="15">
      <c r="A15" s="17">
        <v>1.0</v>
      </c>
      <c r="B15" s="158" t="s">
        <v>1491</v>
      </c>
      <c r="D15" s="158" t="s">
        <v>263</v>
      </c>
      <c r="E15" s="158" t="s">
        <v>2146</v>
      </c>
      <c r="G15" s="158" t="s">
        <v>2169</v>
      </c>
      <c r="J15" s="159" t="s">
        <v>2170</v>
      </c>
      <c r="K15" s="17" t="s">
        <v>139</v>
      </c>
      <c r="L15" s="17" t="s">
        <v>208</v>
      </c>
    </row>
    <row r="16">
      <c r="A16" s="17">
        <v>1.0</v>
      </c>
      <c r="B16" s="158" t="s">
        <v>1491</v>
      </c>
      <c r="D16" s="158" t="s">
        <v>202</v>
      </c>
      <c r="E16" s="158" t="s">
        <v>2165</v>
      </c>
      <c r="G16" s="158" t="s">
        <v>2171</v>
      </c>
      <c r="J16" s="159" t="s">
        <v>2172</v>
      </c>
      <c r="K16" s="17" t="s">
        <v>139</v>
      </c>
      <c r="L16" s="17" t="s">
        <v>208</v>
      </c>
    </row>
    <row r="17">
      <c r="A17" s="17">
        <v>1.0</v>
      </c>
      <c r="B17" s="158" t="s">
        <v>1488</v>
      </c>
      <c r="D17" s="158" t="s">
        <v>164</v>
      </c>
      <c r="E17" s="158" t="s">
        <v>2113</v>
      </c>
      <c r="G17" s="158" t="s">
        <v>775</v>
      </c>
      <c r="J17" s="159" t="s">
        <v>2173</v>
      </c>
      <c r="K17" s="17" t="s">
        <v>139</v>
      </c>
      <c r="L17" s="17" t="s">
        <v>208</v>
      </c>
    </row>
    <row r="18">
      <c r="A18" s="17">
        <v>1.0</v>
      </c>
      <c r="B18" s="158" t="s">
        <v>1488</v>
      </c>
      <c r="D18" s="160" t="s">
        <v>258</v>
      </c>
      <c r="E18" s="158" t="s">
        <v>2165</v>
      </c>
      <c r="G18" s="158" t="s">
        <v>2174</v>
      </c>
      <c r="J18" s="159" t="s">
        <v>2175</v>
      </c>
      <c r="K18" s="17" t="s">
        <v>139</v>
      </c>
      <c r="L18" s="17" t="s">
        <v>208</v>
      </c>
    </row>
    <row r="19">
      <c r="A19" s="17">
        <v>1.0</v>
      </c>
      <c r="B19" s="158" t="s">
        <v>1488</v>
      </c>
      <c r="D19" s="161" t="s">
        <v>176</v>
      </c>
      <c r="E19" s="158" t="s">
        <v>2146</v>
      </c>
      <c r="G19" s="158" t="s">
        <v>137</v>
      </c>
      <c r="J19" s="159" t="s">
        <v>2176</v>
      </c>
      <c r="K19" s="17" t="s">
        <v>139</v>
      </c>
      <c r="L19" s="17" t="s">
        <v>208</v>
      </c>
    </row>
    <row r="20">
      <c r="A20" s="17">
        <v>1.0</v>
      </c>
      <c r="B20" s="158" t="s">
        <v>1488</v>
      </c>
      <c r="D20" s="158" t="s">
        <v>416</v>
      </c>
      <c r="E20" s="158" t="s">
        <v>2146</v>
      </c>
      <c r="G20" s="158" t="s">
        <v>2177</v>
      </c>
      <c r="J20" s="159" t="s">
        <v>2178</v>
      </c>
      <c r="K20" s="17" t="s">
        <v>139</v>
      </c>
      <c r="L20" s="17" t="s">
        <v>208</v>
      </c>
    </row>
    <row r="21">
      <c r="A21" s="17">
        <v>1.0</v>
      </c>
      <c r="B21" s="158" t="s">
        <v>1488</v>
      </c>
      <c r="D21" s="161" t="s">
        <v>213</v>
      </c>
      <c r="E21" s="158" t="s">
        <v>2113</v>
      </c>
      <c r="G21" s="158" t="s">
        <v>2179</v>
      </c>
      <c r="J21" s="159" t="s">
        <v>2180</v>
      </c>
      <c r="K21" s="17" t="s">
        <v>139</v>
      </c>
      <c r="L21" s="17" t="s">
        <v>208</v>
      </c>
    </row>
    <row r="22">
      <c r="A22" s="17">
        <v>1.0</v>
      </c>
      <c r="B22" s="158" t="s">
        <v>1488</v>
      </c>
      <c r="D22" s="158" t="s">
        <v>416</v>
      </c>
      <c r="E22" s="158" t="s">
        <v>2113</v>
      </c>
      <c r="G22" s="158" t="s">
        <v>137</v>
      </c>
      <c r="J22" s="159" t="s">
        <v>2181</v>
      </c>
      <c r="K22" s="17" t="s">
        <v>139</v>
      </c>
      <c r="L22" s="17" t="s">
        <v>208</v>
      </c>
    </row>
    <row r="23">
      <c r="A23" s="17">
        <v>1.0</v>
      </c>
      <c r="B23" s="158" t="s">
        <v>1488</v>
      </c>
      <c r="D23" s="160" t="s">
        <v>263</v>
      </c>
      <c r="E23" s="158" t="s">
        <v>2113</v>
      </c>
      <c r="G23" s="158" t="s">
        <v>2182</v>
      </c>
      <c r="J23" s="159" t="s">
        <v>2183</v>
      </c>
      <c r="K23" s="17" t="s">
        <v>139</v>
      </c>
      <c r="L23" s="17" t="s">
        <v>208</v>
      </c>
    </row>
    <row r="24">
      <c r="A24" s="17">
        <v>1.0</v>
      </c>
      <c r="B24" s="158" t="s">
        <v>1491</v>
      </c>
      <c r="D24" s="160" t="s">
        <v>263</v>
      </c>
      <c r="E24" s="158" t="s">
        <v>2154</v>
      </c>
      <c r="G24" s="158" t="s">
        <v>2184</v>
      </c>
      <c r="J24" s="159" t="s">
        <v>2185</v>
      </c>
      <c r="K24" s="17" t="s">
        <v>139</v>
      </c>
      <c r="L24" s="17" t="s">
        <v>208</v>
      </c>
    </row>
    <row r="25">
      <c r="A25" s="17">
        <v>1.0</v>
      </c>
      <c r="B25" s="158" t="s">
        <v>1491</v>
      </c>
      <c r="D25" s="160" t="s">
        <v>263</v>
      </c>
      <c r="E25" s="158" t="s">
        <v>2142</v>
      </c>
      <c r="G25" s="158" t="s">
        <v>2186</v>
      </c>
      <c r="J25" s="159" t="s">
        <v>2187</v>
      </c>
      <c r="K25" s="17" t="s">
        <v>139</v>
      </c>
      <c r="L25" s="17" t="s">
        <v>208</v>
      </c>
    </row>
    <row r="26">
      <c r="A26" s="17">
        <v>1.0</v>
      </c>
      <c r="B26" s="162" t="s">
        <v>416</v>
      </c>
      <c r="D26" s="158" t="s">
        <v>164</v>
      </c>
      <c r="E26" s="158" t="s">
        <v>2188</v>
      </c>
      <c r="G26" s="158" t="s">
        <v>137</v>
      </c>
      <c r="J26" s="159" t="s">
        <v>2189</v>
      </c>
      <c r="K26" s="17" t="s">
        <v>139</v>
      </c>
      <c r="L26" s="17" t="s">
        <v>208</v>
      </c>
    </row>
    <row r="27">
      <c r="A27" s="17">
        <v>1.0</v>
      </c>
      <c r="B27" s="158" t="s">
        <v>1488</v>
      </c>
      <c r="D27" s="160" t="s">
        <v>263</v>
      </c>
      <c r="E27" s="158" t="s">
        <v>2146</v>
      </c>
      <c r="G27" s="158" t="s">
        <v>137</v>
      </c>
      <c r="J27" s="159" t="s">
        <v>2190</v>
      </c>
      <c r="K27" s="17" t="s">
        <v>139</v>
      </c>
      <c r="L27" s="17" t="s">
        <v>208</v>
      </c>
    </row>
    <row r="28">
      <c r="A28" s="17">
        <v>1.0</v>
      </c>
      <c r="B28" s="158" t="s">
        <v>1488</v>
      </c>
      <c r="D28" s="161" t="s">
        <v>223</v>
      </c>
      <c r="E28" s="158" t="s">
        <v>2191</v>
      </c>
      <c r="G28" s="158" t="s">
        <v>137</v>
      </c>
      <c r="J28" s="159" t="s">
        <v>2192</v>
      </c>
      <c r="K28" s="17" t="s">
        <v>139</v>
      </c>
      <c r="L28" s="17" t="s">
        <v>208</v>
      </c>
    </row>
    <row r="29">
      <c r="A29" s="17">
        <v>1.0</v>
      </c>
      <c r="B29" s="158" t="s">
        <v>1491</v>
      </c>
      <c r="D29" s="158" t="s">
        <v>416</v>
      </c>
      <c r="E29" s="158" t="s">
        <v>2191</v>
      </c>
      <c r="G29" s="158" t="s">
        <v>2193</v>
      </c>
      <c r="J29" s="159" t="s">
        <v>2194</v>
      </c>
      <c r="K29" s="17" t="s">
        <v>139</v>
      </c>
      <c r="L29" s="17" t="s">
        <v>208</v>
      </c>
    </row>
    <row r="30">
      <c r="A30" s="17">
        <v>1.0</v>
      </c>
      <c r="B30" s="158" t="s">
        <v>1491</v>
      </c>
      <c r="D30" s="160" t="s">
        <v>244</v>
      </c>
      <c r="E30" s="158" t="s">
        <v>2146</v>
      </c>
      <c r="G30" s="158" t="s">
        <v>2195</v>
      </c>
      <c r="J30" s="159" t="s">
        <v>2196</v>
      </c>
      <c r="K30" s="17" t="s">
        <v>139</v>
      </c>
      <c r="L30" s="17" t="s">
        <v>208</v>
      </c>
    </row>
    <row r="31">
      <c r="A31" s="17">
        <v>1.0</v>
      </c>
      <c r="B31" s="158" t="s">
        <v>1491</v>
      </c>
      <c r="D31" s="158" t="s">
        <v>416</v>
      </c>
      <c r="E31" s="158" t="s">
        <v>2113</v>
      </c>
      <c r="G31" s="158" t="s">
        <v>2197</v>
      </c>
      <c r="J31" s="159" t="s">
        <v>2198</v>
      </c>
      <c r="K31" s="17" t="s">
        <v>139</v>
      </c>
      <c r="L31" s="17" t="s">
        <v>208</v>
      </c>
    </row>
    <row r="32">
      <c r="A32" s="17">
        <v>1.0</v>
      </c>
      <c r="B32" s="158" t="s">
        <v>1491</v>
      </c>
      <c r="D32" s="160" t="s">
        <v>263</v>
      </c>
      <c r="E32" s="158" t="s">
        <v>2154</v>
      </c>
      <c r="G32" s="158" t="s">
        <v>2199</v>
      </c>
      <c r="J32" s="159" t="s">
        <v>2200</v>
      </c>
      <c r="K32" s="17" t="s">
        <v>139</v>
      </c>
      <c r="L32" s="17" t="s">
        <v>208</v>
      </c>
    </row>
    <row r="33">
      <c r="A33" s="17">
        <v>1.0</v>
      </c>
      <c r="B33" s="158" t="s">
        <v>1488</v>
      </c>
      <c r="D33" s="160" t="s">
        <v>263</v>
      </c>
      <c r="E33" s="158" t="s">
        <v>2165</v>
      </c>
      <c r="G33" s="158" t="s">
        <v>2201</v>
      </c>
      <c r="J33" s="159" t="s">
        <v>2202</v>
      </c>
      <c r="K33" s="17" t="s">
        <v>139</v>
      </c>
      <c r="L33" s="17" t="s">
        <v>208</v>
      </c>
    </row>
    <row r="34">
      <c r="A34" s="17">
        <v>1.0</v>
      </c>
      <c r="B34" s="158" t="s">
        <v>1488</v>
      </c>
      <c r="D34" s="160" t="s">
        <v>263</v>
      </c>
      <c r="E34" s="158" t="s">
        <v>2203</v>
      </c>
      <c r="G34" s="158" t="s">
        <v>2204</v>
      </c>
      <c r="J34" s="159" t="s">
        <v>2205</v>
      </c>
      <c r="K34" s="17" t="s">
        <v>139</v>
      </c>
      <c r="L34" s="17" t="s">
        <v>208</v>
      </c>
    </row>
    <row r="35">
      <c r="A35" s="17">
        <v>1.0</v>
      </c>
      <c r="B35" s="158" t="s">
        <v>1488</v>
      </c>
      <c r="D35" s="160" t="s">
        <v>219</v>
      </c>
      <c r="E35" s="158" t="s">
        <v>2146</v>
      </c>
      <c r="G35" s="158" t="s">
        <v>1670</v>
      </c>
      <c r="J35" s="159" t="s">
        <v>2206</v>
      </c>
      <c r="K35" s="17" t="s">
        <v>139</v>
      </c>
      <c r="L35" s="17" t="s">
        <v>208</v>
      </c>
    </row>
    <row r="36">
      <c r="A36" s="17">
        <v>1.0</v>
      </c>
      <c r="B36" s="158" t="s">
        <v>1491</v>
      </c>
      <c r="D36" s="160" t="s">
        <v>263</v>
      </c>
      <c r="E36" s="158" t="s">
        <v>2146</v>
      </c>
      <c r="G36" s="158" t="s">
        <v>2207</v>
      </c>
      <c r="J36" s="159" t="s">
        <v>2208</v>
      </c>
      <c r="K36" s="17" t="s">
        <v>139</v>
      </c>
      <c r="L36" s="17" t="s">
        <v>208</v>
      </c>
    </row>
    <row r="37">
      <c r="A37" s="17">
        <v>1.0</v>
      </c>
      <c r="B37" s="158" t="s">
        <v>1488</v>
      </c>
      <c r="D37" s="158" t="s">
        <v>193</v>
      </c>
      <c r="E37" s="158" t="s">
        <v>2165</v>
      </c>
      <c r="G37" s="158" t="s">
        <v>2209</v>
      </c>
      <c r="J37" s="159" t="s">
        <v>2210</v>
      </c>
      <c r="K37" s="17" t="s">
        <v>139</v>
      </c>
      <c r="L37" s="17" t="s">
        <v>208</v>
      </c>
    </row>
    <row r="38">
      <c r="A38" s="17">
        <v>1.0</v>
      </c>
      <c r="B38" s="158" t="s">
        <v>1488</v>
      </c>
      <c r="D38" s="160" t="s">
        <v>263</v>
      </c>
      <c r="E38" s="158" t="s">
        <v>2113</v>
      </c>
      <c r="G38" s="158" t="s">
        <v>2211</v>
      </c>
      <c r="J38" s="159" t="s">
        <v>2212</v>
      </c>
      <c r="K38" s="17" t="s">
        <v>139</v>
      </c>
      <c r="L38" s="17" t="s">
        <v>208</v>
      </c>
    </row>
    <row r="39">
      <c r="A39" s="17">
        <v>1.0</v>
      </c>
      <c r="B39" s="162" t="s">
        <v>416</v>
      </c>
      <c r="D39" s="158" t="s">
        <v>143</v>
      </c>
      <c r="E39" s="158" t="s">
        <v>2165</v>
      </c>
      <c r="G39" s="158" t="s">
        <v>137</v>
      </c>
      <c r="J39" s="159" t="s">
        <v>2213</v>
      </c>
      <c r="K39" s="17" t="s">
        <v>139</v>
      </c>
      <c r="L39" s="17" t="s">
        <v>208</v>
      </c>
    </row>
    <row r="40">
      <c r="A40" s="17">
        <v>1.0</v>
      </c>
      <c r="B40" s="158" t="s">
        <v>1488</v>
      </c>
      <c r="D40" s="158" t="s">
        <v>416</v>
      </c>
      <c r="E40" s="158" t="s">
        <v>2142</v>
      </c>
      <c r="G40" s="158" t="s">
        <v>2214</v>
      </c>
      <c r="J40" s="159" t="s">
        <v>2215</v>
      </c>
      <c r="K40" s="17" t="s">
        <v>139</v>
      </c>
      <c r="L40" s="17" t="s">
        <v>208</v>
      </c>
    </row>
    <row r="41">
      <c r="A41" s="17">
        <v>1.0</v>
      </c>
      <c r="B41" s="158" t="s">
        <v>1488</v>
      </c>
      <c r="D41" s="160" t="s">
        <v>263</v>
      </c>
      <c r="E41" s="158" t="s">
        <v>2154</v>
      </c>
      <c r="G41" s="158" t="s">
        <v>2216</v>
      </c>
      <c r="J41" s="159" t="s">
        <v>2217</v>
      </c>
      <c r="K41" s="17" t="s">
        <v>139</v>
      </c>
      <c r="L41" s="17" t="s">
        <v>208</v>
      </c>
    </row>
    <row r="42">
      <c r="A42" s="17">
        <v>1.0</v>
      </c>
      <c r="B42" s="158" t="s">
        <v>1488</v>
      </c>
      <c r="D42" s="160" t="s">
        <v>263</v>
      </c>
      <c r="E42" s="158" t="s">
        <v>2146</v>
      </c>
      <c r="G42" s="158" t="s">
        <v>2218</v>
      </c>
      <c r="J42" s="159" t="s">
        <v>2219</v>
      </c>
      <c r="K42" s="17" t="s">
        <v>139</v>
      </c>
      <c r="L42" s="17" t="s">
        <v>208</v>
      </c>
    </row>
    <row r="43">
      <c r="A43" s="17">
        <v>1.0</v>
      </c>
      <c r="B43" s="158" t="s">
        <v>1491</v>
      </c>
      <c r="D43" s="158" t="s">
        <v>416</v>
      </c>
      <c r="E43" s="158" t="s">
        <v>2146</v>
      </c>
      <c r="G43" s="158" t="s">
        <v>137</v>
      </c>
      <c r="J43" s="159" t="s">
        <v>2220</v>
      </c>
      <c r="K43" s="17" t="s">
        <v>139</v>
      </c>
      <c r="L43" s="17" t="s">
        <v>208</v>
      </c>
    </row>
    <row r="44">
      <c r="A44" s="17">
        <v>1.0</v>
      </c>
      <c r="B44" s="158" t="s">
        <v>1488</v>
      </c>
      <c r="D44" s="160" t="s">
        <v>264</v>
      </c>
      <c r="E44" s="158" t="s">
        <v>2165</v>
      </c>
      <c r="G44" s="158" t="s">
        <v>2221</v>
      </c>
      <c r="J44" s="159" t="s">
        <v>2222</v>
      </c>
      <c r="K44" s="17" t="s">
        <v>139</v>
      </c>
      <c r="L44" s="17" t="s">
        <v>208</v>
      </c>
    </row>
    <row r="45">
      <c r="A45" s="17">
        <v>1.0</v>
      </c>
      <c r="B45" s="158" t="s">
        <v>1488</v>
      </c>
      <c r="D45" s="160" t="s">
        <v>210</v>
      </c>
      <c r="E45" s="158" t="s">
        <v>2146</v>
      </c>
      <c r="G45" s="158" t="s">
        <v>2223</v>
      </c>
      <c r="J45" s="159" t="s">
        <v>2224</v>
      </c>
      <c r="K45" s="17" t="s">
        <v>139</v>
      </c>
      <c r="L45" s="17" t="s">
        <v>208</v>
      </c>
    </row>
    <row r="46">
      <c r="A46" s="17">
        <v>1.0</v>
      </c>
      <c r="B46" s="158" t="s">
        <v>1491</v>
      </c>
      <c r="D46" s="160" t="s">
        <v>263</v>
      </c>
      <c r="E46" s="158" t="s">
        <v>2142</v>
      </c>
      <c r="G46" s="158" t="s">
        <v>2225</v>
      </c>
      <c r="J46" s="159" t="s">
        <v>2226</v>
      </c>
      <c r="K46" s="17" t="s">
        <v>139</v>
      </c>
      <c r="L46" s="17" t="s">
        <v>208</v>
      </c>
    </row>
    <row r="47">
      <c r="A47" s="17">
        <v>1.0</v>
      </c>
      <c r="B47" s="158" t="s">
        <v>1491</v>
      </c>
      <c r="D47" s="160" t="s">
        <v>263</v>
      </c>
      <c r="E47" s="158" t="s">
        <v>2146</v>
      </c>
      <c r="G47" s="158" t="s">
        <v>2227</v>
      </c>
      <c r="J47" s="159" t="s">
        <v>2228</v>
      </c>
      <c r="K47" s="17" t="s">
        <v>139</v>
      </c>
      <c r="L47" s="17" t="s">
        <v>208</v>
      </c>
    </row>
    <row r="48">
      <c r="A48" s="17">
        <v>1.0</v>
      </c>
      <c r="B48" s="158" t="s">
        <v>1488</v>
      </c>
      <c r="D48" s="160" t="s">
        <v>263</v>
      </c>
      <c r="E48" s="158" t="s">
        <v>2154</v>
      </c>
      <c r="G48" s="158" t="s">
        <v>2229</v>
      </c>
      <c r="J48" s="159" t="s">
        <v>2230</v>
      </c>
      <c r="K48" s="17" t="s">
        <v>139</v>
      </c>
      <c r="L48" s="17" t="s">
        <v>208</v>
      </c>
    </row>
    <row r="49">
      <c r="A49" s="17">
        <v>1.0</v>
      </c>
      <c r="B49" s="158" t="s">
        <v>1488</v>
      </c>
      <c r="D49" s="158" t="s">
        <v>263</v>
      </c>
      <c r="E49" s="158" t="s">
        <v>2231</v>
      </c>
      <c r="G49" s="158" t="s">
        <v>2232</v>
      </c>
      <c r="J49" s="159" t="s">
        <v>2233</v>
      </c>
      <c r="K49" s="17" t="s">
        <v>139</v>
      </c>
      <c r="L49" s="17" t="s">
        <v>208</v>
      </c>
    </row>
    <row r="50">
      <c r="A50" s="17">
        <v>1.0</v>
      </c>
      <c r="B50" s="158" t="s">
        <v>1488</v>
      </c>
      <c r="D50" s="158" t="s">
        <v>416</v>
      </c>
      <c r="E50" s="158" t="s">
        <v>2154</v>
      </c>
      <c r="G50" s="158" t="s">
        <v>2234</v>
      </c>
      <c r="J50" s="159" t="s">
        <v>2235</v>
      </c>
      <c r="K50" s="17" t="s">
        <v>139</v>
      </c>
      <c r="L50" s="17" t="s">
        <v>208</v>
      </c>
    </row>
    <row r="51">
      <c r="A51" s="17">
        <v>1.0</v>
      </c>
      <c r="B51" s="158" t="s">
        <v>1491</v>
      </c>
      <c r="D51" s="160" t="s">
        <v>263</v>
      </c>
      <c r="E51" s="158" t="s">
        <v>2146</v>
      </c>
      <c r="G51" s="158" t="s">
        <v>2236</v>
      </c>
      <c r="J51" s="159" t="s">
        <v>2237</v>
      </c>
      <c r="K51" s="17" t="s">
        <v>139</v>
      </c>
      <c r="L51" s="17" t="s">
        <v>208</v>
      </c>
    </row>
    <row r="52">
      <c r="A52" s="17">
        <v>1.0</v>
      </c>
      <c r="B52" s="158" t="s">
        <v>1488</v>
      </c>
      <c r="D52" s="160" t="s">
        <v>313</v>
      </c>
      <c r="E52" s="158" t="s">
        <v>2146</v>
      </c>
      <c r="G52" s="158" t="s">
        <v>2238</v>
      </c>
      <c r="J52" s="159" t="s">
        <v>2239</v>
      </c>
      <c r="K52" s="17" t="s">
        <v>139</v>
      </c>
      <c r="L52" s="17" t="s">
        <v>208</v>
      </c>
    </row>
    <row r="53">
      <c r="A53" s="17">
        <v>1.0</v>
      </c>
      <c r="B53" s="158" t="s">
        <v>1491</v>
      </c>
      <c r="D53" s="158" t="s">
        <v>143</v>
      </c>
      <c r="E53" s="158" t="s">
        <v>2113</v>
      </c>
      <c r="G53" s="158" t="s">
        <v>2240</v>
      </c>
      <c r="J53" s="159" t="s">
        <v>2241</v>
      </c>
      <c r="K53" s="17" t="s">
        <v>139</v>
      </c>
      <c r="L53" s="17" t="s">
        <v>208</v>
      </c>
    </row>
    <row r="54">
      <c r="A54" s="17">
        <v>1.0</v>
      </c>
      <c r="B54" s="158" t="s">
        <v>1491</v>
      </c>
      <c r="D54" s="158" t="s">
        <v>143</v>
      </c>
      <c r="E54" s="158" t="s">
        <v>2242</v>
      </c>
      <c r="G54" s="158" t="s">
        <v>137</v>
      </c>
      <c r="J54" s="159" t="s">
        <v>2243</v>
      </c>
      <c r="K54" s="17" t="s">
        <v>139</v>
      </c>
      <c r="L54" s="17" t="s">
        <v>208</v>
      </c>
    </row>
    <row r="55">
      <c r="A55" s="17">
        <v>1.0</v>
      </c>
      <c r="B55" s="158" t="s">
        <v>1488</v>
      </c>
      <c r="D55" s="160" t="s">
        <v>263</v>
      </c>
      <c r="E55" s="158" t="s">
        <v>2146</v>
      </c>
      <c r="G55" s="158" t="s">
        <v>2244</v>
      </c>
      <c r="J55" s="159" t="s">
        <v>2245</v>
      </c>
      <c r="K55" s="17" t="s">
        <v>139</v>
      </c>
      <c r="L55" s="17" t="s">
        <v>208</v>
      </c>
    </row>
    <row r="56">
      <c r="A56" s="17">
        <v>1.0</v>
      </c>
      <c r="B56" s="158" t="s">
        <v>1491</v>
      </c>
      <c r="D56" s="160" t="s">
        <v>258</v>
      </c>
      <c r="E56" s="158" t="s">
        <v>2146</v>
      </c>
      <c r="G56" s="158" t="s">
        <v>2246</v>
      </c>
      <c r="J56" s="159" t="s">
        <v>2247</v>
      </c>
      <c r="K56" s="17" t="s">
        <v>139</v>
      </c>
      <c r="L56" s="17" t="s">
        <v>208</v>
      </c>
    </row>
    <row r="57">
      <c r="A57" s="17">
        <v>1.0</v>
      </c>
      <c r="B57" s="158" t="s">
        <v>1491</v>
      </c>
      <c r="D57" s="160" t="s">
        <v>258</v>
      </c>
      <c r="E57" s="158" t="s">
        <v>2203</v>
      </c>
      <c r="G57" s="158" t="s">
        <v>137</v>
      </c>
      <c r="J57" s="159" t="s">
        <v>2248</v>
      </c>
      <c r="K57" s="17" t="s">
        <v>139</v>
      </c>
      <c r="L57" s="17" t="s">
        <v>208</v>
      </c>
    </row>
    <row r="58">
      <c r="A58" s="17">
        <v>1.0</v>
      </c>
      <c r="B58" s="158" t="s">
        <v>1488</v>
      </c>
      <c r="D58" s="158" t="s">
        <v>134</v>
      </c>
      <c r="E58" s="158" t="s">
        <v>2146</v>
      </c>
      <c r="G58" s="158" t="s">
        <v>2249</v>
      </c>
      <c r="J58" s="159" t="s">
        <v>2250</v>
      </c>
      <c r="K58" s="17" t="s">
        <v>139</v>
      </c>
      <c r="L58" s="17" t="s">
        <v>208</v>
      </c>
    </row>
    <row r="59">
      <c r="A59" s="17">
        <v>1.0</v>
      </c>
      <c r="B59" s="158" t="s">
        <v>1488</v>
      </c>
      <c r="D59" s="158" t="s">
        <v>134</v>
      </c>
      <c r="E59" s="158" t="s">
        <v>2146</v>
      </c>
      <c r="G59" s="158" t="s">
        <v>2251</v>
      </c>
      <c r="J59" s="159" t="s">
        <v>2252</v>
      </c>
      <c r="K59" s="17" t="s">
        <v>139</v>
      </c>
      <c r="L59" s="17" t="s">
        <v>208</v>
      </c>
    </row>
    <row r="60">
      <c r="A60" s="17">
        <v>1.0</v>
      </c>
      <c r="B60" s="158" t="s">
        <v>1491</v>
      </c>
      <c r="D60" s="160" t="s">
        <v>203</v>
      </c>
      <c r="E60" s="158" t="s">
        <v>2142</v>
      </c>
      <c r="G60" s="158" t="s">
        <v>2253</v>
      </c>
      <c r="J60" s="159" t="s">
        <v>2254</v>
      </c>
      <c r="K60" s="17" t="s">
        <v>139</v>
      </c>
      <c r="L60" s="17" t="s">
        <v>208</v>
      </c>
    </row>
    <row r="61">
      <c r="A61" s="17">
        <v>1.0</v>
      </c>
      <c r="B61" s="158" t="s">
        <v>1488</v>
      </c>
      <c r="D61" s="160" t="s">
        <v>263</v>
      </c>
      <c r="E61" s="158" t="s">
        <v>2146</v>
      </c>
      <c r="G61" s="158" t="s">
        <v>2255</v>
      </c>
      <c r="J61" s="159" t="s">
        <v>2256</v>
      </c>
      <c r="K61" s="17" t="s">
        <v>139</v>
      </c>
      <c r="L61" s="17" t="s">
        <v>208</v>
      </c>
    </row>
    <row r="62">
      <c r="A62" s="17">
        <v>1.0</v>
      </c>
      <c r="B62" s="158" t="s">
        <v>1488</v>
      </c>
      <c r="D62" s="158" t="s">
        <v>164</v>
      </c>
      <c r="E62" s="158" t="s">
        <v>2165</v>
      </c>
      <c r="G62" s="158" t="s">
        <v>2257</v>
      </c>
      <c r="J62" s="159" t="s">
        <v>2258</v>
      </c>
      <c r="K62" s="17" t="s">
        <v>139</v>
      </c>
      <c r="L62" s="17" t="s">
        <v>208</v>
      </c>
    </row>
    <row r="63">
      <c r="A63" s="17">
        <v>1.0</v>
      </c>
      <c r="B63" s="158" t="s">
        <v>1488</v>
      </c>
      <c r="D63" s="158" t="s">
        <v>143</v>
      </c>
      <c r="E63" s="158" t="s">
        <v>2113</v>
      </c>
      <c r="G63" s="158" t="s">
        <v>2259</v>
      </c>
      <c r="J63" s="159" t="s">
        <v>2260</v>
      </c>
      <c r="K63" s="17" t="s">
        <v>139</v>
      </c>
      <c r="L63" s="17" t="s">
        <v>208</v>
      </c>
    </row>
    <row r="64">
      <c r="A64" s="17">
        <v>1.0</v>
      </c>
      <c r="B64" s="158" t="s">
        <v>1491</v>
      </c>
      <c r="D64" s="158" t="s">
        <v>202</v>
      </c>
      <c r="E64" s="158" t="s">
        <v>2113</v>
      </c>
      <c r="G64" s="158" t="s">
        <v>2261</v>
      </c>
      <c r="J64" s="159" t="s">
        <v>2262</v>
      </c>
      <c r="K64" s="17" t="s">
        <v>139</v>
      </c>
      <c r="L64" s="17" t="s">
        <v>208</v>
      </c>
    </row>
    <row r="65">
      <c r="A65" s="17">
        <v>1.0</v>
      </c>
      <c r="B65" s="158" t="s">
        <v>1488</v>
      </c>
      <c r="D65" s="160" t="s">
        <v>263</v>
      </c>
      <c r="E65" s="158" t="s">
        <v>2146</v>
      </c>
      <c r="G65" s="158" t="s">
        <v>2263</v>
      </c>
      <c r="J65" s="159" t="s">
        <v>2264</v>
      </c>
      <c r="K65" s="17" t="s">
        <v>139</v>
      </c>
      <c r="L65" s="17" t="s">
        <v>208</v>
      </c>
    </row>
    <row r="66">
      <c r="A66" s="17">
        <v>1.0</v>
      </c>
      <c r="B66" s="158" t="s">
        <v>1488</v>
      </c>
      <c r="D66" s="158" t="s">
        <v>416</v>
      </c>
      <c r="E66" s="158" t="s">
        <v>2165</v>
      </c>
      <c r="G66" s="158" t="s">
        <v>2265</v>
      </c>
      <c r="J66" s="159" t="s">
        <v>2266</v>
      </c>
      <c r="K66" s="17" t="s">
        <v>139</v>
      </c>
      <c r="L66" s="17" t="s">
        <v>208</v>
      </c>
    </row>
    <row r="67">
      <c r="A67" s="17">
        <v>1.0</v>
      </c>
      <c r="B67" s="158" t="s">
        <v>1491</v>
      </c>
      <c r="D67" s="158" t="s">
        <v>134</v>
      </c>
      <c r="E67" s="158" t="s">
        <v>511</v>
      </c>
      <c r="G67" s="158" t="s">
        <v>2267</v>
      </c>
      <c r="J67" s="159" t="s">
        <v>2268</v>
      </c>
      <c r="K67" s="17" t="s">
        <v>139</v>
      </c>
      <c r="L67" s="17" t="s">
        <v>208</v>
      </c>
    </row>
    <row r="68">
      <c r="A68" s="17">
        <v>1.0</v>
      </c>
      <c r="B68" s="158" t="s">
        <v>1488</v>
      </c>
      <c r="D68" s="160" t="s">
        <v>263</v>
      </c>
      <c r="E68" s="158" t="s">
        <v>2146</v>
      </c>
      <c r="G68" s="158" t="s">
        <v>137</v>
      </c>
      <c r="J68" s="159" t="s">
        <v>2269</v>
      </c>
      <c r="K68" s="17" t="s">
        <v>139</v>
      </c>
      <c r="L68" s="17" t="s">
        <v>208</v>
      </c>
    </row>
    <row r="69">
      <c r="A69" s="17">
        <v>1.0</v>
      </c>
      <c r="B69" s="158" t="s">
        <v>1491</v>
      </c>
      <c r="D69" s="160" t="s">
        <v>159</v>
      </c>
      <c r="E69" s="158" t="s">
        <v>2146</v>
      </c>
      <c r="G69" s="158" t="s">
        <v>2270</v>
      </c>
      <c r="J69" s="159" t="s">
        <v>2271</v>
      </c>
      <c r="K69" s="17" t="s">
        <v>139</v>
      </c>
      <c r="L69" s="17" t="s">
        <v>208</v>
      </c>
    </row>
    <row r="70">
      <c r="A70" s="17">
        <v>1.0</v>
      </c>
      <c r="B70" s="158" t="s">
        <v>1488</v>
      </c>
      <c r="D70" s="160" t="s">
        <v>263</v>
      </c>
      <c r="E70" s="158" t="s">
        <v>2146</v>
      </c>
      <c r="G70" s="158" t="s">
        <v>2272</v>
      </c>
      <c r="J70" s="159" t="s">
        <v>2273</v>
      </c>
      <c r="K70" s="17" t="s">
        <v>139</v>
      </c>
      <c r="L70" s="17" t="s">
        <v>208</v>
      </c>
    </row>
    <row r="71">
      <c r="A71" s="17">
        <v>1.0</v>
      </c>
      <c r="B71" s="158" t="s">
        <v>1491</v>
      </c>
      <c r="D71" s="160" t="s">
        <v>263</v>
      </c>
      <c r="E71" s="158" t="s">
        <v>2146</v>
      </c>
      <c r="G71" s="158" t="s">
        <v>2274</v>
      </c>
      <c r="J71" s="159" t="s">
        <v>2275</v>
      </c>
      <c r="K71" s="17" t="s">
        <v>139</v>
      </c>
      <c r="L71" s="17" t="s">
        <v>208</v>
      </c>
    </row>
    <row r="72">
      <c r="A72" s="17">
        <v>1.0</v>
      </c>
      <c r="B72" s="158" t="s">
        <v>1488</v>
      </c>
      <c r="D72" s="160" t="s">
        <v>263</v>
      </c>
      <c r="E72" s="158" t="s">
        <v>2146</v>
      </c>
      <c r="G72" s="158" t="s">
        <v>2276</v>
      </c>
      <c r="J72" s="159" t="s">
        <v>2277</v>
      </c>
      <c r="K72" s="17" t="s">
        <v>139</v>
      </c>
      <c r="L72" s="17" t="s">
        <v>208</v>
      </c>
    </row>
    <row r="73">
      <c r="A73" s="17">
        <v>1.0</v>
      </c>
      <c r="B73" s="158" t="s">
        <v>1488</v>
      </c>
      <c r="D73" s="160" t="s">
        <v>263</v>
      </c>
      <c r="E73" s="158" t="s">
        <v>2165</v>
      </c>
      <c r="G73" s="158" t="s">
        <v>2278</v>
      </c>
      <c r="J73" s="159" t="s">
        <v>2279</v>
      </c>
      <c r="K73" s="17" t="s">
        <v>139</v>
      </c>
      <c r="L73" s="17" t="s">
        <v>208</v>
      </c>
    </row>
    <row r="74">
      <c r="A74" s="17">
        <v>1.0</v>
      </c>
      <c r="B74" s="158" t="s">
        <v>1488</v>
      </c>
      <c r="D74" s="158" t="s">
        <v>164</v>
      </c>
      <c r="E74" s="158" t="s">
        <v>2280</v>
      </c>
      <c r="G74" s="158" t="s">
        <v>2281</v>
      </c>
      <c r="J74" s="159" t="s">
        <v>2282</v>
      </c>
      <c r="K74" s="17" t="s">
        <v>139</v>
      </c>
      <c r="L74" s="17" t="s">
        <v>208</v>
      </c>
    </row>
    <row r="75">
      <c r="A75" s="17">
        <v>1.0</v>
      </c>
      <c r="B75" s="158" t="s">
        <v>1491</v>
      </c>
      <c r="D75" s="161" t="s">
        <v>176</v>
      </c>
      <c r="E75" s="158" t="s">
        <v>2283</v>
      </c>
      <c r="G75" s="158" t="s">
        <v>137</v>
      </c>
      <c r="J75" s="159" t="s">
        <v>2284</v>
      </c>
      <c r="K75" s="17" t="s">
        <v>139</v>
      </c>
      <c r="L75" s="17" t="s">
        <v>208</v>
      </c>
    </row>
    <row r="76">
      <c r="A76" s="17">
        <v>1.0</v>
      </c>
      <c r="B76" s="158" t="s">
        <v>1491</v>
      </c>
      <c r="D76" s="161" t="s">
        <v>176</v>
      </c>
      <c r="E76" s="158" t="s">
        <v>2285</v>
      </c>
      <c r="G76" s="158" t="s">
        <v>2286</v>
      </c>
      <c r="J76" s="159" t="s">
        <v>2287</v>
      </c>
      <c r="K76" s="17" t="s">
        <v>139</v>
      </c>
      <c r="L76" s="17" t="s">
        <v>208</v>
      </c>
    </row>
    <row r="77">
      <c r="A77" s="17">
        <v>1.0</v>
      </c>
      <c r="B77" s="158" t="s">
        <v>1491</v>
      </c>
      <c r="D77" s="158" t="s">
        <v>193</v>
      </c>
      <c r="E77" s="158" t="s">
        <v>2113</v>
      </c>
      <c r="G77" s="158" t="s">
        <v>2288</v>
      </c>
      <c r="J77" s="159" t="s">
        <v>2289</v>
      </c>
      <c r="K77" s="17" t="s">
        <v>139</v>
      </c>
      <c r="L77" s="17" t="s">
        <v>208</v>
      </c>
    </row>
    <row r="78">
      <c r="A78" s="17">
        <v>1.0</v>
      </c>
      <c r="B78" s="158" t="s">
        <v>1491</v>
      </c>
      <c r="D78" s="158" t="s">
        <v>164</v>
      </c>
      <c r="E78" s="158" t="s">
        <v>2113</v>
      </c>
      <c r="G78" s="158" t="s">
        <v>2290</v>
      </c>
      <c r="J78" s="159" t="s">
        <v>2291</v>
      </c>
      <c r="K78" s="17" t="s">
        <v>139</v>
      </c>
      <c r="L78" s="17" t="s">
        <v>208</v>
      </c>
    </row>
    <row r="79">
      <c r="A79" s="17">
        <v>1.0</v>
      </c>
      <c r="B79" s="158" t="s">
        <v>1488</v>
      </c>
      <c r="D79" s="160" t="s">
        <v>263</v>
      </c>
      <c r="E79" s="158" t="s">
        <v>2113</v>
      </c>
      <c r="G79" s="158" t="s">
        <v>2292</v>
      </c>
      <c r="J79" s="159" t="s">
        <v>2293</v>
      </c>
      <c r="K79" s="17" t="s">
        <v>139</v>
      </c>
      <c r="L79" s="17" t="s">
        <v>208</v>
      </c>
    </row>
    <row r="80">
      <c r="A80" s="17">
        <v>1.0</v>
      </c>
      <c r="B80" s="158" t="s">
        <v>1488</v>
      </c>
      <c r="D80" s="158" t="s">
        <v>416</v>
      </c>
      <c r="E80" s="158" t="s">
        <v>2191</v>
      </c>
      <c r="G80" s="158" t="s">
        <v>2294</v>
      </c>
      <c r="J80" s="159" t="s">
        <v>2295</v>
      </c>
      <c r="K80" s="17" t="s">
        <v>139</v>
      </c>
      <c r="L80" s="17" t="s">
        <v>208</v>
      </c>
    </row>
    <row r="81">
      <c r="A81" s="17">
        <v>1.0</v>
      </c>
      <c r="B81" s="158" t="s">
        <v>1491</v>
      </c>
      <c r="D81" s="161" t="s">
        <v>176</v>
      </c>
      <c r="E81" s="158" t="s">
        <v>2113</v>
      </c>
      <c r="G81" s="158" t="s">
        <v>2296</v>
      </c>
      <c r="J81" s="159" t="s">
        <v>2297</v>
      </c>
      <c r="K81" s="17" t="s">
        <v>139</v>
      </c>
      <c r="L81" s="17" t="s">
        <v>208</v>
      </c>
    </row>
    <row r="82">
      <c r="A82" s="17">
        <v>1.0</v>
      </c>
      <c r="B82" s="158" t="s">
        <v>1491</v>
      </c>
      <c r="D82" s="161" t="s">
        <v>233</v>
      </c>
      <c r="E82" s="158" t="s">
        <v>2285</v>
      </c>
      <c r="G82" s="158" t="s">
        <v>2298</v>
      </c>
      <c r="J82" s="159" t="s">
        <v>2299</v>
      </c>
      <c r="K82" s="17" t="s">
        <v>139</v>
      </c>
      <c r="L82" s="17" t="s">
        <v>208</v>
      </c>
    </row>
    <row r="83">
      <c r="A83" s="17">
        <v>1.0</v>
      </c>
      <c r="B83" s="158" t="s">
        <v>1488</v>
      </c>
      <c r="D83" s="160" t="s">
        <v>347</v>
      </c>
      <c r="E83" s="158" t="s">
        <v>2285</v>
      </c>
      <c r="G83" s="158" t="s">
        <v>137</v>
      </c>
      <c r="J83" s="159" t="s">
        <v>2300</v>
      </c>
      <c r="K83" s="17" t="s">
        <v>139</v>
      </c>
      <c r="L83" s="17" t="s">
        <v>208</v>
      </c>
    </row>
    <row r="84">
      <c r="A84" s="17">
        <v>1.0</v>
      </c>
      <c r="B84" s="158" t="s">
        <v>1488</v>
      </c>
      <c r="D84" s="158" t="s">
        <v>143</v>
      </c>
      <c r="E84" s="158" t="s">
        <v>2165</v>
      </c>
      <c r="G84" s="158" t="s">
        <v>2218</v>
      </c>
      <c r="J84" s="159" t="s">
        <v>2301</v>
      </c>
      <c r="K84" s="17" t="s">
        <v>139</v>
      </c>
      <c r="L84" s="17" t="s">
        <v>208</v>
      </c>
    </row>
    <row r="85">
      <c r="A85" s="17">
        <v>1.0</v>
      </c>
      <c r="B85" s="158" t="s">
        <v>1491</v>
      </c>
      <c r="D85" s="158" t="s">
        <v>134</v>
      </c>
      <c r="E85" s="158" t="s">
        <v>2146</v>
      </c>
      <c r="G85" s="158" t="s">
        <v>2302</v>
      </c>
      <c r="J85" s="159" t="s">
        <v>2303</v>
      </c>
      <c r="K85" s="17" t="s">
        <v>139</v>
      </c>
      <c r="L85" s="17" t="s">
        <v>208</v>
      </c>
    </row>
    <row r="86">
      <c r="A86" s="17">
        <v>1.0</v>
      </c>
      <c r="B86" s="158" t="s">
        <v>1488</v>
      </c>
      <c r="D86" s="160" t="s">
        <v>263</v>
      </c>
      <c r="E86" s="158" t="s">
        <v>2191</v>
      </c>
      <c r="G86" s="158" t="s">
        <v>2304</v>
      </c>
      <c r="J86" s="159" t="s">
        <v>2305</v>
      </c>
      <c r="K86" s="17" t="s">
        <v>139</v>
      </c>
      <c r="L86" s="17" t="s">
        <v>208</v>
      </c>
    </row>
    <row r="87">
      <c r="A87" s="17">
        <v>1.0</v>
      </c>
      <c r="B87" s="158" t="s">
        <v>2306</v>
      </c>
      <c r="D87" s="158" t="s">
        <v>416</v>
      </c>
      <c r="E87" s="158" t="s">
        <v>2307</v>
      </c>
      <c r="G87" s="158" t="s">
        <v>2308</v>
      </c>
      <c r="J87" s="159" t="s">
        <v>2309</v>
      </c>
      <c r="K87" s="17" t="s">
        <v>139</v>
      </c>
      <c r="L87" s="17" t="s">
        <v>208</v>
      </c>
    </row>
    <row r="88">
      <c r="A88" s="17">
        <v>1.0</v>
      </c>
      <c r="B88" s="158" t="s">
        <v>1488</v>
      </c>
      <c r="D88" s="160" t="s">
        <v>263</v>
      </c>
      <c r="E88" s="158" t="s">
        <v>2165</v>
      </c>
      <c r="G88" s="158" t="s">
        <v>2310</v>
      </c>
      <c r="J88" s="159" t="s">
        <v>2311</v>
      </c>
      <c r="K88" s="17" t="s">
        <v>139</v>
      </c>
      <c r="L88" s="17" t="s">
        <v>208</v>
      </c>
    </row>
    <row r="89">
      <c r="A89" s="17">
        <v>1.0</v>
      </c>
      <c r="B89" s="158" t="s">
        <v>1488</v>
      </c>
      <c r="D89" s="158" t="s">
        <v>416</v>
      </c>
      <c r="E89" s="158" t="s">
        <v>2242</v>
      </c>
      <c r="G89" s="158" t="s">
        <v>2312</v>
      </c>
      <c r="J89" s="159" t="s">
        <v>2313</v>
      </c>
      <c r="K89" s="17" t="s">
        <v>139</v>
      </c>
      <c r="L89" s="17" t="s">
        <v>208</v>
      </c>
    </row>
    <row r="90">
      <c r="A90" s="17">
        <v>1.0</v>
      </c>
      <c r="B90" s="158" t="s">
        <v>1488</v>
      </c>
      <c r="D90" s="158" t="s">
        <v>416</v>
      </c>
      <c r="E90" s="158" t="s">
        <v>2191</v>
      </c>
      <c r="G90" s="158" t="s">
        <v>2314</v>
      </c>
      <c r="J90" s="159" t="s">
        <v>2315</v>
      </c>
      <c r="K90" s="17" t="s">
        <v>139</v>
      </c>
      <c r="L90" s="17" t="s">
        <v>208</v>
      </c>
    </row>
    <row r="91">
      <c r="A91" s="17">
        <v>1.0</v>
      </c>
      <c r="B91" s="158" t="s">
        <v>1488</v>
      </c>
      <c r="D91" s="158" t="s">
        <v>170</v>
      </c>
      <c r="E91" s="158" t="s">
        <v>2146</v>
      </c>
      <c r="G91" s="158" t="s">
        <v>2316</v>
      </c>
      <c r="J91" s="159" t="s">
        <v>2317</v>
      </c>
      <c r="K91" s="17" t="s">
        <v>139</v>
      </c>
      <c r="L91" s="17" t="s">
        <v>208</v>
      </c>
    </row>
    <row r="92">
      <c r="A92" s="17">
        <v>1.0</v>
      </c>
      <c r="B92" s="158" t="s">
        <v>1491</v>
      </c>
      <c r="D92" s="158" t="s">
        <v>416</v>
      </c>
      <c r="E92" s="158" t="s">
        <v>2146</v>
      </c>
      <c r="G92" s="158" t="s">
        <v>137</v>
      </c>
      <c r="J92" s="159" t="s">
        <v>2318</v>
      </c>
      <c r="K92" s="17" t="s">
        <v>139</v>
      </c>
      <c r="L92" s="17" t="s">
        <v>208</v>
      </c>
    </row>
    <row r="93">
      <c r="A93" s="17">
        <v>1.0</v>
      </c>
      <c r="B93" s="158" t="s">
        <v>1488</v>
      </c>
      <c r="D93" s="160" t="s">
        <v>358</v>
      </c>
      <c r="E93" s="158" t="s">
        <v>2146</v>
      </c>
      <c r="G93" s="158" t="s">
        <v>2319</v>
      </c>
      <c r="J93" s="159" t="s">
        <v>2320</v>
      </c>
      <c r="K93" s="17" t="s">
        <v>139</v>
      </c>
      <c r="L93" s="17" t="s">
        <v>208</v>
      </c>
    </row>
    <row r="94">
      <c r="A94" s="17">
        <v>1.0</v>
      </c>
      <c r="B94" s="158" t="s">
        <v>1491</v>
      </c>
      <c r="D94" s="158" t="s">
        <v>187</v>
      </c>
      <c r="E94" s="158" t="s">
        <v>511</v>
      </c>
      <c r="G94" s="158" t="s">
        <v>2321</v>
      </c>
      <c r="J94" s="159" t="s">
        <v>2322</v>
      </c>
      <c r="K94" s="17" t="s">
        <v>139</v>
      </c>
      <c r="L94" s="17" t="s">
        <v>208</v>
      </c>
    </row>
    <row r="95">
      <c r="A95" s="17">
        <v>1.0</v>
      </c>
      <c r="B95" s="158" t="s">
        <v>1488</v>
      </c>
      <c r="D95" s="160" t="s">
        <v>358</v>
      </c>
      <c r="E95" s="158" t="s">
        <v>2165</v>
      </c>
      <c r="G95" s="158" t="s">
        <v>2323</v>
      </c>
      <c r="J95" s="159" t="s">
        <v>2324</v>
      </c>
      <c r="K95" s="17" t="s">
        <v>139</v>
      </c>
      <c r="L95" s="17" t="s">
        <v>208</v>
      </c>
    </row>
    <row r="96">
      <c r="A96" s="17">
        <v>1.0</v>
      </c>
      <c r="B96" s="158" t="s">
        <v>1488</v>
      </c>
      <c r="D96" s="160" t="s">
        <v>416</v>
      </c>
      <c r="E96" s="158" t="s">
        <v>2165</v>
      </c>
      <c r="G96" s="158" t="s">
        <v>2325</v>
      </c>
      <c r="J96" s="159" t="s">
        <v>2326</v>
      </c>
      <c r="K96" s="17" t="s">
        <v>139</v>
      </c>
      <c r="L96" s="17" t="s">
        <v>208</v>
      </c>
    </row>
    <row r="97">
      <c r="A97" s="17">
        <v>1.0</v>
      </c>
      <c r="B97" s="158" t="s">
        <v>1488</v>
      </c>
      <c r="D97" s="158" t="s">
        <v>187</v>
      </c>
      <c r="E97" s="158" t="s">
        <v>2154</v>
      </c>
      <c r="G97" s="158" t="s">
        <v>2327</v>
      </c>
      <c r="J97" s="159" t="s">
        <v>2328</v>
      </c>
      <c r="K97" s="17" t="s">
        <v>139</v>
      </c>
      <c r="L97" s="17" t="s">
        <v>208</v>
      </c>
    </row>
    <row r="98">
      <c r="A98" s="17">
        <v>1.0</v>
      </c>
      <c r="B98" s="158" t="s">
        <v>1491</v>
      </c>
      <c r="D98" s="158" t="s">
        <v>218</v>
      </c>
      <c r="E98" s="158" t="s">
        <v>2113</v>
      </c>
      <c r="G98" s="158" t="s">
        <v>2329</v>
      </c>
      <c r="J98" s="159" t="s">
        <v>2330</v>
      </c>
      <c r="K98" s="17" t="s">
        <v>139</v>
      </c>
      <c r="L98" s="17" t="s">
        <v>208</v>
      </c>
    </row>
    <row r="99">
      <c r="A99" s="17">
        <v>1.0</v>
      </c>
      <c r="B99" s="158" t="s">
        <v>1491</v>
      </c>
      <c r="D99" s="158" t="s">
        <v>164</v>
      </c>
      <c r="E99" s="158" t="s">
        <v>2146</v>
      </c>
      <c r="G99" s="158" t="s">
        <v>2331</v>
      </c>
      <c r="J99" s="159" t="s">
        <v>2332</v>
      </c>
      <c r="K99" s="17" t="s">
        <v>139</v>
      </c>
      <c r="L99" s="17" t="s">
        <v>208</v>
      </c>
    </row>
    <row r="100">
      <c r="A100" s="17">
        <v>1.0</v>
      </c>
      <c r="B100" s="158" t="s">
        <v>1488</v>
      </c>
      <c r="D100" s="158" t="s">
        <v>164</v>
      </c>
      <c r="E100" s="158" t="s">
        <v>2113</v>
      </c>
      <c r="G100" s="158" t="s">
        <v>2333</v>
      </c>
      <c r="J100" s="159" t="s">
        <v>2334</v>
      </c>
      <c r="K100" s="17" t="s">
        <v>139</v>
      </c>
      <c r="L100" s="17" t="s">
        <v>208</v>
      </c>
    </row>
    <row r="101">
      <c r="A101" s="17">
        <v>1.0</v>
      </c>
      <c r="B101" s="158" t="s">
        <v>1491</v>
      </c>
      <c r="D101" s="158" t="s">
        <v>164</v>
      </c>
      <c r="E101" s="158" t="s">
        <v>2113</v>
      </c>
      <c r="G101" s="158" t="s">
        <v>2335</v>
      </c>
      <c r="J101" s="159" t="s">
        <v>2336</v>
      </c>
      <c r="K101" s="17" t="s">
        <v>139</v>
      </c>
      <c r="L101" s="17" t="s">
        <v>208</v>
      </c>
    </row>
    <row r="102">
      <c r="A102" s="17">
        <v>1.0</v>
      </c>
      <c r="B102" s="158" t="s">
        <v>1491</v>
      </c>
      <c r="D102" s="158" t="s">
        <v>193</v>
      </c>
      <c r="E102" s="158" t="s">
        <v>2146</v>
      </c>
      <c r="G102" s="158" t="s">
        <v>2337</v>
      </c>
      <c r="J102" s="159" t="s">
        <v>2338</v>
      </c>
      <c r="K102" s="17" t="s">
        <v>139</v>
      </c>
      <c r="L102" s="17" t="s">
        <v>208</v>
      </c>
    </row>
    <row r="103">
      <c r="A103" s="17">
        <v>1.0</v>
      </c>
      <c r="B103" s="158" t="s">
        <v>1488</v>
      </c>
      <c r="D103" s="160" t="s">
        <v>358</v>
      </c>
      <c r="E103" s="158" t="s">
        <v>2146</v>
      </c>
      <c r="G103" s="158" t="s">
        <v>2339</v>
      </c>
      <c r="J103" s="159" t="s">
        <v>2340</v>
      </c>
      <c r="K103" s="17" t="s">
        <v>139</v>
      </c>
      <c r="L103" s="17" t="s">
        <v>208</v>
      </c>
    </row>
    <row r="104">
      <c r="A104" s="17">
        <v>1.0</v>
      </c>
      <c r="B104" s="158" t="s">
        <v>1491</v>
      </c>
      <c r="D104" s="160" t="s">
        <v>263</v>
      </c>
      <c r="E104" s="158" t="s">
        <v>2146</v>
      </c>
      <c r="G104" s="158" t="s">
        <v>2341</v>
      </c>
      <c r="J104" s="159" t="s">
        <v>2342</v>
      </c>
      <c r="K104" s="17" t="s">
        <v>139</v>
      </c>
      <c r="L104" s="17" t="s">
        <v>208</v>
      </c>
    </row>
    <row r="105">
      <c r="A105" s="17">
        <v>1.0</v>
      </c>
      <c r="B105" s="158" t="s">
        <v>1488</v>
      </c>
      <c r="D105" s="161" t="s">
        <v>176</v>
      </c>
      <c r="E105" s="158" t="s">
        <v>983</v>
      </c>
      <c r="G105" s="158" t="s">
        <v>349</v>
      </c>
      <c r="J105" s="159" t="s">
        <v>2343</v>
      </c>
      <c r="K105" s="17" t="s">
        <v>139</v>
      </c>
      <c r="L105" s="17" t="s">
        <v>208</v>
      </c>
    </row>
    <row r="106">
      <c r="A106" s="17">
        <v>1.0</v>
      </c>
      <c r="B106" s="158" t="s">
        <v>1491</v>
      </c>
      <c r="D106" s="158" t="s">
        <v>263</v>
      </c>
      <c r="E106" s="158" t="s">
        <v>2142</v>
      </c>
      <c r="G106" s="158" t="s">
        <v>2344</v>
      </c>
      <c r="J106" s="159" t="s">
        <v>2345</v>
      </c>
      <c r="K106" s="17" t="s">
        <v>139</v>
      </c>
      <c r="L106" s="17" t="s">
        <v>208</v>
      </c>
    </row>
    <row r="107">
      <c r="A107" s="17">
        <v>1.0</v>
      </c>
      <c r="B107" s="158" t="s">
        <v>1491</v>
      </c>
      <c r="D107" s="160" t="s">
        <v>263</v>
      </c>
      <c r="E107" s="158" t="s">
        <v>2142</v>
      </c>
      <c r="G107" s="158" t="s">
        <v>2346</v>
      </c>
      <c r="J107" s="159" t="s">
        <v>2347</v>
      </c>
      <c r="K107" s="17" t="s">
        <v>139</v>
      </c>
      <c r="L107" s="17" t="s">
        <v>208</v>
      </c>
    </row>
    <row r="108">
      <c r="A108" s="17">
        <v>1.0</v>
      </c>
      <c r="B108" s="158" t="s">
        <v>1488</v>
      </c>
      <c r="D108" s="160" t="s">
        <v>263</v>
      </c>
      <c r="E108" s="158" t="s">
        <v>2146</v>
      </c>
      <c r="G108" s="158" t="s">
        <v>2348</v>
      </c>
      <c r="J108" s="159" t="s">
        <v>2349</v>
      </c>
      <c r="K108" s="17" t="s">
        <v>139</v>
      </c>
      <c r="L108" s="17" t="s">
        <v>208</v>
      </c>
    </row>
    <row r="109">
      <c r="A109" s="17">
        <v>1.0</v>
      </c>
      <c r="B109" s="158" t="s">
        <v>1488</v>
      </c>
      <c r="D109" s="160" t="s">
        <v>263</v>
      </c>
      <c r="E109" s="158" t="s">
        <v>2165</v>
      </c>
      <c r="G109" s="158" t="s">
        <v>137</v>
      </c>
      <c r="J109" s="159" t="s">
        <v>2350</v>
      </c>
      <c r="K109" s="17" t="s">
        <v>139</v>
      </c>
      <c r="L109" s="17" t="s">
        <v>208</v>
      </c>
    </row>
    <row r="110">
      <c r="A110" s="17">
        <v>1.0</v>
      </c>
      <c r="B110" s="162" t="s">
        <v>416</v>
      </c>
      <c r="D110" s="160" t="s">
        <v>263</v>
      </c>
      <c r="E110" s="158" t="s">
        <v>2146</v>
      </c>
      <c r="G110" s="158" t="s">
        <v>2351</v>
      </c>
      <c r="J110" s="159" t="s">
        <v>2352</v>
      </c>
      <c r="K110" s="17" t="s">
        <v>139</v>
      </c>
      <c r="L110" s="17" t="s">
        <v>208</v>
      </c>
    </row>
    <row r="111">
      <c r="A111" s="17">
        <v>1.0</v>
      </c>
      <c r="B111" s="162" t="s">
        <v>416</v>
      </c>
      <c r="D111" s="160" t="s">
        <v>263</v>
      </c>
      <c r="E111" s="158" t="s">
        <v>2203</v>
      </c>
      <c r="G111" s="158" t="s">
        <v>2353</v>
      </c>
      <c r="J111" s="159" t="s">
        <v>2354</v>
      </c>
      <c r="K111" s="17" t="s">
        <v>139</v>
      </c>
      <c r="L111" s="17" t="s">
        <v>208</v>
      </c>
    </row>
    <row r="112">
      <c r="A112" s="17">
        <v>1.0</v>
      </c>
      <c r="B112" s="158" t="s">
        <v>1488</v>
      </c>
      <c r="D112" s="160" t="s">
        <v>263</v>
      </c>
      <c r="E112" s="158" t="s">
        <v>2146</v>
      </c>
      <c r="G112" s="158" t="s">
        <v>2355</v>
      </c>
      <c r="J112" s="159" t="s">
        <v>2356</v>
      </c>
      <c r="K112" s="17" t="s">
        <v>139</v>
      </c>
      <c r="L112" s="17" t="s">
        <v>208</v>
      </c>
    </row>
    <row r="113">
      <c r="A113" s="17">
        <v>1.0</v>
      </c>
      <c r="B113" s="158" t="s">
        <v>1488</v>
      </c>
      <c r="D113" s="160" t="s">
        <v>263</v>
      </c>
      <c r="E113" s="158" t="s">
        <v>2146</v>
      </c>
      <c r="G113" s="158" t="s">
        <v>2357</v>
      </c>
      <c r="J113" s="159" t="s">
        <v>2358</v>
      </c>
      <c r="K113" s="17" t="s">
        <v>139</v>
      </c>
      <c r="L113" s="17" t="s">
        <v>208</v>
      </c>
    </row>
    <row r="114">
      <c r="A114" s="17">
        <v>1.0</v>
      </c>
      <c r="B114" s="158" t="s">
        <v>1491</v>
      </c>
      <c r="D114" s="158" t="s">
        <v>416</v>
      </c>
      <c r="E114" s="158" t="s">
        <v>2146</v>
      </c>
      <c r="G114" s="158" t="s">
        <v>2359</v>
      </c>
      <c r="J114" s="159" t="s">
        <v>2360</v>
      </c>
      <c r="K114" s="17" t="s">
        <v>139</v>
      </c>
      <c r="L114" s="17" t="s">
        <v>208</v>
      </c>
    </row>
    <row r="115">
      <c r="A115" s="17">
        <v>1.0</v>
      </c>
      <c r="B115" s="158" t="s">
        <v>1491</v>
      </c>
      <c r="D115" s="160" t="s">
        <v>263</v>
      </c>
      <c r="E115" s="158" t="s">
        <v>2146</v>
      </c>
      <c r="G115" s="158" t="s">
        <v>1609</v>
      </c>
      <c r="J115" s="159" t="s">
        <v>2361</v>
      </c>
      <c r="K115" s="17" t="s">
        <v>139</v>
      </c>
      <c r="L115" s="17" t="s">
        <v>208</v>
      </c>
    </row>
    <row r="116">
      <c r="A116" s="17">
        <v>1.0</v>
      </c>
      <c r="B116" s="158" t="s">
        <v>1491</v>
      </c>
      <c r="D116" s="160" t="s">
        <v>263</v>
      </c>
      <c r="E116" s="158" t="s">
        <v>2146</v>
      </c>
      <c r="G116" s="158" t="s">
        <v>2362</v>
      </c>
      <c r="J116" s="159" t="s">
        <v>2363</v>
      </c>
      <c r="K116" s="17" t="s">
        <v>139</v>
      </c>
      <c r="L116" s="17" t="s">
        <v>208</v>
      </c>
    </row>
    <row r="117">
      <c r="A117" s="17">
        <v>1.0</v>
      </c>
      <c r="B117" s="158" t="s">
        <v>1491</v>
      </c>
      <c r="D117" s="160" t="s">
        <v>263</v>
      </c>
      <c r="E117" s="158" t="s">
        <v>2146</v>
      </c>
      <c r="G117" s="158" t="s">
        <v>137</v>
      </c>
      <c r="J117" s="159" t="s">
        <v>2364</v>
      </c>
      <c r="K117" s="17" t="s">
        <v>139</v>
      </c>
      <c r="L117" s="17" t="s">
        <v>208</v>
      </c>
    </row>
    <row r="118">
      <c r="A118" s="17">
        <v>1.0</v>
      </c>
      <c r="B118" s="158" t="s">
        <v>1488</v>
      </c>
      <c r="D118" s="160" t="s">
        <v>263</v>
      </c>
      <c r="E118" s="158" t="s">
        <v>2165</v>
      </c>
      <c r="G118" s="158" t="s">
        <v>137</v>
      </c>
      <c r="J118" s="159" t="s">
        <v>2365</v>
      </c>
      <c r="K118" s="17" t="s">
        <v>139</v>
      </c>
      <c r="L118" s="17" t="s">
        <v>208</v>
      </c>
    </row>
    <row r="119">
      <c r="A119" s="17">
        <v>1.0</v>
      </c>
      <c r="B119" s="158" t="s">
        <v>1488</v>
      </c>
      <c r="D119" s="160" t="s">
        <v>263</v>
      </c>
      <c r="E119" s="158" t="s">
        <v>2203</v>
      </c>
      <c r="G119" s="158" t="s">
        <v>1609</v>
      </c>
      <c r="J119" s="159" t="s">
        <v>2366</v>
      </c>
      <c r="K119" s="17" t="s">
        <v>139</v>
      </c>
      <c r="L119" s="17" t="s">
        <v>208</v>
      </c>
    </row>
    <row r="120">
      <c r="A120" s="17">
        <v>1.0</v>
      </c>
      <c r="B120" s="158" t="s">
        <v>1488</v>
      </c>
      <c r="D120" s="160" t="s">
        <v>263</v>
      </c>
      <c r="E120" s="158" t="s">
        <v>2165</v>
      </c>
      <c r="G120" s="158" t="s">
        <v>2367</v>
      </c>
      <c r="J120" s="159" t="s">
        <v>2368</v>
      </c>
      <c r="K120" s="17" t="s">
        <v>139</v>
      </c>
      <c r="L120" s="17" t="s">
        <v>208</v>
      </c>
    </row>
    <row r="121">
      <c r="A121" s="17">
        <v>1.0</v>
      </c>
      <c r="B121" s="158" t="s">
        <v>1488</v>
      </c>
      <c r="D121" s="160" t="s">
        <v>263</v>
      </c>
      <c r="E121" s="158" t="s">
        <v>2146</v>
      </c>
      <c r="G121" s="158" t="s">
        <v>2369</v>
      </c>
      <c r="J121" s="159" t="s">
        <v>2370</v>
      </c>
      <c r="K121" s="17" t="s">
        <v>139</v>
      </c>
      <c r="L121" s="17" t="s">
        <v>208</v>
      </c>
    </row>
    <row r="122">
      <c r="A122" s="17">
        <v>1.0</v>
      </c>
      <c r="B122" s="158" t="s">
        <v>1488</v>
      </c>
      <c r="D122" s="158" t="s">
        <v>416</v>
      </c>
      <c r="E122" s="158" t="s">
        <v>2146</v>
      </c>
      <c r="G122" s="158" t="s">
        <v>137</v>
      </c>
      <c r="J122" s="159" t="s">
        <v>2371</v>
      </c>
      <c r="K122" s="17" t="s">
        <v>139</v>
      </c>
      <c r="L122" s="17" t="s">
        <v>208</v>
      </c>
    </row>
    <row r="123">
      <c r="A123" s="17">
        <v>1.0</v>
      </c>
      <c r="B123" s="158" t="s">
        <v>1488</v>
      </c>
      <c r="D123" s="160" t="s">
        <v>263</v>
      </c>
      <c r="E123" s="158" t="s">
        <v>2203</v>
      </c>
      <c r="G123" s="158" t="s">
        <v>2372</v>
      </c>
      <c r="J123" s="159" t="s">
        <v>2373</v>
      </c>
      <c r="K123" s="17" t="s">
        <v>139</v>
      </c>
      <c r="L123" s="17" t="s">
        <v>208</v>
      </c>
    </row>
    <row r="124">
      <c r="A124" s="17">
        <v>1.0</v>
      </c>
      <c r="B124" s="158" t="s">
        <v>1488</v>
      </c>
      <c r="D124" s="158" t="s">
        <v>416</v>
      </c>
      <c r="E124" s="158" t="s">
        <v>2146</v>
      </c>
      <c r="G124" s="158" t="s">
        <v>2374</v>
      </c>
      <c r="J124" s="159" t="s">
        <v>2375</v>
      </c>
      <c r="K124" s="17" t="s">
        <v>139</v>
      </c>
      <c r="L124" s="17" t="s">
        <v>208</v>
      </c>
    </row>
    <row r="125">
      <c r="A125" s="17">
        <v>1.0</v>
      </c>
      <c r="B125" s="158" t="s">
        <v>1488</v>
      </c>
      <c r="D125" s="158" t="s">
        <v>218</v>
      </c>
      <c r="E125" s="158" t="s">
        <v>2154</v>
      </c>
      <c r="G125" s="158" t="s">
        <v>1609</v>
      </c>
      <c r="J125" s="159" t="s">
        <v>2376</v>
      </c>
      <c r="K125" s="17" t="s">
        <v>139</v>
      </c>
      <c r="L125" s="17" t="s">
        <v>208</v>
      </c>
    </row>
    <row r="126">
      <c r="A126" s="17">
        <v>1.0</v>
      </c>
      <c r="B126" s="158" t="s">
        <v>1488</v>
      </c>
      <c r="D126" s="160" t="s">
        <v>263</v>
      </c>
      <c r="E126" s="158" t="s">
        <v>2165</v>
      </c>
      <c r="G126" s="158" t="s">
        <v>2377</v>
      </c>
      <c r="J126" s="159" t="s">
        <v>2378</v>
      </c>
      <c r="K126" s="17" t="s">
        <v>139</v>
      </c>
      <c r="L126" s="17" t="s">
        <v>208</v>
      </c>
    </row>
    <row r="127">
      <c r="A127" s="17">
        <v>1.0</v>
      </c>
      <c r="B127" s="158" t="s">
        <v>1488</v>
      </c>
      <c r="D127" s="160" t="s">
        <v>263</v>
      </c>
      <c r="E127" s="158" t="s">
        <v>2146</v>
      </c>
      <c r="G127" s="158" t="s">
        <v>2379</v>
      </c>
      <c r="J127" s="159" t="s">
        <v>2380</v>
      </c>
      <c r="K127" s="17" t="s">
        <v>139</v>
      </c>
      <c r="L127" s="17" t="s">
        <v>208</v>
      </c>
    </row>
    <row r="128">
      <c r="A128" s="17">
        <v>1.0</v>
      </c>
      <c r="B128" s="158" t="s">
        <v>1488</v>
      </c>
      <c r="D128" s="160" t="s">
        <v>219</v>
      </c>
      <c r="E128" s="158" t="s">
        <v>2113</v>
      </c>
      <c r="G128" s="158" t="s">
        <v>2381</v>
      </c>
      <c r="J128" s="159" t="s">
        <v>2382</v>
      </c>
      <c r="K128" s="17" t="s">
        <v>139</v>
      </c>
      <c r="L128" s="17" t="s">
        <v>208</v>
      </c>
    </row>
    <row r="129">
      <c r="A129" s="17">
        <v>1.0</v>
      </c>
      <c r="B129" s="158" t="s">
        <v>1488</v>
      </c>
      <c r="D129" s="160" t="s">
        <v>263</v>
      </c>
      <c r="E129" s="158" t="s">
        <v>2146</v>
      </c>
      <c r="G129" s="158" t="s">
        <v>2383</v>
      </c>
      <c r="J129" s="159" t="s">
        <v>2384</v>
      </c>
      <c r="K129" s="17" t="s">
        <v>139</v>
      </c>
      <c r="L129" s="17" t="s">
        <v>208</v>
      </c>
    </row>
    <row r="130">
      <c r="A130" s="17">
        <v>1.0</v>
      </c>
      <c r="B130" s="158" t="s">
        <v>1488</v>
      </c>
      <c r="D130" s="158" t="s">
        <v>416</v>
      </c>
      <c r="E130" s="158" t="s">
        <v>2146</v>
      </c>
      <c r="G130" s="158" t="s">
        <v>2385</v>
      </c>
      <c r="J130" s="159" t="s">
        <v>2386</v>
      </c>
      <c r="K130" s="17" t="s">
        <v>139</v>
      </c>
      <c r="L130" s="17" t="s">
        <v>208</v>
      </c>
    </row>
    <row r="131">
      <c r="A131" s="17">
        <v>1.0</v>
      </c>
      <c r="B131" s="158" t="s">
        <v>1488</v>
      </c>
      <c r="D131" s="158" t="s">
        <v>248</v>
      </c>
      <c r="E131" s="158" t="s">
        <v>2146</v>
      </c>
      <c r="G131" s="158" t="s">
        <v>2387</v>
      </c>
      <c r="J131" s="159" t="s">
        <v>2388</v>
      </c>
      <c r="K131" s="17" t="s">
        <v>139</v>
      </c>
      <c r="L131" s="17" t="s">
        <v>208</v>
      </c>
    </row>
    <row r="132">
      <c r="A132" s="17">
        <v>1.0</v>
      </c>
      <c r="B132" s="158" t="s">
        <v>1488</v>
      </c>
      <c r="D132" s="160" t="s">
        <v>263</v>
      </c>
      <c r="E132" s="158" t="s">
        <v>2146</v>
      </c>
      <c r="G132" s="158" t="s">
        <v>2389</v>
      </c>
      <c r="J132" s="159" t="s">
        <v>2390</v>
      </c>
      <c r="K132" s="17" t="s">
        <v>139</v>
      </c>
      <c r="L132" s="17" t="s">
        <v>208</v>
      </c>
    </row>
    <row r="133">
      <c r="A133" s="17">
        <v>1.0</v>
      </c>
      <c r="B133" s="158" t="s">
        <v>1488</v>
      </c>
      <c r="D133" s="158" t="s">
        <v>416</v>
      </c>
      <c r="E133" s="158" t="s">
        <v>2113</v>
      </c>
      <c r="G133" s="158" t="s">
        <v>2391</v>
      </c>
      <c r="J133" s="159" t="s">
        <v>2392</v>
      </c>
      <c r="K133" s="17" t="s">
        <v>139</v>
      </c>
      <c r="L133" s="17" t="s">
        <v>208</v>
      </c>
    </row>
    <row r="134">
      <c r="A134" s="17">
        <v>1.0</v>
      </c>
      <c r="B134" s="158" t="s">
        <v>1488</v>
      </c>
      <c r="D134" s="160" t="s">
        <v>140</v>
      </c>
      <c r="E134" s="158" t="s">
        <v>2113</v>
      </c>
      <c r="G134" s="158" t="s">
        <v>2393</v>
      </c>
      <c r="J134" s="159" t="s">
        <v>2394</v>
      </c>
      <c r="K134" s="17" t="s">
        <v>139</v>
      </c>
      <c r="L134" s="17" t="s">
        <v>208</v>
      </c>
    </row>
    <row r="135">
      <c r="A135" s="17">
        <v>1.0</v>
      </c>
      <c r="B135" s="158" t="s">
        <v>1488</v>
      </c>
      <c r="D135" s="160" t="s">
        <v>263</v>
      </c>
      <c r="E135" s="158" t="s">
        <v>2146</v>
      </c>
      <c r="G135" s="158" t="s">
        <v>2395</v>
      </c>
      <c r="J135" s="159" t="s">
        <v>2396</v>
      </c>
      <c r="K135" s="17" t="s">
        <v>139</v>
      </c>
      <c r="L135" s="17" t="s">
        <v>208</v>
      </c>
    </row>
    <row r="136">
      <c r="A136" s="17">
        <v>1.0</v>
      </c>
      <c r="B136" s="158" t="s">
        <v>1488</v>
      </c>
      <c r="D136" s="160" t="s">
        <v>263</v>
      </c>
      <c r="E136" s="158" t="s">
        <v>2113</v>
      </c>
      <c r="G136" s="158" t="s">
        <v>2397</v>
      </c>
      <c r="J136" s="159" t="s">
        <v>2398</v>
      </c>
      <c r="K136" s="17" t="s">
        <v>139</v>
      </c>
      <c r="L136" s="17" t="s">
        <v>208</v>
      </c>
    </row>
    <row r="137">
      <c r="A137" s="17">
        <v>1.0</v>
      </c>
      <c r="B137" s="158" t="s">
        <v>1491</v>
      </c>
      <c r="D137" s="161" t="s">
        <v>153</v>
      </c>
      <c r="E137" s="158" t="s">
        <v>2165</v>
      </c>
      <c r="G137" s="158" t="s">
        <v>2399</v>
      </c>
      <c r="J137" s="159" t="s">
        <v>2400</v>
      </c>
      <c r="K137" s="17" t="s">
        <v>139</v>
      </c>
      <c r="L137" s="17" t="s">
        <v>208</v>
      </c>
    </row>
    <row r="138">
      <c r="A138" s="17">
        <v>1.0</v>
      </c>
      <c r="B138" s="158" t="s">
        <v>1488</v>
      </c>
      <c r="D138" s="160" t="s">
        <v>159</v>
      </c>
      <c r="E138" s="158" t="s">
        <v>2146</v>
      </c>
      <c r="G138" s="158" t="s">
        <v>2401</v>
      </c>
      <c r="J138" s="159" t="s">
        <v>2402</v>
      </c>
      <c r="K138" s="17" t="s">
        <v>139</v>
      </c>
      <c r="L138" s="17" t="s">
        <v>208</v>
      </c>
    </row>
    <row r="139">
      <c r="A139" s="17">
        <v>1.0</v>
      </c>
      <c r="B139" s="158" t="s">
        <v>1488</v>
      </c>
      <c r="D139" s="158" t="s">
        <v>416</v>
      </c>
      <c r="E139" s="158" t="s">
        <v>2191</v>
      </c>
      <c r="G139" s="158" t="s">
        <v>647</v>
      </c>
      <c r="J139" s="159" t="s">
        <v>2403</v>
      </c>
      <c r="K139" s="17" t="s">
        <v>139</v>
      </c>
      <c r="L139" s="17" t="s">
        <v>208</v>
      </c>
    </row>
    <row r="140">
      <c r="A140" s="17">
        <v>1.0</v>
      </c>
      <c r="B140" s="158" t="s">
        <v>1488</v>
      </c>
      <c r="D140" s="160" t="s">
        <v>263</v>
      </c>
      <c r="E140" s="158" t="s">
        <v>2165</v>
      </c>
      <c r="G140" s="158" t="s">
        <v>2404</v>
      </c>
      <c r="J140" s="159" t="s">
        <v>2405</v>
      </c>
      <c r="K140" s="17" t="s">
        <v>139</v>
      </c>
      <c r="L140" s="17" t="s">
        <v>208</v>
      </c>
    </row>
    <row r="141">
      <c r="A141" s="17">
        <v>1.0</v>
      </c>
      <c r="B141" s="158" t="s">
        <v>1488</v>
      </c>
      <c r="D141" s="160" t="s">
        <v>214</v>
      </c>
      <c r="E141" s="158" t="s">
        <v>2113</v>
      </c>
      <c r="G141" s="158" t="s">
        <v>2406</v>
      </c>
      <c r="J141" s="159" t="s">
        <v>2407</v>
      </c>
      <c r="K141" s="17" t="s">
        <v>139</v>
      </c>
      <c r="L141" s="17" t="s">
        <v>208</v>
      </c>
    </row>
    <row r="142">
      <c r="A142" s="17">
        <v>1.0</v>
      </c>
      <c r="B142" s="158" t="s">
        <v>1488</v>
      </c>
      <c r="D142" s="158" t="s">
        <v>193</v>
      </c>
      <c r="E142" s="158" t="s">
        <v>2146</v>
      </c>
      <c r="G142" s="158" t="s">
        <v>2408</v>
      </c>
      <c r="J142" s="159" t="s">
        <v>2409</v>
      </c>
      <c r="K142" s="17" t="s">
        <v>139</v>
      </c>
      <c r="L142" s="17" t="s">
        <v>208</v>
      </c>
    </row>
    <row r="143">
      <c r="A143" s="17">
        <v>1.0</v>
      </c>
      <c r="B143" s="158" t="s">
        <v>1491</v>
      </c>
      <c r="D143" s="160" t="s">
        <v>263</v>
      </c>
      <c r="E143" s="158" t="s">
        <v>2242</v>
      </c>
      <c r="G143" s="158" t="s">
        <v>2410</v>
      </c>
      <c r="J143" s="159" t="s">
        <v>2411</v>
      </c>
      <c r="K143" s="17" t="s">
        <v>139</v>
      </c>
      <c r="L143" s="17" t="s">
        <v>208</v>
      </c>
    </row>
    <row r="144">
      <c r="A144" s="17">
        <v>1.0</v>
      </c>
      <c r="B144" s="158" t="s">
        <v>1488</v>
      </c>
      <c r="D144" s="160" t="s">
        <v>263</v>
      </c>
      <c r="E144" s="158" t="s">
        <v>2165</v>
      </c>
      <c r="G144" s="158" t="s">
        <v>2412</v>
      </c>
      <c r="J144" s="159" t="s">
        <v>2413</v>
      </c>
      <c r="K144" s="17" t="s">
        <v>139</v>
      </c>
      <c r="L144" s="17" t="s">
        <v>208</v>
      </c>
    </row>
    <row r="145">
      <c r="A145" s="17">
        <v>1.0</v>
      </c>
      <c r="B145" s="158" t="s">
        <v>1488</v>
      </c>
      <c r="D145" s="160" t="s">
        <v>203</v>
      </c>
      <c r="E145" s="158" t="s">
        <v>2285</v>
      </c>
      <c r="G145" s="158" t="s">
        <v>2414</v>
      </c>
      <c r="J145" s="159" t="s">
        <v>2415</v>
      </c>
      <c r="K145" s="17" t="s">
        <v>139</v>
      </c>
      <c r="L145" s="17" t="s">
        <v>208</v>
      </c>
    </row>
    <row r="146">
      <c r="A146" s="17">
        <v>1.0</v>
      </c>
      <c r="B146" s="158" t="s">
        <v>1488</v>
      </c>
      <c r="D146" s="158" t="s">
        <v>187</v>
      </c>
      <c r="E146" s="158" t="s">
        <v>2416</v>
      </c>
      <c r="G146" s="158" t="s">
        <v>2417</v>
      </c>
      <c r="J146" s="159" t="s">
        <v>2418</v>
      </c>
      <c r="K146" s="17" t="s">
        <v>139</v>
      </c>
      <c r="L146" s="17" t="s">
        <v>208</v>
      </c>
    </row>
    <row r="147">
      <c r="A147" s="17">
        <v>1.0</v>
      </c>
      <c r="B147" s="158" t="s">
        <v>1491</v>
      </c>
      <c r="D147" s="160" t="s">
        <v>263</v>
      </c>
      <c r="E147" s="158" t="s">
        <v>2165</v>
      </c>
      <c r="G147" s="158" t="s">
        <v>137</v>
      </c>
      <c r="J147" s="159" t="s">
        <v>2419</v>
      </c>
      <c r="K147" s="17" t="s">
        <v>139</v>
      </c>
      <c r="L147" s="17" t="s">
        <v>208</v>
      </c>
    </row>
    <row r="148">
      <c r="A148" s="17">
        <v>1.0</v>
      </c>
      <c r="B148" s="158" t="s">
        <v>1491</v>
      </c>
      <c r="D148" s="160" t="s">
        <v>263</v>
      </c>
      <c r="E148" s="158" t="s">
        <v>2191</v>
      </c>
      <c r="G148" s="158" t="s">
        <v>2420</v>
      </c>
      <c r="J148" s="159" t="s">
        <v>2421</v>
      </c>
      <c r="K148" s="17" t="s">
        <v>139</v>
      </c>
      <c r="L148" s="17" t="s">
        <v>208</v>
      </c>
    </row>
    <row r="149">
      <c r="A149" s="17">
        <v>1.0</v>
      </c>
      <c r="B149" s="158" t="s">
        <v>1491</v>
      </c>
      <c r="D149" s="158" t="s">
        <v>416</v>
      </c>
      <c r="E149" s="158" t="s">
        <v>2142</v>
      </c>
      <c r="G149" s="158" t="s">
        <v>896</v>
      </c>
      <c r="J149" s="159" t="s">
        <v>2422</v>
      </c>
      <c r="K149" s="17" t="s">
        <v>139</v>
      </c>
      <c r="L149" s="17" t="s">
        <v>208</v>
      </c>
    </row>
    <row r="150">
      <c r="A150" s="17">
        <v>1.0</v>
      </c>
      <c r="B150" s="158" t="s">
        <v>1491</v>
      </c>
      <c r="D150" s="160" t="s">
        <v>263</v>
      </c>
      <c r="E150" s="158" t="s">
        <v>2113</v>
      </c>
      <c r="G150" s="158" t="s">
        <v>2423</v>
      </c>
      <c r="J150" s="159" t="s">
        <v>2424</v>
      </c>
      <c r="K150" s="17" t="s">
        <v>139</v>
      </c>
      <c r="L150" s="17" t="s">
        <v>208</v>
      </c>
    </row>
    <row r="151">
      <c r="A151" s="17">
        <v>1.0</v>
      </c>
      <c r="B151" s="158" t="s">
        <v>1488</v>
      </c>
      <c r="D151" s="160" t="s">
        <v>214</v>
      </c>
      <c r="E151" s="158" t="s">
        <v>2113</v>
      </c>
      <c r="G151" s="158" t="s">
        <v>137</v>
      </c>
      <c r="J151" s="159" t="s">
        <v>2425</v>
      </c>
      <c r="K151" s="17" t="s">
        <v>139</v>
      </c>
      <c r="L151" s="17" t="s">
        <v>208</v>
      </c>
    </row>
    <row r="152">
      <c r="A152" s="17">
        <v>1.0</v>
      </c>
      <c r="B152" s="158" t="s">
        <v>1491</v>
      </c>
      <c r="D152" s="160" t="s">
        <v>263</v>
      </c>
      <c r="E152" s="158" t="s">
        <v>2154</v>
      </c>
      <c r="G152" s="158" t="s">
        <v>2426</v>
      </c>
      <c r="J152" s="159" t="s">
        <v>2427</v>
      </c>
      <c r="K152" s="17" t="s">
        <v>139</v>
      </c>
      <c r="L152" s="17" t="s">
        <v>208</v>
      </c>
    </row>
    <row r="153">
      <c r="A153" s="17">
        <v>1.0</v>
      </c>
      <c r="B153" s="158" t="s">
        <v>1491</v>
      </c>
      <c r="D153" s="160" t="s">
        <v>263</v>
      </c>
      <c r="E153" s="158" t="s">
        <v>2165</v>
      </c>
      <c r="G153" s="158" t="s">
        <v>2428</v>
      </c>
      <c r="J153" s="159" t="s">
        <v>2429</v>
      </c>
      <c r="K153" s="17" t="s">
        <v>139</v>
      </c>
      <c r="L153" s="17" t="s">
        <v>208</v>
      </c>
    </row>
    <row r="154">
      <c r="A154" s="17">
        <v>1.0</v>
      </c>
      <c r="B154" s="158" t="s">
        <v>1491</v>
      </c>
      <c r="D154" s="158" t="s">
        <v>416</v>
      </c>
      <c r="E154" s="158" t="s">
        <v>2146</v>
      </c>
      <c r="G154" s="158" t="s">
        <v>2430</v>
      </c>
      <c r="J154" s="159" t="s">
        <v>2431</v>
      </c>
      <c r="K154" s="17" t="s">
        <v>139</v>
      </c>
      <c r="L154" s="17" t="s">
        <v>208</v>
      </c>
    </row>
    <row r="155">
      <c r="A155" s="17">
        <v>1.0</v>
      </c>
      <c r="B155" s="158" t="s">
        <v>1488</v>
      </c>
      <c r="D155" s="158" t="s">
        <v>416</v>
      </c>
      <c r="E155" s="158" t="s">
        <v>2113</v>
      </c>
      <c r="G155" s="158" t="s">
        <v>2432</v>
      </c>
      <c r="J155" s="159" t="s">
        <v>2433</v>
      </c>
      <c r="K155" s="17" t="s">
        <v>139</v>
      </c>
      <c r="L155" s="17" t="s">
        <v>208</v>
      </c>
    </row>
    <row r="156">
      <c r="A156" s="17">
        <v>1.0</v>
      </c>
      <c r="B156" s="158" t="s">
        <v>1488</v>
      </c>
      <c r="D156" s="158" t="s">
        <v>249</v>
      </c>
      <c r="E156" s="158" t="s">
        <v>2146</v>
      </c>
      <c r="G156" s="158" t="s">
        <v>2369</v>
      </c>
      <c r="J156" s="159" t="s">
        <v>2434</v>
      </c>
      <c r="K156" s="17" t="s">
        <v>139</v>
      </c>
      <c r="L156" s="17" t="s">
        <v>208</v>
      </c>
    </row>
    <row r="157">
      <c r="A157" s="17">
        <v>1.0</v>
      </c>
      <c r="B157" s="158" t="s">
        <v>1491</v>
      </c>
      <c r="D157" s="160" t="s">
        <v>263</v>
      </c>
      <c r="E157" s="158" t="s">
        <v>2165</v>
      </c>
      <c r="G157" s="158" t="s">
        <v>2435</v>
      </c>
      <c r="J157" s="159" t="s">
        <v>2436</v>
      </c>
      <c r="K157" s="17" t="s">
        <v>139</v>
      </c>
      <c r="L157" s="17" t="s">
        <v>208</v>
      </c>
    </row>
    <row r="158">
      <c r="A158" s="17">
        <v>1.0</v>
      </c>
      <c r="B158" s="158" t="s">
        <v>1491</v>
      </c>
      <c r="D158" s="161" t="s">
        <v>153</v>
      </c>
      <c r="E158" s="158" t="s">
        <v>2191</v>
      </c>
      <c r="G158" s="158" t="s">
        <v>2437</v>
      </c>
      <c r="J158" s="159" t="s">
        <v>2438</v>
      </c>
      <c r="K158" s="17" t="s">
        <v>139</v>
      </c>
      <c r="L158" s="17" t="s">
        <v>208</v>
      </c>
    </row>
    <row r="159">
      <c r="A159" s="17">
        <v>1.0</v>
      </c>
      <c r="B159" s="158" t="s">
        <v>1491</v>
      </c>
      <c r="D159" s="160" t="s">
        <v>263</v>
      </c>
      <c r="E159" s="158" t="s">
        <v>2146</v>
      </c>
      <c r="G159" s="158" t="s">
        <v>2439</v>
      </c>
      <c r="J159" s="159" t="s">
        <v>2440</v>
      </c>
      <c r="K159" s="17" t="s">
        <v>139</v>
      </c>
      <c r="L159" s="17" t="s">
        <v>208</v>
      </c>
    </row>
    <row r="160">
      <c r="A160" s="17">
        <v>1.0</v>
      </c>
      <c r="B160" s="158" t="s">
        <v>1488</v>
      </c>
      <c r="D160" s="158" t="s">
        <v>416</v>
      </c>
      <c r="E160" s="158" t="s">
        <v>2165</v>
      </c>
      <c r="G160" s="158" t="s">
        <v>2441</v>
      </c>
      <c r="J160" s="159" t="s">
        <v>2442</v>
      </c>
      <c r="K160" s="17" t="s">
        <v>139</v>
      </c>
      <c r="L160" s="17" t="s">
        <v>208</v>
      </c>
    </row>
    <row r="161">
      <c r="A161" s="17">
        <v>1.0</v>
      </c>
      <c r="B161" s="158" t="s">
        <v>1488</v>
      </c>
      <c r="D161" s="160" t="s">
        <v>263</v>
      </c>
      <c r="E161" s="158" t="s">
        <v>2146</v>
      </c>
      <c r="G161" s="158" t="s">
        <v>2443</v>
      </c>
      <c r="J161" s="159" t="s">
        <v>2444</v>
      </c>
      <c r="K161" s="17" t="s">
        <v>139</v>
      </c>
      <c r="L161" s="17" t="s">
        <v>208</v>
      </c>
    </row>
    <row r="162">
      <c r="A162" s="17">
        <v>1.0</v>
      </c>
      <c r="B162" s="158" t="s">
        <v>1488</v>
      </c>
      <c r="D162" s="160" t="s">
        <v>263</v>
      </c>
      <c r="E162" s="158" t="s">
        <v>2146</v>
      </c>
      <c r="G162" s="158" t="s">
        <v>2445</v>
      </c>
      <c r="J162" s="159" t="s">
        <v>2446</v>
      </c>
      <c r="K162" s="17" t="s">
        <v>139</v>
      </c>
      <c r="L162" s="17" t="s">
        <v>208</v>
      </c>
    </row>
    <row r="163">
      <c r="A163" s="17">
        <v>1.0</v>
      </c>
      <c r="B163" s="158" t="s">
        <v>1491</v>
      </c>
      <c r="D163" s="160" t="s">
        <v>159</v>
      </c>
      <c r="E163" s="158" t="s">
        <v>2146</v>
      </c>
      <c r="G163" s="158" t="s">
        <v>2447</v>
      </c>
      <c r="J163" s="159" t="s">
        <v>2448</v>
      </c>
      <c r="K163" s="17" t="s">
        <v>139</v>
      </c>
      <c r="L163" s="17" t="s">
        <v>208</v>
      </c>
    </row>
    <row r="164">
      <c r="A164" s="17">
        <v>1.0</v>
      </c>
      <c r="B164" s="158" t="s">
        <v>1488</v>
      </c>
      <c r="D164" s="158" t="s">
        <v>416</v>
      </c>
      <c r="E164" s="158" t="s">
        <v>2113</v>
      </c>
      <c r="G164" s="158" t="s">
        <v>2449</v>
      </c>
      <c r="J164" s="159" t="s">
        <v>2450</v>
      </c>
      <c r="K164" s="17" t="s">
        <v>139</v>
      </c>
      <c r="L164" s="17" t="s">
        <v>208</v>
      </c>
    </row>
    <row r="165">
      <c r="A165" s="17">
        <v>1.0</v>
      </c>
      <c r="B165" s="158" t="s">
        <v>1488</v>
      </c>
      <c r="D165" s="160" t="s">
        <v>263</v>
      </c>
      <c r="E165" s="158" t="s">
        <v>2146</v>
      </c>
      <c r="G165" s="158" t="s">
        <v>2451</v>
      </c>
      <c r="J165" s="159" t="s">
        <v>2452</v>
      </c>
      <c r="K165" s="17" t="s">
        <v>139</v>
      </c>
      <c r="L165" s="17" t="s">
        <v>208</v>
      </c>
    </row>
    <row r="166">
      <c r="A166" s="17">
        <v>1.0</v>
      </c>
      <c r="B166" s="158" t="s">
        <v>1491</v>
      </c>
      <c r="D166" s="160" t="s">
        <v>263</v>
      </c>
      <c r="E166" s="158" t="s">
        <v>2453</v>
      </c>
      <c r="G166" s="158" t="s">
        <v>2454</v>
      </c>
      <c r="J166" s="159" t="s">
        <v>2455</v>
      </c>
      <c r="K166" s="17" t="s">
        <v>139</v>
      </c>
      <c r="L166" s="17" t="s">
        <v>208</v>
      </c>
    </row>
    <row r="167">
      <c r="A167" s="17">
        <v>1.0</v>
      </c>
      <c r="B167" s="158" t="s">
        <v>1488</v>
      </c>
      <c r="D167" s="160" t="s">
        <v>263</v>
      </c>
      <c r="E167" s="158" t="s">
        <v>2146</v>
      </c>
      <c r="G167" s="158" t="s">
        <v>2456</v>
      </c>
      <c r="J167" s="159" t="s">
        <v>2457</v>
      </c>
      <c r="K167" s="17" t="s">
        <v>139</v>
      </c>
      <c r="L167" s="17" t="s">
        <v>208</v>
      </c>
    </row>
    <row r="168">
      <c r="A168" s="17">
        <v>1.0</v>
      </c>
      <c r="B168" s="158" t="s">
        <v>1488</v>
      </c>
      <c r="D168" s="158" t="s">
        <v>416</v>
      </c>
      <c r="E168" s="158" t="s">
        <v>2458</v>
      </c>
      <c r="G168" s="158" t="s">
        <v>2459</v>
      </c>
      <c r="J168" s="159" t="s">
        <v>2460</v>
      </c>
      <c r="K168" s="17" t="s">
        <v>139</v>
      </c>
      <c r="L168" s="17" t="s">
        <v>208</v>
      </c>
    </row>
    <row r="169">
      <c r="A169" s="17">
        <v>1.0</v>
      </c>
      <c r="B169" s="158" t="s">
        <v>1488</v>
      </c>
      <c r="D169" s="160" t="s">
        <v>263</v>
      </c>
      <c r="E169" s="158" t="s">
        <v>2146</v>
      </c>
      <c r="G169" s="158" t="s">
        <v>2461</v>
      </c>
      <c r="J169" s="159" t="s">
        <v>2462</v>
      </c>
      <c r="K169" s="17" t="s">
        <v>139</v>
      </c>
      <c r="L169" s="17" t="s">
        <v>208</v>
      </c>
    </row>
    <row r="170">
      <c r="A170" s="17">
        <v>1.0</v>
      </c>
      <c r="B170" s="158" t="s">
        <v>1491</v>
      </c>
      <c r="D170" s="160" t="s">
        <v>263</v>
      </c>
      <c r="E170" s="158" t="s">
        <v>2154</v>
      </c>
      <c r="G170" s="158" t="s">
        <v>2463</v>
      </c>
      <c r="J170" s="159" t="s">
        <v>2464</v>
      </c>
      <c r="K170" s="17" t="s">
        <v>139</v>
      </c>
      <c r="L170" s="17" t="s">
        <v>208</v>
      </c>
    </row>
    <row r="171">
      <c r="A171" s="17">
        <v>1.0</v>
      </c>
      <c r="B171" s="158" t="s">
        <v>1488</v>
      </c>
      <c r="D171" s="160" t="s">
        <v>263</v>
      </c>
      <c r="E171" s="158" t="s">
        <v>2113</v>
      </c>
      <c r="G171" s="158" t="s">
        <v>2465</v>
      </c>
      <c r="J171" s="159" t="s">
        <v>2466</v>
      </c>
      <c r="K171" s="17" t="s">
        <v>139</v>
      </c>
      <c r="L171" s="17" t="s">
        <v>208</v>
      </c>
    </row>
    <row r="172">
      <c r="A172" s="17">
        <v>1.0</v>
      </c>
      <c r="B172" s="158" t="s">
        <v>1488</v>
      </c>
      <c r="D172" s="160" t="s">
        <v>285</v>
      </c>
      <c r="E172" s="158" t="s">
        <v>2191</v>
      </c>
      <c r="G172" s="158" t="s">
        <v>2467</v>
      </c>
      <c r="J172" s="159" t="s">
        <v>2468</v>
      </c>
      <c r="K172" s="17" t="s">
        <v>139</v>
      </c>
      <c r="L172" s="17" t="s">
        <v>208</v>
      </c>
    </row>
    <row r="173">
      <c r="A173" s="17">
        <v>1.0</v>
      </c>
      <c r="B173" s="158" t="s">
        <v>1488</v>
      </c>
      <c r="D173" s="160" t="s">
        <v>263</v>
      </c>
      <c r="E173" s="158" t="s">
        <v>2146</v>
      </c>
      <c r="G173" s="158" t="s">
        <v>2469</v>
      </c>
      <c r="J173" s="159" t="s">
        <v>2470</v>
      </c>
      <c r="K173" s="17" t="s">
        <v>139</v>
      </c>
      <c r="L173" s="17" t="s">
        <v>208</v>
      </c>
    </row>
    <row r="174">
      <c r="A174" s="17">
        <v>1.0</v>
      </c>
      <c r="B174" s="158" t="s">
        <v>1491</v>
      </c>
      <c r="D174" s="160" t="s">
        <v>263</v>
      </c>
      <c r="E174" s="158" t="s">
        <v>2146</v>
      </c>
      <c r="G174" s="158" t="s">
        <v>2471</v>
      </c>
      <c r="J174" s="159" t="s">
        <v>2472</v>
      </c>
      <c r="K174" s="17" t="s">
        <v>139</v>
      </c>
      <c r="L174" s="17" t="s">
        <v>208</v>
      </c>
    </row>
    <row r="175">
      <c r="A175" s="17">
        <v>1.0</v>
      </c>
      <c r="B175" s="158" t="s">
        <v>1488</v>
      </c>
      <c r="D175" s="158" t="s">
        <v>416</v>
      </c>
      <c r="E175" s="158" t="s">
        <v>2154</v>
      </c>
      <c r="G175" s="158" t="s">
        <v>2473</v>
      </c>
      <c r="J175" s="159" t="s">
        <v>2474</v>
      </c>
      <c r="K175" s="17" t="s">
        <v>139</v>
      </c>
      <c r="L175" s="17" t="s">
        <v>208</v>
      </c>
    </row>
    <row r="176">
      <c r="A176" s="17">
        <v>1.0</v>
      </c>
      <c r="B176" s="158" t="s">
        <v>1491</v>
      </c>
      <c r="D176" s="160" t="s">
        <v>258</v>
      </c>
      <c r="E176" s="158" t="s">
        <v>2165</v>
      </c>
      <c r="G176" s="158" t="s">
        <v>2475</v>
      </c>
      <c r="J176" s="159" t="s">
        <v>2476</v>
      </c>
      <c r="K176" s="17" t="s">
        <v>139</v>
      </c>
      <c r="L176" s="17" t="s">
        <v>208</v>
      </c>
    </row>
    <row r="177">
      <c r="A177" s="17">
        <v>1.0</v>
      </c>
      <c r="B177" s="158" t="s">
        <v>1488</v>
      </c>
      <c r="D177" s="160" t="s">
        <v>417</v>
      </c>
      <c r="E177" s="158" t="s">
        <v>2203</v>
      </c>
      <c r="G177" s="158" t="s">
        <v>2477</v>
      </c>
      <c r="J177" s="159" t="s">
        <v>2478</v>
      </c>
      <c r="K177" s="17" t="s">
        <v>139</v>
      </c>
      <c r="L177" s="17" t="s">
        <v>208</v>
      </c>
    </row>
    <row r="178">
      <c r="A178" s="17">
        <v>1.0</v>
      </c>
      <c r="B178" s="158" t="s">
        <v>1488</v>
      </c>
      <c r="D178" s="160" t="s">
        <v>263</v>
      </c>
      <c r="E178" s="158" t="s">
        <v>2165</v>
      </c>
      <c r="G178" s="158" t="s">
        <v>137</v>
      </c>
      <c r="J178" s="159" t="s">
        <v>2479</v>
      </c>
      <c r="K178" s="17" t="s">
        <v>139</v>
      </c>
      <c r="L178" s="17" t="s">
        <v>208</v>
      </c>
    </row>
    <row r="179">
      <c r="A179" s="17">
        <v>1.0</v>
      </c>
      <c r="B179" s="162" t="s">
        <v>416</v>
      </c>
      <c r="D179" s="160" t="s">
        <v>263</v>
      </c>
      <c r="E179" s="158" t="s">
        <v>2165</v>
      </c>
      <c r="G179" s="163"/>
      <c r="J179" s="159" t="s">
        <v>2480</v>
      </c>
      <c r="K179" s="17" t="s">
        <v>139</v>
      </c>
      <c r="L179" s="17" t="s">
        <v>208</v>
      </c>
    </row>
    <row r="180">
      <c r="A180" s="17">
        <v>1.0</v>
      </c>
      <c r="B180" s="158" t="s">
        <v>1488</v>
      </c>
      <c r="D180" s="160" t="s">
        <v>263</v>
      </c>
      <c r="E180" s="158" t="s">
        <v>2146</v>
      </c>
      <c r="G180" s="158" t="s">
        <v>2481</v>
      </c>
      <c r="J180" s="164">
        <v>45021.55806712963</v>
      </c>
      <c r="K180" s="17" t="s">
        <v>139</v>
      </c>
      <c r="L180" s="17" t="s">
        <v>208</v>
      </c>
    </row>
    <row r="181">
      <c r="A181" s="17">
        <v>1.0</v>
      </c>
      <c r="B181" s="158" t="s">
        <v>1488</v>
      </c>
      <c r="D181" s="160" t="s">
        <v>263</v>
      </c>
      <c r="E181" s="158" t="s">
        <v>2146</v>
      </c>
      <c r="G181" s="158" t="s">
        <v>2482</v>
      </c>
      <c r="J181" s="164">
        <v>45021.49920138889</v>
      </c>
      <c r="K181" s="17" t="s">
        <v>139</v>
      </c>
      <c r="L181" s="17" t="s">
        <v>208</v>
      </c>
    </row>
    <row r="182">
      <c r="A182" s="17">
        <v>1.0</v>
      </c>
      <c r="B182" s="158" t="s">
        <v>1488</v>
      </c>
      <c r="D182" s="160" t="s">
        <v>263</v>
      </c>
      <c r="E182" s="158" t="s">
        <v>2165</v>
      </c>
      <c r="G182" s="158" t="s">
        <v>2483</v>
      </c>
      <c r="J182" s="164">
        <v>45021.496770833335</v>
      </c>
      <c r="K182" s="17" t="s">
        <v>139</v>
      </c>
      <c r="L182" s="17" t="s">
        <v>208</v>
      </c>
    </row>
    <row r="183">
      <c r="A183" s="17">
        <v>1.0</v>
      </c>
      <c r="B183" s="158" t="s">
        <v>1488</v>
      </c>
      <c r="D183" s="160" t="s">
        <v>263</v>
      </c>
      <c r="E183" s="158" t="s">
        <v>2146</v>
      </c>
      <c r="G183" s="158" t="s">
        <v>2484</v>
      </c>
      <c r="J183" s="164">
        <v>45021.35</v>
      </c>
      <c r="K183" s="17" t="s">
        <v>139</v>
      </c>
      <c r="L183" s="17" t="s">
        <v>208</v>
      </c>
    </row>
    <row r="184">
      <c r="A184" s="17">
        <v>1.0</v>
      </c>
      <c r="B184" s="158" t="s">
        <v>1488</v>
      </c>
      <c r="D184" s="160" t="s">
        <v>263</v>
      </c>
      <c r="E184" s="158" t="s">
        <v>2154</v>
      </c>
      <c r="G184" s="158" t="s">
        <v>2485</v>
      </c>
      <c r="J184" s="164">
        <v>45021.32921296296</v>
      </c>
      <c r="K184" s="17" t="s">
        <v>139</v>
      </c>
      <c r="L184" s="17" t="s">
        <v>208</v>
      </c>
    </row>
    <row r="185">
      <c r="A185" s="17">
        <v>1.0</v>
      </c>
      <c r="B185" s="158" t="s">
        <v>1488</v>
      </c>
      <c r="D185" s="160" t="s">
        <v>263</v>
      </c>
      <c r="E185" s="158" t="s">
        <v>2165</v>
      </c>
      <c r="G185" s="158" t="s">
        <v>2486</v>
      </c>
      <c r="J185" s="164">
        <v>45021.28228009259</v>
      </c>
      <c r="K185" s="17" t="s">
        <v>139</v>
      </c>
      <c r="L185" s="17" t="s">
        <v>208</v>
      </c>
    </row>
    <row r="186">
      <c r="A186" s="17">
        <v>1.0</v>
      </c>
      <c r="B186" s="158" t="s">
        <v>1488</v>
      </c>
      <c r="D186" s="160" t="s">
        <v>263</v>
      </c>
      <c r="E186" s="158" t="s">
        <v>2165</v>
      </c>
      <c r="G186" s="158" t="s">
        <v>2487</v>
      </c>
      <c r="J186" s="164">
        <v>44990.4624537037</v>
      </c>
      <c r="K186" s="17" t="s">
        <v>139</v>
      </c>
      <c r="L186" s="17" t="s">
        <v>208</v>
      </c>
    </row>
    <row r="187">
      <c r="A187" s="17">
        <v>1.0</v>
      </c>
      <c r="B187" s="158" t="s">
        <v>1488</v>
      </c>
      <c r="D187" s="160" t="s">
        <v>244</v>
      </c>
      <c r="E187" s="158" t="s">
        <v>2165</v>
      </c>
      <c r="G187" s="158" t="s">
        <v>2488</v>
      </c>
      <c r="J187" s="164">
        <v>44990.420219907406</v>
      </c>
      <c r="K187" s="17" t="s">
        <v>139</v>
      </c>
      <c r="L187" s="17" t="s">
        <v>208</v>
      </c>
    </row>
    <row r="188">
      <c r="A188" s="17">
        <v>1.0</v>
      </c>
      <c r="B188" s="158" t="s">
        <v>1491</v>
      </c>
      <c r="D188" s="160" t="s">
        <v>263</v>
      </c>
      <c r="E188" s="158" t="s">
        <v>2154</v>
      </c>
      <c r="G188" s="158" t="s">
        <v>1493</v>
      </c>
      <c r="J188" s="164">
        <v>44990.38924768518</v>
      </c>
      <c r="K188" s="17" t="s">
        <v>139</v>
      </c>
      <c r="L188" s="17" t="s">
        <v>208</v>
      </c>
    </row>
    <row r="189">
      <c r="A189" s="17">
        <v>1.0</v>
      </c>
      <c r="B189" s="158" t="s">
        <v>1488</v>
      </c>
      <c r="D189" s="158" t="s">
        <v>416</v>
      </c>
      <c r="E189" s="158" t="s">
        <v>2280</v>
      </c>
      <c r="G189" s="158" t="s">
        <v>137</v>
      </c>
      <c r="J189" s="164">
        <v>44990.294224537036</v>
      </c>
      <c r="K189" s="17" t="s">
        <v>139</v>
      </c>
      <c r="L189" s="17" t="s">
        <v>208</v>
      </c>
    </row>
    <row r="190">
      <c r="A190" s="17">
        <v>1.0</v>
      </c>
      <c r="B190" s="158" t="s">
        <v>1488</v>
      </c>
      <c r="D190" s="158" t="s">
        <v>416</v>
      </c>
      <c r="E190" s="158" t="s">
        <v>2113</v>
      </c>
      <c r="G190" s="158" t="s">
        <v>137</v>
      </c>
      <c r="J190" s="164">
        <v>44990.29258101852</v>
      </c>
      <c r="K190" s="17" t="s">
        <v>139</v>
      </c>
      <c r="L190" s="17" t="s">
        <v>208</v>
      </c>
    </row>
    <row r="191">
      <c r="A191" s="17">
        <v>1.0</v>
      </c>
      <c r="B191" s="158" t="s">
        <v>1488</v>
      </c>
      <c r="D191" s="158" t="s">
        <v>416</v>
      </c>
      <c r="E191" s="158" t="s">
        <v>2165</v>
      </c>
      <c r="G191" s="158" t="s">
        <v>137</v>
      </c>
      <c r="J191" s="164">
        <v>44990.19200231481</v>
      </c>
      <c r="K191" s="17" t="s">
        <v>139</v>
      </c>
      <c r="L191" s="17" t="s">
        <v>208</v>
      </c>
    </row>
    <row r="192">
      <c r="A192" s="17">
        <v>1.0</v>
      </c>
      <c r="B192" s="158" t="s">
        <v>1491</v>
      </c>
      <c r="D192" s="158" t="s">
        <v>353</v>
      </c>
      <c r="E192" s="158" t="s">
        <v>2146</v>
      </c>
      <c r="G192" s="158" t="s">
        <v>2489</v>
      </c>
      <c r="J192" s="164">
        <v>44990.06900462963</v>
      </c>
      <c r="K192" s="17" t="s">
        <v>139</v>
      </c>
      <c r="L192" s="17" t="s">
        <v>208</v>
      </c>
    </row>
    <row r="193">
      <c r="A193" s="17">
        <v>1.0</v>
      </c>
      <c r="B193" s="158" t="s">
        <v>1488</v>
      </c>
      <c r="D193" s="158" t="s">
        <v>353</v>
      </c>
      <c r="E193" s="158" t="s">
        <v>2113</v>
      </c>
      <c r="G193" s="158" t="s">
        <v>2490</v>
      </c>
      <c r="J193" s="164">
        <v>44990.041666666664</v>
      </c>
      <c r="K193" s="17" t="s">
        <v>139</v>
      </c>
      <c r="L193" s="17" t="s">
        <v>208</v>
      </c>
    </row>
    <row r="194">
      <c r="A194" s="17">
        <v>1.0</v>
      </c>
      <c r="B194" s="158" t="s">
        <v>1488</v>
      </c>
      <c r="D194" s="160" t="s">
        <v>263</v>
      </c>
      <c r="E194" s="158" t="s">
        <v>2165</v>
      </c>
      <c r="G194" s="158" t="s">
        <v>2491</v>
      </c>
      <c r="J194" s="164">
        <v>44962.38538194444</v>
      </c>
      <c r="K194" s="17" t="s">
        <v>139</v>
      </c>
      <c r="L194" s="17" t="s">
        <v>208</v>
      </c>
    </row>
    <row r="195">
      <c r="A195" s="17">
        <v>1.0</v>
      </c>
      <c r="B195" s="158" t="s">
        <v>1491</v>
      </c>
      <c r="D195" s="158" t="s">
        <v>143</v>
      </c>
      <c r="E195" s="158" t="s">
        <v>511</v>
      </c>
      <c r="G195" s="158" t="s">
        <v>2492</v>
      </c>
      <c r="J195" s="164">
        <v>44962.28429398148</v>
      </c>
      <c r="K195" s="17" t="s">
        <v>139</v>
      </c>
      <c r="L195" s="17" t="s">
        <v>208</v>
      </c>
    </row>
    <row r="196">
      <c r="A196" s="17">
        <v>1.0</v>
      </c>
      <c r="B196" s="158" t="s">
        <v>1488</v>
      </c>
      <c r="D196" s="158" t="s">
        <v>331</v>
      </c>
      <c r="E196" s="158" t="s">
        <v>2146</v>
      </c>
      <c r="G196" s="158" t="s">
        <v>2493</v>
      </c>
      <c r="J196" s="164">
        <v>44962.239756944444</v>
      </c>
      <c r="K196" s="17" t="s">
        <v>139</v>
      </c>
      <c r="L196" s="17" t="s">
        <v>208</v>
      </c>
    </row>
    <row r="197">
      <c r="A197" s="17">
        <v>1.0</v>
      </c>
      <c r="B197" s="158" t="s">
        <v>1488</v>
      </c>
      <c r="D197" s="158" t="s">
        <v>374</v>
      </c>
      <c r="E197" s="158" t="s">
        <v>2146</v>
      </c>
      <c r="G197" s="158" t="s">
        <v>2494</v>
      </c>
      <c r="J197" s="164">
        <v>44962.23369212963</v>
      </c>
      <c r="K197" s="17" t="s">
        <v>139</v>
      </c>
      <c r="L197" s="17" t="s">
        <v>208</v>
      </c>
    </row>
    <row r="198">
      <c r="A198" s="17">
        <v>1.0</v>
      </c>
      <c r="B198" s="158" t="s">
        <v>1488</v>
      </c>
      <c r="D198" s="158" t="s">
        <v>331</v>
      </c>
      <c r="E198" s="158" t="s">
        <v>2146</v>
      </c>
      <c r="G198" s="158" t="s">
        <v>2495</v>
      </c>
      <c r="J198" s="164">
        <v>44962.232777777775</v>
      </c>
      <c r="K198" s="17" t="s">
        <v>139</v>
      </c>
      <c r="L198" s="17" t="s">
        <v>208</v>
      </c>
    </row>
    <row r="199">
      <c r="A199" s="17">
        <v>1.0</v>
      </c>
      <c r="B199" s="158" t="s">
        <v>1488</v>
      </c>
      <c r="D199" s="158" t="s">
        <v>143</v>
      </c>
      <c r="E199" s="158" t="s">
        <v>2496</v>
      </c>
      <c r="G199" s="158" t="s">
        <v>2497</v>
      </c>
      <c r="J199" s="164">
        <v>44962.13185185185</v>
      </c>
      <c r="K199" s="17" t="s">
        <v>139</v>
      </c>
      <c r="L199" s="17" t="s">
        <v>208</v>
      </c>
    </row>
    <row r="200">
      <c r="A200" s="17">
        <v>1.0</v>
      </c>
      <c r="B200" s="158" t="s">
        <v>1488</v>
      </c>
      <c r="D200" s="158" t="s">
        <v>143</v>
      </c>
      <c r="E200" s="158" t="s">
        <v>511</v>
      </c>
      <c r="G200" s="158" t="s">
        <v>137</v>
      </c>
      <c r="J200" s="164">
        <v>44962.10023148148</v>
      </c>
      <c r="K200" s="17" t="s">
        <v>139</v>
      </c>
      <c r="L200" s="17" t="s">
        <v>208</v>
      </c>
    </row>
    <row r="201">
      <c r="A201" s="17">
        <v>1.0</v>
      </c>
      <c r="B201" s="158" t="s">
        <v>1488</v>
      </c>
      <c r="D201" s="158" t="s">
        <v>143</v>
      </c>
      <c r="E201" s="158" t="s">
        <v>2203</v>
      </c>
      <c r="G201" s="158" t="s">
        <v>137</v>
      </c>
      <c r="J201" s="164">
        <v>44962.01962962963</v>
      </c>
      <c r="K201" s="17" t="s">
        <v>139</v>
      </c>
      <c r="L201" s="17" t="s">
        <v>208</v>
      </c>
    </row>
    <row r="202">
      <c r="A202" s="17">
        <v>1.0</v>
      </c>
      <c r="B202" s="158" t="s">
        <v>1491</v>
      </c>
      <c r="D202" s="160" t="s">
        <v>263</v>
      </c>
      <c r="E202" s="158" t="s">
        <v>2146</v>
      </c>
      <c r="G202" s="158" t="s">
        <v>2498</v>
      </c>
      <c r="J202" s="164">
        <v>44931.62494212963</v>
      </c>
      <c r="K202" s="17" t="s">
        <v>139</v>
      </c>
      <c r="L202" s="17" t="s">
        <v>208</v>
      </c>
    </row>
    <row r="203">
      <c r="A203" s="17">
        <v>1.0</v>
      </c>
      <c r="B203" s="158" t="s">
        <v>1488</v>
      </c>
      <c r="D203" s="160" t="s">
        <v>258</v>
      </c>
      <c r="E203" s="158" t="s">
        <v>2165</v>
      </c>
      <c r="G203" s="158" t="s">
        <v>137</v>
      </c>
      <c r="J203" s="164">
        <v>44931.492743055554</v>
      </c>
      <c r="K203" s="17" t="s">
        <v>139</v>
      </c>
      <c r="L203" s="17" t="s">
        <v>208</v>
      </c>
    </row>
    <row r="204">
      <c r="A204" s="17">
        <v>1.0</v>
      </c>
      <c r="B204" s="158" t="s">
        <v>1491</v>
      </c>
      <c r="D204" s="160" t="s">
        <v>263</v>
      </c>
      <c r="E204" s="158" t="s">
        <v>2191</v>
      </c>
      <c r="G204" s="158" t="s">
        <v>2499</v>
      </c>
      <c r="J204" s="164">
        <v>44931.386087962965</v>
      </c>
      <c r="K204" s="17" t="s">
        <v>139</v>
      </c>
      <c r="L204" s="17" t="s">
        <v>208</v>
      </c>
    </row>
    <row r="205">
      <c r="A205" s="17">
        <v>1.0</v>
      </c>
      <c r="B205" s="158" t="s">
        <v>1488</v>
      </c>
      <c r="D205" s="158" t="s">
        <v>164</v>
      </c>
      <c r="E205" s="158" t="s">
        <v>2146</v>
      </c>
      <c r="G205" s="158" t="s">
        <v>2500</v>
      </c>
      <c r="J205" s="164">
        <v>44931.29466435185</v>
      </c>
      <c r="K205" s="17" t="s">
        <v>139</v>
      </c>
      <c r="L205" s="17" t="s">
        <v>208</v>
      </c>
    </row>
    <row r="206">
      <c r="A206" s="17">
        <v>1.0</v>
      </c>
      <c r="B206" s="158" t="s">
        <v>1491</v>
      </c>
      <c r="D206" s="158" t="s">
        <v>193</v>
      </c>
      <c r="E206" s="158" t="s">
        <v>2113</v>
      </c>
      <c r="G206" s="158" t="s">
        <v>2501</v>
      </c>
      <c r="J206" s="164">
        <v>44931.08881944444</v>
      </c>
      <c r="K206" s="17" t="s">
        <v>139</v>
      </c>
      <c r="L206" s="17" t="s">
        <v>208</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9.29"/>
    <col customWidth="1" min="3" max="26" width="9.14"/>
  </cols>
  <sheetData>
    <row r="1" ht="12.75" customHeight="1">
      <c r="A1" s="2" t="s">
        <v>132</v>
      </c>
      <c r="B1" s="2" t="s">
        <v>131</v>
      </c>
      <c r="C1" s="2" t="s">
        <v>3880</v>
      </c>
      <c r="D1" s="2"/>
      <c r="E1" s="2"/>
      <c r="F1" s="2"/>
      <c r="G1" s="2"/>
      <c r="H1" s="2"/>
      <c r="I1" s="2"/>
      <c r="J1" s="2"/>
      <c r="K1" s="2"/>
      <c r="L1" s="2"/>
      <c r="M1" s="2"/>
      <c r="N1" s="2"/>
      <c r="O1" s="2"/>
      <c r="P1" s="2"/>
      <c r="Q1" s="2"/>
      <c r="R1" s="2"/>
      <c r="S1" s="2"/>
      <c r="T1" s="2"/>
      <c r="U1" s="2"/>
      <c r="V1" s="2"/>
      <c r="W1" s="2"/>
      <c r="X1" s="2"/>
      <c r="Y1" s="2"/>
      <c r="Z1" s="2"/>
    </row>
    <row r="2" ht="12.75" customHeight="1">
      <c r="A2" s="285" t="s">
        <v>4154</v>
      </c>
      <c r="B2" s="7" t="s">
        <v>438</v>
      </c>
    </row>
    <row r="3" ht="12.75" customHeight="1">
      <c r="A3" s="7" t="s">
        <v>4155</v>
      </c>
      <c r="B3" s="7" t="s">
        <v>438</v>
      </c>
    </row>
    <row r="4" ht="12.75" customHeight="1">
      <c r="A4" s="7" t="s">
        <v>4156</v>
      </c>
      <c r="B4" s="7" t="s">
        <v>438</v>
      </c>
    </row>
    <row r="5" ht="12.75" customHeight="1">
      <c r="A5" s="7" t="s">
        <v>4157</v>
      </c>
      <c r="B5" s="7" t="s">
        <v>438</v>
      </c>
    </row>
    <row r="6" ht="12.75" customHeight="1">
      <c r="A6" s="7" t="s">
        <v>4158</v>
      </c>
      <c r="B6" s="7" t="s">
        <v>438</v>
      </c>
    </row>
    <row r="7" ht="12.75" customHeight="1">
      <c r="A7" s="7" t="s">
        <v>4159</v>
      </c>
      <c r="B7" s="7" t="s">
        <v>438</v>
      </c>
    </row>
    <row r="8" ht="12.75" customHeight="1">
      <c r="A8" s="7" t="s">
        <v>4160</v>
      </c>
      <c r="B8" s="7" t="s">
        <v>438</v>
      </c>
    </row>
    <row r="9" ht="12.75" customHeight="1">
      <c r="A9" s="7" t="s">
        <v>4161</v>
      </c>
      <c r="B9" s="7" t="s">
        <v>438</v>
      </c>
    </row>
    <row r="10" ht="12.75" customHeight="1">
      <c r="A10" s="7" t="s">
        <v>4162</v>
      </c>
      <c r="B10" s="7" t="s">
        <v>438</v>
      </c>
    </row>
    <row r="11" ht="12.75" customHeight="1">
      <c r="A11" s="7" t="s">
        <v>268</v>
      </c>
      <c r="B11" s="312" t="s">
        <v>269</v>
      </c>
    </row>
    <row r="12" ht="12.75" customHeight="1">
      <c r="A12" s="7" t="s">
        <v>4163</v>
      </c>
      <c r="B12" s="312" t="s">
        <v>269</v>
      </c>
    </row>
    <row r="13" ht="12.75" customHeight="1">
      <c r="A13" s="7" t="s">
        <v>275</v>
      </c>
      <c r="B13" s="312" t="s">
        <v>269</v>
      </c>
    </row>
    <row r="14" ht="12.75" customHeight="1">
      <c r="A14" s="7" t="s">
        <v>4164</v>
      </c>
      <c r="B14" s="312" t="s">
        <v>269</v>
      </c>
    </row>
    <row r="15" ht="12.75" customHeight="1">
      <c r="A15" s="7" t="s">
        <v>3729</v>
      </c>
      <c r="B15" s="312" t="s">
        <v>269</v>
      </c>
    </row>
    <row r="16" ht="12.75" customHeight="1">
      <c r="A16" s="7" t="s">
        <v>209</v>
      </c>
      <c r="B16" s="54" t="s">
        <v>269</v>
      </c>
    </row>
    <row r="17" ht="12.75" customHeight="1">
      <c r="A17" s="7" t="s">
        <v>285</v>
      </c>
      <c r="B17" s="54" t="s">
        <v>269</v>
      </c>
    </row>
    <row r="18" ht="12.75" customHeight="1">
      <c r="A18" s="7" t="s">
        <v>4165</v>
      </c>
      <c r="B18" s="312" t="s">
        <v>269</v>
      </c>
    </row>
    <row r="19" ht="12.75" customHeight="1">
      <c r="A19" s="7" t="s">
        <v>4166</v>
      </c>
      <c r="B19" s="312" t="s">
        <v>269</v>
      </c>
    </row>
    <row r="20" ht="12.75" customHeight="1">
      <c r="A20" s="7" t="s">
        <v>291</v>
      </c>
      <c r="B20" s="312" t="s">
        <v>269</v>
      </c>
    </row>
    <row r="21" ht="12.75" customHeight="1">
      <c r="A21" s="7" t="s">
        <v>159</v>
      </c>
      <c r="B21" s="54" t="s">
        <v>269</v>
      </c>
      <c r="D21" s="7"/>
    </row>
    <row r="22" ht="12.75" customHeight="1">
      <c r="A22" s="7" t="s">
        <v>302</v>
      </c>
      <c r="B22" s="312" t="s">
        <v>269</v>
      </c>
    </row>
    <row r="23" ht="12.75" customHeight="1">
      <c r="A23" s="7" t="s">
        <v>218</v>
      </c>
      <c r="B23" s="54" t="s">
        <v>269</v>
      </c>
    </row>
    <row r="24" ht="12.75" customHeight="1">
      <c r="A24" s="7" t="s">
        <v>309</v>
      </c>
      <c r="B24" s="312" t="s">
        <v>269</v>
      </c>
    </row>
    <row r="25" ht="12.75" customHeight="1">
      <c r="A25" s="7" t="s">
        <v>314</v>
      </c>
      <c r="B25" s="312" t="s">
        <v>269</v>
      </c>
    </row>
    <row r="26" ht="12.75" customHeight="1">
      <c r="A26" s="7" t="s">
        <v>153</v>
      </c>
      <c r="B26" s="312" t="s">
        <v>269</v>
      </c>
      <c r="D26" s="7"/>
    </row>
    <row r="27" ht="12.75" customHeight="1">
      <c r="A27" s="7" t="s">
        <v>322</v>
      </c>
      <c r="B27" s="312" t="s">
        <v>269</v>
      </c>
    </row>
    <row r="28" ht="12.75" customHeight="1">
      <c r="A28" s="7" t="s">
        <v>193</v>
      </c>
      <c r="B28" s="54" t="s">
        <v>269</v>
      </c>
    </row>
    <row r="29" ht="12.75" customHeight="1">
      <c r="A29" s="7" t="s">
        <v>238</v>
      </c>
      <c r="B29" s="12" t="s">
        <v>451</v>
      </c>
    </row>
    <row r="30" ht="12.75" customHeight="1">
      <c r="A30" s="7" t="s">
        <v>223</v>
      </c>
      <c r="B30" s="12" t="s">
        <v>451</v>
      </c>
    </row>
    <row r="31" ht="12.75" customHeight="1">
      <c r="A31" s="7" t="s">
        <v>365</v>
      </c>
      <c r="B31" s="12" t="s">
        <v>451</v>
      </c>
    </row>
    <row r="32" ht="12.75" customHeight="1">
      <c r="A32" s="7" t="s">
        <v>383</v>
      </c>
      <c r="B32" s="12" t="s">
        <v>451</v>
      </c>
    </row>
    <row r="33" ht="12.75" customHeight="1">
      <c r="A33" s="7" t="s">
        <v>4167</v>
      </c>
      <c r="B33" s="12" t="s">
        <v>451</v>
      </c>
    </row>
    <row r="34" ht="12.75" customHeight="1">
      <c r="A34" s="7" t="s">
        <v>213</v>
      </c>
      <c r="B34" s="12" t="s">
        <v>451</v>
      </c>
    </row>
    <row r="35" ht="12.75" customHeight="1">
      <c r="A35" s="7" t="s">
        <v>352</v>
      </c>
      <c r="B35" s="12" t="s">
        <v>451</v>
      </c>
    </row>
    <row r="36" ht="12.75" customHeight="1">
      <c r="A36" s="7" t="s">
        <v>4168</v>
      </c>
      <c r="B36" s="12" t="s">
        <v>451</v>
      </c>
    </row>
    <row r="37" ht="12.75" customHeight="1">
      <c r="A37" s="7" t="s">
        <v>4169</v>
      </c>
      <c r="B37" s="12" t="s">
        <v>451</v>
      </c>
    </row>
    <row r="38" ht="12.75" customHeight="1">
      <c r="A38" s="7" t="s">
        <v>274</v>
      </c>
      <c r="B38" s="12" t="s">
        <v>451</v>
      </c>
    </row>
    <row r="39" ht="12.75" customHeight="1">
      <c r="A39" s="7" t="s">
        <v>228</v>
      </c>
      <c r="B39" s="12" t="s">
        <v>451</v>
      </c>
    </row>
    <row r="40" ht="12.75" customHeight="1">
      <c r="A40" s="7" t="s">
        <v>233</v>
      </c>
      <c r="B40" s="12" t="s">
        <v>451</v>
      </c>
    </row>
    <row r="41" ht="12.75" customHeight="1">
      <c r="A41" s="7" t="s">
        <v>176</v>
      </c>
      <c r="B41" s="12" t="s">
        <v>451</v>
      </c>
    </row>
    <row r="42" ht="12.75" customHeight="1">
      <c r="A42" s="7" t="s">
        <v>3625</v>
      </c>
      <c r="B42" s="12" t="s">
        <v>451</v>
      </c>
    </row>
    <row r="43" ht="12.75" customHeight="1">
      <c r="A43" s="7" t="s">
        <v>398</v>
      </c>
      <c r="B43" s="12" t="s">
        <v>451</v>
      </c>
    </row>
    <row r="44" ht="12.75" customHeight="1">
      <c r="A44" s="7" t="s">
        <v>243</v>
      </c>
      <c r="B44" s="7" t="s">
        <v>155</v>
      </c>
    </row>
    <row r="45" ht="12.75" customHeight="1">
      <c r="A45" s="7" t="s">
        <v>258</v>
      </c>
      <c r="B45" s="7" t="s">
        <v>443</v>
      </c>
    </row>
    <row r="46" ht="12.75" customHeight="1">
      <c r="A46" s="7" t="s">
        <v>202</v>
      </c>
      <c r="B46" s="7" t="s">
        <v>328</v>
      </c>
    </row>
    <row r="47" ht="12.75" customHeight="1">
      <c r="A47" s="7" t="s">
        <v>263</v>
      </c>
      <c r="B47" s="7" t="s">
        <v>443</v>
      </c>
    </row>
    <row r="48" ht="12.75" customHeight="1">
      <c r="A48" s="7" t="s">
        <v>219</v>
      </c>
      <c r="B48" s="7" t="s">
        <v>148</v>
      </c>
    </row>
    <row r="49" ht="12.75" customHeight="1">
      <c r="A49" s="7" t="s">
        <v>279</v>
      </c>
      <c r="B49" s="7" t="s">
        <v>155</v>
      </c>
    </row>
    <row r="50" ht="12.75" customHeight="1">
      <c r="A50" s="7" t="s">
        <v>284</v>
      </c>
      <c r="B50" s="7" t="s">
        <v>155</v>
      </c>
    </row>
    <row r="51" ht="12.75" customHeight="1">
      <c r="A51" s="7" t="s">
        <v>134</v>
      </c>
      <c r="B51" s="7" t="s">
        <v>328</v>
      </c>
    </row>
    <row r="52" ht="12.75" customHeight="1">
      <c r="A52" s="7" t="s">
        <v>187</v>
      </c>
      <c r="B52" s="7" t="s">
        <v>328</v>
      </c>
    </row>
    <row r="53" ht="12.75" customHeight="1">
      <c r="A53" s="7" t="s">
        <v>143</v>
      </c>
      <c r="B53" s="7" t="s">
        <v>328</v>
      </c>
    </row>
    <row r="54" ht="12.75" customHeight="1">
      <c r="A54" s="7" t="s">
        <v>290</v>
      </c>
      <c r="B54" s="7" t="s">
        <v>155</v>
      </c>
    </row>
    <row r="55" ht="12.75" customHeight="1">
      <c r="A55" s="7" t="s">
        <v>296</v>
      </c>
      <c r="B55" s="7" t="s">
        <v>155</v>
      </c>
    </row>
    <row r="56" ht="12.75" customHeight="1">
      <c r="A56" s="7" t="s">
        <v>301</v>
      </c>
      <c r="B56" s="7" t="s">
        <v>155</v>
      </c>
    </row>
    <row r="57" ht="12.75" customHeight="1">
      <c r="A57" s="7" t="s">
        <v>244</v>
      </c>
      <c r="B57" s="7" t="s">
        <v>148</v>
      </c>
    </row>
    <row r="58" ht="12.75" customHeight="1">
      <c r="A58" s="7" t="s">
        <v>313</v>
      </c>
      <c r="B58" s="7" t="s">
        <v>161</v>
      </c>
    </row>
    <row r="59" ht="12.75" customHeight="1">
      <c r="A59" s="7" t="s">
        <v>318</v>
      </c>
      <c r="B59" s="7" t="s">
        <v>161</v>
      </c>
    </row>
    <row r="60" ht="12.75" customHeight="1">
      <c r="A60" s="7" t="s">
        <v>203</v>
      </c>
      <c r="B60" s="7" t="s">
        <v>148</v>
      </c>
    </row>
    <row r="61" ht="12.75" customHeight="1">
      <c r="A61" s="7" t="s">
        <v>164</v>
      </c>
      <c r="B61" s="7" t="s">
        <v>328</v>
      </c>
    </row>
    <row r="62" ht="12.75" customHeight="1">
      <c r="A62" s="7" t="s">
        <v>166</v>
      </c>
      <c r="B62" s="7" t="s">
        <v>435</v>
      </c>
    </row>
    <row r="63" ht="12.75" customHeight="1">
      <c r="A63" s="7" t="s">
        <v>248</v>
      </c>
      <c r="B63" s="7" t="s">
        <v>328</v>
      </c>
    </row>
    <row r="64" ht="12.75" customHeight="1">
      <c r="A64" s="7" t="s">
        <v>239</v>
      </c>
      <c r="B64" s="7" t="s">
        <v>148</v>
      </c>
    </row>
    <row r="65" ht="12.75" customHeight="1">
      <c r="A65" s="7" t="s">
        <v>229</v>
      </c>
      <c r="B65" s="7" t="s">
        <v>148</v>
      </c>
    </row>
    <row r="66" ht="12.75" customHeight="1">
      <c r="A66" s="7" t="s">
        <v>214</v>
      </c>
      <c r="B66" s="7" t="s">
        <v>148</v>
      </c>
    </row>
    <row r="67" ht="12.75" customHeight="1">
      <c r="A67" s="7" t="s">
        <v>341</v>
      </c>
      <c r="B67" s="7" t="s">
        <v>161</v>
      </c>
    </row>
    <row r="68" ht="12.75" customHeight="1">
      <c r="A68" s="7" t="s">
        <v>194</v>
      </c>
      <c r="B68" s="7" t="s">
        <v>141</v>
      </c>
    </row>
    <row r="69" ht="12.75" customHeight="1">
      <c r="A69" s="7" t="s">
        <v>347</v>
      </c>
      <c r="B69" s="7" t="s">
        <v>161</v>
      </c>
    </row>
    <row r="70" ht="12.75" customHeight="1">
      <c r="A70" s="7" t="s">
        <v>170</v>
      </c>
      <c r="B70" s="7" t="s">
        <v>328</v>
      </c>
    </row>
    <row r="71" ht="12.75" customHeight="1">
      <c r="A71" s="7" t="s">
        <v>358</v>
      </c>
      <c r="B71" s="7" t="s">
        <v>155</v>
      </c>
    </row>
    <row r="72" ht="12.75" customHeight="1">
      <c r="A72" s="7" t="s">
        <v>182</v>
      </c>
      <c r="B72" s="7" t="s">
        <v>141</v>
      </c>
    </row>
    <row r="73" ht="12.75" customHeight="1">
      <c r="A73" s="7" t="s">
        <v>255</v>
      </c>
      <c r="B73" s="7" t="s">
        <v>148</v>
      </c>
    </row>
    <row r="74" ht="12.75" customHeight="1">
      <c r="A74" s="7" t="s">
        <v>197</v>
      </c>
      <c r="B74" s="7" t="s">
        <v>328</v>
      </c>
    </row>
    <row r="75" ht="12.75" customHeight="1">
      <c r="A75" s="7" t="s">
        <v>369</v>
      </c>
      <c r="B75" s="7" t="s">
        <v>161</v>
      </c>
    </row>
    <row r="76" ht="12.75" customHeight="1">
      <c r="A76" s="7" t="s">
        <v>373</v>
      </c>
      <c r="B76" s="7" t="s">
        <v>161</v>
      </c>
    </row>
    <row r="77" ht="12.75" customHeight="1">
      <c r="A77" s="7" t="s">
        <v>331</v>
      </c>
      <c r="B77" s="7" t="s">
        <v>328</v>
      </c>
    </row>
    <row r="78" ht="12.75" customHeight="1">
      <c r="A78" s="7" t="s">
        <v>147</v>
      </c>
      <c r="B78" s="7" t="s">
        <v>141</v>
      </c>
    </row>
    <row r="79" ht="12.75" customHeight="1">
      <c r="A79" s="7" t="s">
        <v>165</v>
      </c>
      <c r="B79" s="7" t="s">
        <v>141</v>
      </c>
      <c r="C79" s="11"/>
    </row>
    <row r="80" ht="12.75" customHeight="1">
      <c r="A80" s="7" t="s">
        <v>259</v>
      </c>
      <c r="B80" s="7" t="s">
        <v>148</v>
      </c>
      <c r="C80" s="11"/>
    </row>
    <row r="81" ht="12.75" customHeight="1">
      <c r="A81" s="7" t="s">
        <v>390</v>
      </c>
      <c r="B81" s="7" t="s">
        <v>161</v>
      </c>
      <c r="C81" s="11"/>
    </row>
    <row r="82" ht="12.75" customHeight="1">
      <c r="A82" s="7" t="s">
        <v>4141</v>
      </c>
      <c r="B82" s="7" t="s">
        <v>141</v>
      </c>
      <c r="C82" s="11"/>
    </row>
    <row r="83" ht="12.75" customHeight="1">
      <c r="A83" s="7" t="s">
        <v>249</v>
      </c>
      <c r="B83" s="7" t="s">
        <v>148</v>
      </c>
    </row>
    <row r="84" ht="12.75" customHeight="1">
      <c r="A84" s="17" t="s">
        <v>400</v>
      </c>
      <c r="B84" s="17" t="s">
        <v>161</v>
      </c>
    </row>
    <row r="85" ht="12.75" customHeight="1">
      <c r="A85" s="17" t="s">
        <v>188</v>
      </c>
      <c r="B85" s="17" t="s">
        <v>141</v>
      </c>
    </row>
    <row r="86" ht="12.75" customHeight="1">
      <c r="A86" s="17" t="s">
        <v>416</v>
      </c>
      <c r="B86" s="17" t="s">
        <v>416</v>
      </c>
    </row>
    <row r="87" ht="12.75" customHeight="1">
      <c r="A87" s="17" t="s">
        <v>264</v>
      </c>
      <c r="B87" s="7" t="s">
        <v>148</v>
      </c>
    </row>
    <row r="88" ht="12.75" customHeight="1">
      <c r="A88" s="17" t="s">
        <v>210</v>
      </c>
      <c r="B88" s="7" t="s">
        <v>148</v>
      </c>
    </row>
    <row r="89" ht="12.75" customHeight="1">
      <c r="A89" s="17" t="s">
        <v>353</v>
      </c>
      <c r="B89" s="17" t="s">
        <v>328</v>
      </c>
    </row>
    <row r="90" ht="12.75" customHeight="1">
      <c r="A90" s="17" t="s">
        <v>417</v>
      </c>
      <c r="B90" s="17" t="s">
        <v>161</v>
      </c>
    </row>
    <row r="91" ht="12.75" customHeight="1">
      <c r="A91" s="17" t="s">
        <v>374</v>
      </c>
      <c r="B91" s="17" t="s">
        <v>328</v>
      </c>
    </row>
    <row r="92" ht="12.75" customHeight="1">
      <c r="A92" s="17" t="s">
        <v>327</v>
      </c>
      <c r="B92" s="17" t="s">
        <v>328</v>
      </c>
    </row>
    <row r="93" ht="12.75" customHeight="1">
      <c r="A93" s="17" t="s">
        <v>140</v>
      </c>
      <c r="B93" s="17" t="s">
        <v>141</v>
      </c>
    </row>
    <row r="94" ht="12.75" customHeight="1">
      <c r="A94" s="16" t="s">
        <v>160</v>
      </c>
      <c r="B94" s="17" t="s">
        <v>141</v>
      </c>
    </row>
    <row r="95" ht="12.75" customHeight="1">
      <c r="A95" s="17" t="s">
        <v>434</v>
      </c>
      <c r="B95" s="17" t="s">
        <v>438</v>
      </c>
    </row>
    <row r="96" ht="12.75" customHeight="1">
      <c r="A96" s="16" t="s">
        <v>420</v>
      </c>
      <c r="B96" s="7" t="s">
        <v>161</v>
      </c>
    </row>
    <row r="97" ht="12.75" customHeight="1">
      <c r="A97" s="16" t="s">
        <v>234</v>
      </c>
      <c r="B97" s="7" t="s">
        <v>148</v>
      </c>
    </row>
    <row r="98" ht="12.75" customHeight="1">
      <c r="A98" s="17" t="s">
        <v>403</v>
      </c>
      <c r="B98" s="17" t="s">
        <v>161</v>
      </c>
    </row>
    <row r="99" ht="12.75" customHeight="1">
      <c r="A99" s="16" t="s">
        <v>337</v>
      </c>
      <c r="B99" s="17" t="s">
        <v>328</v>
      </c>
    </row>
    <row r="100" ht="12.75" customHeight="1">
      <c r="A100" s="16" t="s">
        <v>359</v>
      </c>
      <c r="B100" s="17" t="s">
        <v>328</v>
      </c>
    </row>
    <row r="101" ht="12.75" customHeight="1">
      <c r="A101" s="16" t="s">
        <v>394</v>
      </c>
      <c r="B101" s="7" t="s">
        <v>155</v>
      </c>
    </row>
    <row r="102" ht="12.75" customHeight="1">
      <c r="A102" s="16" t="s">
        <v>432</v>
      </c>
      <c r="B102" s="7" t="s">
        <v>161</v>
      </c>
    </row>
    <row r="103" ht="12.75" customHeight="1">
      <c r="A103" s="16" t="s">
        <v>423</v>
      </c>
      <c r="B103" s="7" t="s">
        <v>161</v>
      </c>
    </row>
    <row r="104" ht="12.75" customHeight="1">
      <c r="A104" s="16" t="s">
        <v>426</v>
      </c>
      <c r="B104" s="7" t="s">
        <v>161</v>
      </c>
    </row>
    <row r="105" ht="12.75" customHeight="1">
      <c r="A105" s="16" t="s">
        <v>198</v>
      </c>
      <c r="B105" s="17" t="s">
        <v>141</v>
      </c>
    </row>
    <row r="106" ht="12.75" customHeight="1">
      <c r="A106" s="16" t="s">
        <v>154</v>
      </c>
      <c r="B106" s="17" t="s">
        <v>141</v>
      </c>
    </row>
    <row r="107" ht="12.75" customHeight="1">
      <c r="A107" s="16" t="s">
        <v>224</v>
      </c>
      <c r="B107" s="17" t="s">
        <v>148</v>
      </c>
    </row>
    <row r="108" ht="12.75" customHeight="1">
      <c r="A108" s="16" t="s">
        <v>171</v>
      </c>
      <c r="B108" s="17" t="s">
        <v>141</v>
      </c>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sheetData>
  <printOptions/>
  <pageMargins bottom="1.05277777777778" footer="0.0" header="0.0" left="0.7875" right="0.7875" top="1.05277777777778"/>
  <pageSetup paperSize="9" orientation="portrait"/>
  <headerFooter>
    <oddHeader>&amp;Cffffff&amp;A</oddHeader>
    <oddFooter>&amp;CffffffSeite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2024-05-22T07:25:38Z</dcterms:created>
</cp:coreProperties>
</file>